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a75358be6f6f22d/Documents/"/>
    </mc:Choice>
  </mc:AlternateContent>
  <xr:revisionPtr revIDLastSave="0" documentId="8_{39C86781-AD33-4888-BB65-C2AA8086FA14}" xr6:coauthVersionLast="47" xr6:coauthVersionMax="47" xr10:uidLastSave="{00000000-0000-0000-0000-000000000000}"/>
  <bookViews>
    <workbookView xWindow="-110" yWindow="-110" windowWidth="19420" windowHeight="10300" activeTab="1" xr2:uid="{B01DDF2E-9E1D-4C07-9426-A30CE75E1796}"/>
  </bookViews>
  <sheets>
    <sheet name="Smart Devices" sheetId="1" r:id="rId1"/>
    <sheet name="Dashboard" sheetId="2" r:id="rId2"/>
  </sheets>
  <definedNames>
    <definedName name="NativeTimeline_Test_Date">#N/A</definedName>
    <definedName name="Slicer_Brand1">#N/A</definedName>
    <definedName name="Slicer_Category">#N/A</definedName>
    <definedName name="Slicer_Device_Name">#N/A</definedName>
    <definedName name="Slicer_Model">#N/A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206" i="1" l="1"/>
  <c r="T206" i="1"/>
  <c r="U28" i="1"/>
  <c r="T196" i="1"/>
  <c r="T124" i="1"/>
  <c r="U124" i="1"/>
  <c r="V124" i="1"/>
  <c r="W124" i="1"/>
  <c r="T131" i="1" l="1"/>
  <c r="T130" i="1"/>
  <c r="T129" i="1"/>
  <c r="T128" i="1"/>
  <c r="T127" i="1"/>
  <c r="U131" i="1"/>
  <c r="X131" i="1" s="1"/>
  <c r="U130" i="1"/>
  <c r="X130" i="1" s="1"/>
  <c r="U129" i="1"/>
  <c r="X129" i="1" s="1"/>
  <c r="U128" i="1"/>
  <c r="X128" i="1" s="1"/>
  <c r="U127" i="1"/>
  <c r="X127" i="1" s="1"/>
  <c r="V131" i="1"/>
  <c r="V130" i="1"/>
  <c r="V129" i="1"/>
  <c r="V128" i="1"/>
  <c r="V127" i="1"/>
  <c r="W131" i="1"/>
  <c r="W130" i="1"/>
  <c r="W129" i="1"/>
  <c r="W128" i="1"/>
  <c r="W127" i="1"/>
</calcChain>
</file>

<file path=xl/sharedStrings.xml><?xml version="1.0" encoding="utf-8"?>
<sst xmlns="http://schemas.openxmlformats.org/spreadsheetml/2006/main" count="16505" uniqueCount="129">
  <si>
    <t>Test_Date</t>
  </si>
  <si>
    <t>Device_Name</t>
  </si>
  <si>
    <t>Brand</t>
  </si>
  <si>
    <t>Model</t>
  </si>
  <si>
    <t>Category</t>
  </si>
  <si>
    <t>Price_USD</t>
  </si>
  <si>
    <t>Battery_Life_Hours</t>
  </si>
  <si>
    <t>Heart_Rate_Accuracy_Percent</t>
  </si>
  <si>
    <t>Step_Count_Accuracy_Percent</t>
  </si>
  <si>
    <t>Sleep_Tracking_Accuracy_Percent</t>
  </si>
  <si>
    <t>Water_Resistance_Rating</t>
  </si>
  <si>
    <t>User_Satisfaction_Rating</t>
  </si>
  <si>
    <t>GPS_Accuracy_Meters</t>
  </si>
  <si>
    <t>Connectivity_Features</t>
  </si>
  <si>
    <t>Health_Sensors_Count</t>
  </si>
  <si>
    <t>App_Ecosystem_Support</t>
  </si>
  <si>
    <t>Performance_Score</t>
  </si>
  <si>
    <t>Fitbit Inspire 4</t>
  </si>
  <si>
    <t>Fitbit</t>
  </si>
  <si>
    <t>Inspire 4</t>
  </si>
  <si>
    <t>Fitness Tracker</t>
  </si>
  <si>
    <t>3ATM</t>
  </si>
  <si>
    <t>Bluetooth, WiFi</t>
  </si>
  <si>
    <t>Cross-platform</t>
  </si>
  <si>
    <t>Apple Watch SE 3</t>
  </si>
  <si>
    <t>Apple</t>
  </si>
  <si>
    <t>Watch SE 3</t>
  </si>
  <si>
    <t>Smartwatch</t>
  </si>
  <si>
    <t>IP68</t>
  </si>
  <si>
    <t>WiFi, Bluetooth, NFC</t>
  </si>
  <si>
    <t>iOS</t>
  </si>
  <si>
    <t>Fitbit Versa 4</t>
  </si>
  <si>
    <t>Versa 4</t>
  </si>
  <si>
    <t>Sports Watch</t>
  </si>
  <si>
    <t>IPX8</t>
  </si>
  <si>
    <t>Bluetooth</t>
  </si>
  <si>
    <t>Polar Vantage V3</t>
  </si>
  <si>
    <t>Polar</t>
  </si>
  <si>
    <t>Vantage V3</t>
  </si>
  <si>
    <t>WiFi, Bluetooth, NFC, LTE</t>
  </si>
  <si>
    <t>Samsung Galaxy Watch FE</t>
  </si>
  <si>
    <t>Samsung</t>
  </si>
  <si>
    <t>Galaxy Watch FE</t>
  </si>
  <si>
    <t>Android/iOS</t>
  </si>
  <si>
    <t>Garmin Forerunner 965</t>
  </si>
  <si>
    <t>Garmin</t>
  </si>
  <si>
    <t>Forerunner 965</t>
  </si>
  <si>
    <t>5ATM</t>
  </si>
  <si>
    <t>Withings ScanWatch 2</t>
  </si>
  <si>
    <t>Withings</t>
  </si>
  <si>
    <t>ScanWatch 2</t>
  </si>
  <si>
    <t>Garmin Fenix 8</t>
  </si>
  <si>
    <t>Fenix 8</t>
  </si>
  <si>
    <t>Samsung Galaxy Watch Ultra</t>
  </si>
  <si>
    <t>Galaxy Watch Ultra</t>
  </si>
  <si>
    <t>WHOOP 4.0</t>
  </si>
  <si>
    <t>WHOOP</t>
  </si>
  <si>
    <t>Fitness Band</t>
  </si>
  <si>
    <t>IPX4</t>
  </si>
  <si>
    <t>Oura Ring Gen 4</t>
  </si>
  <si>
    <t>Oura</t>
  </si>
  <si>
    <t>Ring Gen 4</t>
  </si>
  <si>
    <t>Smart Ring</t>
  </si>
  <si>
    <t>IPX7</t>
  </si>
  <si>
    <t>Apple Watch Ultra 2</t>
  </si>
  <si>
    <t>Watch Ultra 2</t>
  </si>
  <si>
    <t>Huawei Watch Ultimate</t>
  </si>
  <si>
    <t>Huawei</t>
  </si>
  <si>
    <t>Watch Ultimate</t>
  </si>
  <si>
    <t>Fitbit Charge 6</t>
  </si>
  <si>
    <t>Charge 6</t>
  </si>
  <si>
    <t>Amazfit GTR 4</t>
  </si>
  <si>
    <t>Amazfit</t>
  </si>
  <si>
    <t>GTR 4</t>
  </si>
  <si>
    <t>Huawei Watch GT 5</t>
  </si>
  <si>
    <t>Watch GT 5</t>
  </si>
  <si>
    <t>Garmin Venu 3</t>
  </si>
  <si>
    <t>Venu 3</t>
  </si>
  <si>
    <t>Samsung Galaxy Watch 7</t>
  </si>
  <si>
    <t>Galaxy Watch 7</t>
  </si>
  <si>
    <t>Garmin Instinct 2X</t>
  </si>
  <si>
    <t>Instinct 2X</t>
  </si>
  <si>
    <t>Amazfit Band 7</t>
  </si>
  <si>
    <t>Band 7</t>
  </si>
  <si>
    <t>Fitbit Sense 2</t>
  </si>
  <si>
    <t>Sense 2</t>
  </si>
  <si>
    <t>Apple Watch Series 10</t>
  </si>
  <si>
    <t>Watch Series 10</t>
  </si>
  <si>
    <t>10ATM</t>
  </si>
  <si>
    <t>Huawei Watch 5</t>
  </si>
  <si>
    <t>Watch 5</t>
  </si>
  <si>
    <t>Huawei Band 9</t>
  </si>
  <si>
    <t>Band 9</t>
  </si>
  <si>
    <t>Polar Pacer Pro</t>
  </si>
  <si>
    <t>Pacer Pro</t>
  </si>
  <si>
    <t>Withings Steel HR</t>
  </si>
  <si>
    <t>Steel HR</t>
  </si>
  <si>
    <t>Amazfit T-Rex 3</t>
  </si>
  <si>
    <t>T-Rex 3</t>
  </si>
  <si>
    <t>Amazfit GTS 4</t>
  </si>
  <si>
    <t>GTS 4</t>
  </si>
  <si>
    <t>Garmin Enduro 3</t>
  </si>
  <si>
    <t>Enduro 3</t>
  </si>
  <si>
    <t>Row Labels</t>
  </si>
  <si>
    <t>Grand Total</t>
  </si>
  <si>
    <t>Sum of Performance_Score</t>
  </si>
  <si>
    <t>1. DETERMINE TOP 5 SMART DEVICES WITH HIGHEST PERFORMANCE SC0RE</t>
  </si>
  <si>
    <t>Average of Battery_Life_Hours</t>
  </si>
  <si>
    <t>2. COMPARE AVERAGE PERFORMANCE BY DEVICE CATEROGY AND IDENTIFY WHICH CATEGORY</t>
  </si>
  <si>
    <t>HAS THE HIGHEST AVERAGE BATTERY_LIFE_HOUR</t>
  </si>
  <si>
    <t>Average of Heart_Rate_Accuracy_Percent</t>
  </si>
  <si>
    <t>Health_Sensor_count</t>
  </si>
  <si>
    <t>3. Impact of sensor count on device accuracy</t>
  </si>
  <si>
    <t>Average of User_Satisfaction_Rating</t>
  </si>
  <si>
    <t>4. brand with low user satisfaction</t>
  </si>
  <si>
    <t>Average of Price_USD</t>
  </si>
  <si>
    <t>5.Identify device categories that have high prices but low satisfaction ratings, indicating poor value for money.</t>
  </si>
  <si>
    <t>Average of Health_Sensors_Count</t>
  </si>
  <si>
    <t>MAX</t>
  </si>
  <si>
    <t>Overall_Score</t>
  </si>
  <si>
    <t>Health_sensor count</t>
  </si>
  <si>
    <t>Heart_rate_accuracy_percent</t>
  </si>
  <si>
    <t>user_satisfaction_rating</t>
  </si>
  <si>
    <t>Sport Watch</t>
  </si>
  <si>
    <t>FitnessTracker</t>
  </si>
  <si>
    <t>6.Evaluate device categories based on price, sensor count, heart rate accuracy, and satisfaction rating to identify which category offers the best overall performance.</t>
  </si>
  <si>
    <t>Count of Device_Name</t>
  </si>
  <si>
    <t>TOTAL DEVICE</t>
  </si>
  <si>
    <t>TOTAL 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</si>
</sst>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rgb="FFFF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0" fontId="0" fillId="0" borderId="0" xfId="0" pivotButton="1"/>
    <xf numFmtId="0" fontId="16" fillId="33" borderId="10" xfId="0" applyFont="1" applyFill="1" applyBorder="1"/>
    <xf numFmtId="0" fontId="0" fillId="0" borderId="0" xfId="0" applyAlignment="1">
      <alignment horizontal="left"/>
    </xf>
    <xf numFmtId="164" fontId="0" fillId="0" borderId="0" xfId="0" applyNumberFormat="1"/>
    <xf numFmtId="0" fontId="18" fillId="0" borderId="0" xfId="0" applyFont="1"/>
    <xf numFmtId="0" fontId="18" fillId="0" borderId="0" xfId="0" applyFont="1" applyAlignment="1">
      <alignment horizontal="left"/>
    </xf>
    <xf numFmtId="14" fontId="0" fillId="0" borderId="0" xfId="0" applyNumberFormat="1" applyAlignment="1">
      <alignment horizontal="left"/>
    </xf>
    <xf numFmtId="0" fontId="18" fillId="0" borderId="0" xfId="0" applyFont="1" applyAlignment="1">
      <alignment horizontal="center" wrapText="1"/>
    </xf>
    <xf numFmtId="0" fontId="0" fillId="0" borderId="0" xfId="0"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numFmt numFmtId="0" formatCode="General"/>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numFmt numFmtId="164" formatCode="0.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HIGHEST PERFORMANCE</a:t>
            </a:r>
            <a:r>
              <a:rPr lang="en-US" b="1" baseline="0">
                <a:solidFill>
                  <a:schemeClr val="tx1"/>
                </a:solidFill>
              </a:rPr>
              <a:t> SCORE OF SMART DEVICES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Devices'!$T$2</c:f>
              <c:strCache>
                <c:ptCount val="1"/>
                <c:pt idx="0">
                  <c:v>Total</c:v>
                </c:pt>
              </c:strCache>
            </c:strRef>
          </c:tx>
          <c:spPr>
            <a:solidFill>
              <a:schemeClr val="accent1"/>
            </a:solidFill>
            <a:ln>
              <a:noFill/>
            </a:ln>
            <a:effectLst/>
          </c:spPr>
          <c:invertIfNegative val="0"/>
          <c:cat>
            <c:strRef>
              <c:f>'Smart Devices'!$S$3:$S$32</c:f>
              <c:strCache>
                <c:ptCount val="29"/>
                <c:pt idx="0">
                  <c:v>Oura Ring Gen 4</c:v>
                </c:pt>
                <c:pt idx="1">
                  <c:v>WHOOP 4.0</c:v>
                </c:pt>
                <c:pt idx="2">
                  <c:v>Polar Vantage V3</c:v>
                </c:pt>
                <c:pt idx="3">
                  <c:v>Polar Pacer Pro</c:v>
                </c:pt>
                <c:pt idx="4">
                  <c:v>Withings ScanWatch 2</c:v>
                </c:pt>
                <c:pt idx="5">
                  <c:v>Samsung Galaxy Watch FE</c:v>
                </c:pt>
                <c:pt idx="6">
                  <c:v>Withings Steel HR</c:v>
                </c:pt>
                <c:pt idx="7">
                  <c:v>Apple Watch SE 3</c:v>
                </c:pt>
                <c:pt idx="8">
                  <c:v>Apple Watch Series 10</c:v>
                </c:pt>
                <c:pt idx="9">
                  <c:v>Samsung Galaxy Watch Ultra</c:v>
                </c:pt>
                <c:pt idx="10">
                  <c:v>Samsung Galaxy Watch 7</c:v>
                </c:pt>
                <c:pt idx="11">
                  <c:v>Apple Watch Ultra 2</c:v>
                </c:pt>
                <c:pt idx="12">
                  <c:v>Fitbit Charge 6</c:v>
                </c:pt>
                <c:pt idx="13">
                  <c:v>Fitbit Inspire 4</c:v>
                </c:pt>
                <c:pt idx="14">
                  <c:v>Amazfit Band 7</c:v>
                </c:pt>
                <c:pt idx="15">
                  <c:v>Amazfit GTR 4</c:v>
                </c:pt>
                <c:pt idx="16">
                  <c:v>Fitbit Sense 2</c:v>
                </c:pt>
                <c:pt idx="17">
                  <c:v>Fitbit Versa 4</c:v>
                </c:pt>
                <c:pt idx="18">
                  <c:v>Garmin Instinct 2X</c:v>
                </c:pt>
                <c:pt idx="19">
                  <c:v>Huawei Band 9</c:v>
                </c:pt>
                <c:pt idx="20">
                  <c:v>Amazfit GTS 4</c:v>
                </c:pt>
                <c:pt idx="21">
                  <c:v>Garmin Forerunner 965</c:v>
                </c:pt>
                <c:pt idx="22">
                  <c:v>Amazfit T-Rex 3</c:v>
                </c:pt>
                <c:pt idx="23">
                  <c:v>Huawei Watch GT 5</c:v>
                </c:pt>
                <c:pt idx="24">
                  <c:v>Garmin Venu 3</c:v>
                </c:pt>
                <c:pt idx="25">
                  <c:v>Garmin Enduro 3</c:v>
                </c:pt>
                <c:pt idx="26">
                  <c:v>Garmin Fenix 8</c:v>
                </c:pt>
                <c:pt idx="27">
                  <c:v>Huawei Watch Ultimate</c:v>
                </c:pt>
                <c:pt idx="28">
                  <c:v>Huawei Watch 5</c:v>
                </c:pt>
              </c:strCache>
            </c:strRef>
          </c:cat>
          <c:val>
            <c:numRef>
              <c:f>'Smart Devices'!$T$3:$T$32</c:f>
              <c:numCache>
                <c:formatCode>General</c:formatCode>
                <c:ptCount val="29"/>
                <c:pt idx="0">
                  <c:v>17328.599999999999</c:v>
                </c:pt>
                <c:pt idx="1">
                  <c:v>15959.200000000004</c:v>
                </c:pt>
                <c:pt idx="2">
                  <c:v>7743.5999999999995</c:v>
                </c:pt>
                <c:pt idx="3">
                  <c:v>7184.5999999999976</c:v>
                </c:pt>
                <c:pt idx="4">
                  <c:v>6972.0000000000009</c:v>
                </c:pt>
                <c:pt idx="5">
                  <c:v>6010.1000000000013</c:v>
                </c:pt>
                <c:pt idx="6">
                  <c:v>5976.0000000000018</c:v>
                </c:pt>
                <c:pt idx="7">
                  <c:v>5644.2000000000007</c:v>
                </c:pt>
                <c:pt idx="8">
                  <c:v>5633.800000000002</c:v>
                </c:pt>
                <c:pt idx="9">
                  <c:v>5582.9000000000015</c:v>
                </c:pt>
                <c:pt idx="10">
                  <c:v>4548.5999999999976</c:v>
                </c:pt>
                <c:pt idx="11">
                  <c:v>4493.2999999999984</c:v>
                </c:pt>
                <c:pt idx="12">
                  <c:v>4239.7999999999975</c:v>
                </c:pt>
                <c:pt idx="13">
                  <c:v>3953.7999999999993</c:v>
                </c:pt>
                <c:pt idx="14">
                  <c:v>3794.3000000000006</c:v>
                </c:pt>
                <c:pt idx="15">
                  <c:v>3759.8999999999996</c:v>
                </c:pt>
                <c:pt idx="16">
                  <c:v>3647.3999999999996</c:v>
                </c:pt>
                <c:pt idx="17">
                  <c:v>3595.3000000000006</c:v>
                </c:pt>
                <c:pt idx="18">
                  <c:v>3566.1000000000008</c:v>
                </c:pt>
                <c:pt idx="19">
                  <c:v>3528.2000000000007</c:v>
                </c:pt>
                <c:pt idx="20">
                  <c:v>3471.0000000000009</c:v>
                </c:pt>
                <c:pt idx="21">
                  <c:v>3450.2</c:v>
                </c:pt>
                <c:pt idx="22">
                  <c:v>3404.6999999999985</c:v>
                </c:pt>
                <c:pt idx="23">
                  <c:v>3402.2999999999993</c:v>
                </c:pt>
                <c:pt idx="24">
                  <c:v>3373.4999999999995</c:v>
                </c:pt>
                <c:pt idx="25">
                  <c:v>3202.7</c:v>
                </c:pt>
                <c:pt idx="26">
                  <c:v>3107.8</c:v>
                </c:pt>
                <c:pt idx="27">
                  <c:v>2792.2</c:v>
                </c:pt>
                <c:pt idx="28">
                  <c:v>2747.0000000000005</c:v>
                </c:pt>
              </c:numCache>
            </c:numRef>
          </c:val>
          <c:extLst>
            <c:ext xmlns:c16="http://schemas.microsoft.com/office/drawing/2014/chart" uri="{C3380CC4-5D6E-409C-BE32-E72D297353CC}">
              <c16:uniqueId val="{00000000-C251-4BDD-8999-0C3481241C92}"/>
            </c:ext>
          </c:extLst>
        </c:ser>
        <c:dLbls>
          <c:showLegendKey val="0"/>
          <c:showVal val="0"/>
          <c:showCatName val="0"/>
          <c:showSerName val="0"/>
          <c:showPercent val="0"/>
          <c:showBubbleSize val="0"/>
        </c:dLbls>
        <c:gapWidth val="219"/>
        <c:overlap val="-27"/>
        <c:axId val="592995648"/>
        <c:axId val="592999008"/>
      </c:barChart>
      <c:catAx>
        <c:axId val="59299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DEVICE</a:t>
                </a:r>
                <a:r>
                  <a:rPr lang="en-IN" baseline="0"/>
                  <a:t>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99008"/>
        <c:crosses val="autoZero"/>
        <c:auto val="1"/>
        <c:lblAlgn val="ctr"/>
        <c:lblOffset val="100"/>
        <c:noMultiLvlLbl val="0"/>
      </c:catAx>
      <c:valAx>
        <c:axId val="592999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PERFORMANCE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9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'Smart Devices'!$T$37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154-4BF5-8F4A-7B3B212DFDB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9154-4BF5-8F4A-7B3B212DFDB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9154-4BF5-8F4A-7B3B212DFDB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9154-4BF5-8F4A-7B3B212DFDBA}"/>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9154-4BF5-8F4A-7B3B212DFDB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Devices'!$S$38:$S$43</c:f>
              <c:strCache>
                <c:ptCount val="5"/>
                <c:pt idx="0">
                  <c:v>Sports Watch</c:v>
                </c:pt>
                <c:pt idx="1">
                  <c:v>Smart Ring</c:v>
                </c:pt>
                <c:pt idx="2">
                  <c:v>Fitness Tracker</c:v>
                </c:pt>
                <c:pt idx="3">
                  <c:v>Fitness Band</c:v>
                </c:pt>
                <c:pt idx="4">
                  <c:v>Smartwatch</c:v>
                </c:pt>
              </c:strCache>
            </c:strRef>
          </c:cat>
          <c:val>
            <c:numRef>
              <c:f>'Smart Devices'!$T$38:$T$43</c:f>
              <c:numCache>
                <c:formatCode>0.000</c:formatCode>
                <c:ptCount val="5"/>
                <c:pt idx="0">
                  <c:v>297.05614035087751</c:v>
                </c:pt>
                <c:pt idx="1">
                  <c:v>179.98701298701295</c:v>
                </c:pt>
                <c:pt idx="2">
                  <c:v>155.67117647058825</c:v>
                </c:pt>
                <c:pt idx="3">
                  <c:v>143.7562770562771</c:v>
                </c:pt>
                <c:pt idx="4">
                  <c:v>103.86138211382111</c:v>
                </c:pt>
              </c:numCache>
            </c:numRef>
          </c:val>
          <c:extLst>
            <c:ext xmlns:c16="http://schemas.microsoft.com/office/drawing/2014/chart" uri="{C3380CC4-5D6E-409C-BE32-E72D297353CC}">
              <c16:uniqueId val="{00000000-43CF-4393-813B-C7EA061B928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'Smart Devices'!$T$51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Devices'!$S$52:$S$66</c:f>
              <c:strCache>
                <c:ptCount val="14"/>
                <c:pt idx="0">
                  <c:v>2</c:v>
                </c:pt>
                <c:pt idx="1">
                  <c:v>3</c:v>
                </c:pt>
                <c:pt idx="2">
                  <c:v>4</c:v>
                </c:pt>
                <c:pt idx="3">
                  <c:v>5</c:v>
                </c:pt>
                <c:pt idx="4">
                  <c:v>6</c:v>
                </c:pt>
                <c:pt idx="5">
                  <c:v>7</c:v>
                </c:pt>
                <c:pt idx="6">
                  <c:v>8</c:v>
                </c:pt>
                <c:pt idx="7">
                  <c:v>9</c:v>
                </c:pt>
                <c:pt idx="8">
                  <c:v>10</c:v>
                </c:pt>
                <c:pt idx="9">
                  <c:v>11</c:v>
                </c:pt>
                <c:pt idx="10">
                  <c:v>12</c:v>
                </c:pt>
                <c:pt idx="11">
                  <c:v>13</c:v>
                </c:pt>
                <c:pt idx="12">
                  <c:v>14</c:v>
                </c:pt>
                <c:pt idx="13">
                  <c:v>15</c:v>
                </c:pt>
              </c:strCache>
            </c:strRef>
          </c:cat>
          <c:val>
            <c:numRef>
              <c:f>'Smart Devices'!$T$52:$T$66</c:f>
              <c:numCache>
                <c:formatCode>0.000</c:formatCode>
                <c:ptCount val="14"/>
                <c:pt idx="0">
                  <c:v>88.515438596491265</c:v>
                </c:pt>
                <c:pt idx="1">
                  <c:v>88.351221374045764</c:v>
                </c:pt>
                <c:pt idx="2">
                  <c:v>88.610625000000013</c:v>
                </c:pt>
                <c:pt idx="3">
                  <c:v>91.432000000000031</c:v>
                </c:pt>
                <c:pt idx="4">
                  <c:v>92.178152173913091</c:v>
                </c:pt>
                <c:pt idx="5">
                  <c:v>94.10595959595959</c:v>
                </c:pt>
                <c:pt idx="6">
                  <c:v>94.352392156862763</c:v>
                </c:pt>
                <c:pt idx="7">
                  <c:v>94.648686131386839</c:v>
                </c:pt>
                <c:pt idx="8">
                  <c:v>94.754000000000062</c:v>
                </c:pt>
                <c:pt idx="9">
                  <c:v>95.008853503184682</c:v>
                </c:pt>
                <c:pt idx="10">
                  <c:v>94.93547297297296</c:v>
                </c:pt>
                <c:pt idx="11">
                  <c:v>95.085704225352089</c:v>
                </c:pt>
                <c:pt idx="12">
                  <c:v>95.036363636363603</c:v>
                </c:pt>
                <c:pt idx="13">
                  <c:v>95.117469135802466</c:v>
                </c:pt>
              </c:numCache>
            </c:numRef>
          </c:val>
          <c:smooth val="0"/>
          <c:extLst>
            <c:ext xmlns:c16="http://schemas.microsoft.com/office/drawing/2014/chart" uri="{C3380CC4-5D6E-409C-BE32-E72D297353CC}">
              <c16:uniqueId val="{00000000-B2AA-4DC5-99F0-7E9BDCA6ADCF}"/>
            </c:ext>
          </c:extLst>
        </c:ser>
        <c:dLbls>
          <c:showLegendKey val="0"/>
          <c:showVal val="1"/>
          <c:showCatName val="0"/>
          <c:showSerName val="0"/>
          <c:showPercent val="0"/>
          <c:showBubbleSize val="0"/>
        </c:dLbls>
        <c:marker val="1"/>
        <c:smooth val="0"/>
        <c:axId val="734556864"/>
        <c:axId val="734553984"/>
      </c:lineChart>
      <c:catAx>
        <c:axId val="73455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3984"/>
        <c:crosses val="autoZero"/>
        <c:auto val="1"/>
        <c:lblAlgn val="ctr"/>
        <c:lblOffset val="100"/>
        <c:noMultiLvlLbl val="0"/>
      </c:catAx>
      <c:valAx>
        <c:axId val="73455398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Devices!PivotTable12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'Smart Devices'!$U$72</c:f>
              <c:strCache>
                <c:ptCount val="1"/>
                <c:pt idx="0">
                  <c:v>Total</c:v>
                </c:pt>
              </c:strCache>
            </c:strRef>
          </c:tx>
          <c:spPr>
            <a:solidFill>
              <a:schemeClr val="accent1"/>
            </a:solidFill>
            <a:ln>
              <a:noFill/>
            </a:ln>
            <a:effectLst/>
          </c:spPr>
          <c:invertIfNegative val="0"/>
          <c:cat>
            <c:strRef>
              <c:f>'Smart Devices'!$S$73:$T$83</c:f>
              <c:strCache>
                <c:ptCount val="10"/>
                <c:pt idx="0">
                  <c:v>Amazfit</c:v>
                </c:pt>
                <c:pt idx="1">
                  <c:v>Apple</c:v>
                </c:pt>
                <c:pt idx="2">
                  <c:v>Fitbit</c:v>
                </c:pt>
                <c:pt idx="3">
                  <c:v>Garmin</c:v>
                </c:pt>
                <c:pt idx="4">
                  <c:v>Huawei</c:v>
                </c:pt>
                <c:pt idx="5">
                  <c:v>Oura</c:v>
                </c:pt>
                <c:pt idx="6">
                  <c:v>Polar</c:v>
                </c:pt>
                <c:pt idx="7">
                  <c:v>Samsung</c:v>
                </c:pt>
                <c:pt idx="8">
                  <c:v>WHOOP</c:v>
                </c:pt>
                <c:pt idx="9">
                  <c:v>Withings</c:v>
                </c:pt>
              </c:strCache>
            </c:strRef>
          </c:cat>
          <c:val>
            <c:numRef>
              <c:f>'Smart Devices'!$U$73:$U$83</c:f>
              <c:numCache>
                <c:formatCode>0.000</c:formatCode>
                <c:ptCount val="10"/>
                <c:pt idx="0">
                  <c:v>7.3306034482758582</c:v>
                </c:pt>
                <c:pt idx="1">
                  <c:v>8.4062256809338542</c:v>
                </c:pt>
                <c:pt idx="2">
                  <c:v>7.3881856540084385</c:v>
                </c:pt>
                <c:pt idx="3">
                  <c:v>8.4374045801526663</c:v>
                </c:pt>
                <c:pt idx="4">
                  <c:v>8.2643902439024437</c:v>
                </c:pt>
                <c:pt idx="5">
                  <c:v>8.3000000000000025</c:v>
                </c:pt>
                <c:pt idx="6">
                  <c:v>8.0236734693877523</c:v>
                </c:pt>
                <c:pt idx="7">
                  <c:v>8.3399239543726225</c:v>
                </c:pt>
                <c:pt idx="8">
                  <c:v>7.0164502164502194</c:v>
                </c:pt>
                <c:pt idx="9">
                  <c:v>8.0481132075471731</c:v>
                </c:pt>
              </c:numCache>
            </c:numRef>
          </c:val>
          <c:extLst>
            <c:ext xmlns:c16="http://schemas.microsoft.com/office/drawing/2014/chart" uri="{C3380CC4-5D6E-409C-BE32-E72D297353CC}">
              <c16:uniqueId val="{00000000-1B40-4E61-9AD0-6159472788BE}"/>
            </c:ext>
          </c:extLst>
        </c:ser>
        <c:dLbls>
          <c:showLegendKey val="0"/>
          <c:showVal val="0"/>
          <c:showCatName val="0"/>
          <c:showSerName val="0"/>
          <c:showPercent val="0"/>
          <c:showBubbleSize val="0"/>
        </c:dLbls>
        <c:gapWidth val="182"/>
        <c:axId val="724370992"/>
        <c:axId val="724374352"/>
      </c:barChart>
      <c:catAx>
        <c:axId val="724370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74352"/>
        <c:crosses val="autoZero"/>
        <c:auto val="1"/>
        <c:lblAlgn val="ctr"/>
        <c:lblOffset val="100"/>
        <c:noMultiLvlLbl val="0"/>
      </c:catAx>
      <c:valAx>
        <c:axId val="724374352"/>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37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Devices!PivotTable16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Devices'!$T$89</c:f>
              <c:strCache>
                <c:ptCount val="1"/>
                <c:pt idx="0">
                  <c:v>Average of Price_USD</c:v>
                </c:pt>
              </c:strCache>
            </c:strRef>
          </c:tx>
          <c:spPr>
            <a:solidFill>
              <a:schemeClr val="accent1"/>
            </a:solidFill>
            <a:ln>
              <a:noFill/>
            </a:ln>
            <a:effectLst/>
          </c:spPr>
          <c:invertIfNegative val="0"/>
          <c:cat>
            <c:strRef>
              <c:f>'Smart Devices'!$S$90:$S$95</c:f>
              <c:strCache>
                <c:ptCount val="5"/>
                <c:pt idx="0">
                  <c:v>Smartwatch</c:v>
                </c:pt>
                <c:pt idx="1">
                  <c:v>Smart Ring</c:v>
                </c:pt>
                <c:pt idx="2">
                  <c:v>Sports Watch</c:v>
                </c:pt>
                <c:pt idx="3">
                  <c:v>Fitness Tracker</c:v>
                </c:pt>
                <c:pt idx="4">
                  <c:v>Fitness Band</c:v>
                </c:pt>
              </c:strCache>
            </c:strRef>
          </c:cat>
          <c:val>
            <c:numRef>
              <c:f>'Smart Devices'!$T$90:$T$95</c:f>
              <c:numCache>
                <c:formatCode>General</c:formatCode>
                <c:ptCount val="5"/>
                <c:pt idx="0">
                  <c:v>429.94414634146352</c:v>
                </c:pt>
                <c:pt idx="1">
                  <c:v>426.07298701298674</c:v>
                </c:pt>
                <c:pt idx="2">
                  <c:v>362.41664717348914</c:v>
                </c:pt>
                <c:pt idx="3">
                  <c:v>197.51029411764711</c:v>
                </c:pt>
                <c:pt idx="4">
                  <c:v>30</c:v>
                </c:pt>
              </c:numCache>
            </c:numRef>
          </c:val>
          <c:extLst>
            <c:ext xmlns:c16="http://schemas.microsoft.com/office/drawing/2014/chart" uri="{C3380CC4-5D6E-409C-BE32-E72D297353CC}">
              <c16:uniqueId val="{00000000-A470-4258-9F74-49B402794CFA}"/>
            </c:ext>
          </c:extLst>
        </c:ser>
        <c:dLbls>
          <c:showLegendKey val="0"/>
          <c:showVal val="0"/>
          <c:showCatName val="0"/>
          <c:showSerName val="0"/>
          <c:showPercent val="0"/>
          <c:showBubbleSize val="0"/>
        </c:dLbls>
        <c:gapWidth val="219"/>
        <c:overlap val="-27"/>
        <c:axId val="823433664"/>
        <c:axId val="823434144"/>
      </c:barChart>
      <c:lineChart>
        <c:grouping val="standard"/>
        <c:varyColors val="0"/>
        <c:ser>
          <c:idx val="1"/>
          <c:order val="1"/>
          <c:tx>
            <c:strRef>
              <c:f>'Smart Devices'!$U$89</c:f>
              <c:strCache>
                <c:ptCount val="1"/>
                <c:pt idx="0">
                  <c:v>Average of User_Satisfaction_Rating</c:v>
                </c:pt>
              </c:strCache>
            </c:strRef>
          </c:tx>
          <c:spPr>
            <a:ln w="28575" cap="rnd">
              <a:solidFill>
                <a:schemeClr val="accent2"/>
              </a:solidFill>
              <a:round/>
            </a:ln>
            <a:effectLst/>
          </c:spPr>
          <c:marker>
            <c:symbol val="none"/>
          </c:marker>
          <c:cat>
            <c:strRef>
              <c:f>'Smart Devices'!$S$90:$S$95</c:f>
              <c:strCache>
                <c:ptCount val="5"/>
                <c:pt idx="0">
                  <c:v>Smartwatch</c:v>
                </c:pt>
                <c:pt idx="1">
                  <c:v>Smart Ring</c:v>
                </c:pt>
                <c:pt idx="2">
                  <c:v>Sports Watch</c:v>
                </c:pt>
                <c:pt idx="3">
                  <c:v>Fitness Tracker</c:v>
                </c:pt>
                <c:pt idx="4">
                  <c:v>Fitness Band</c:v>
                </c:pt>
              </c:strCache>
            </c:strRef>
          </c:cat>
          <c:val>
            <c:numRef>
              <c:f>'Smart Devices'!$U$90:$U$95</c:f>
              <c:numCache>
                <c:formatCode>0.000</c:formatCode>
                <c:ptCount val="5"/>
                <c:pt idx="0">
                  <c:v>8.1877235772357615</c:v>
                </c:pt>
                <c:pt idx="1">
                  <c:v>8.3000000000000025</c:v>
                </c:pt>
                <c:pt idx="2">
                  <c:v>7.8988304093567256</c:v>
                </c:pt>
                <c:pt idx="3">
                  <c:v>7.4076470588235335</c:v>
                </c:pt>
                <c:pt idx="4">
                  <c:v>7.0164502164502194</c:v>
                </c:pt>
              </c:numCache>
            </c:numRef>
          </c:val>
          <c:smooth val="0"/>
          <c:extLst>
            <c:ext xmlns:c16="http://schemas.microsoft.com/office/drawing/2014/chart" uri="{C3380CC4-5D6E-409C-BE32-E72D297353CC}">
              <c16:uniqueId val="{00000001-A470-4258-9F74-49B402794CFA}"/>
            </c:ext>
          </c:extLst>
        </c:ser>
        <c:dLbls>
          <c:showLegendKey val="0"/>
          <c:showVal val="0"/>
          <c:showCatName val="0"/>
          <c:showSerName val="0"/>
          <c:showPercent val="0"/>
          <c:showBubbleSize val="0"/>
        </c:dLbls>
        <c:marker val="1"/>
        <c:smooth val="0"/>
        <c:axId val="823888544"/>
        <c:axId val="823888064"/>
      </c:lineChart>
      <c:catAx>
        <c:axId val="82343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34144"/>
        <c:crosses val="autoZero"/>
        <c:auto val="1"/>
        <c:lblAlgn val="ctr"/>
        <c:lblOffset val="100"/>
        <c:noMultiLvlLbl val="0"/>
      </c:catAx>
      <c:valAx>
        <c:axId val="823434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33664"/>
        <c:crosses val="autoZero"/>
        <c:crossBetween val="between"/>
      </c:valAx>
      <c:valAx>
        <c:axId val="823888064"/>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88544"/>
        <c:crosses val="max"/>
        <c:crossBetween val="between"/>
      </c:valAx>
      <c:catAx>
        <c:axId val="823888544"/>
        <c:scaling>
          <c:orientation val="minMax"/>
        </c:scaling>
        <c:delete val="1"/>
        <c:axPos val="b"/>
        <c:numFmt formatCode="General" sourceLinked="1"/>
        <c:majorTickMark val="out"/>
        <c:minorTickMark val="none"/>
        <c:tickLblPos val="nextTo"/>
        <c:crossAx val="823888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'Smart Devices'!$T$126</c:f>
              <c:strCache>
                <c:ptCount val="1"/>
                <c:pt idx="0">
                  <c:v>Price_USD</c:v>
                </c:pt>
              </c:strCache>
            </c:strRef>
          </c:tx>
          <c:spPr>
            <a:solidFill>
              <a:schemeClr val="accent1"/>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Devices'!$T$127:$T$131</c:f>
              <c:numCache>
                <c:formatCode>General</c:formatCode>
                <c:ptCount val="5"/>
                <c:pt idx="0">
                  <c:v>1</c:v>
                </c:pt>
                <c:pt idx="1">
                  <c:v>0.84293890324455367</c:v>
                </c:pt>
                <c:pt idx="2">
                  <c:v>0.4593859360531532</c:v>
                </c:pt>
                <c:pt idx="3">
                  <c:v>0.99099613435508371</c:v>
                </c:pt>
                <c:pt idx="4">
                  <c:v>6.9776505286279364E-2</c:v>
                </c:pt>
              </c:numCache>
            </c:numRef>
          </c:val>
          <c:extLst>
            <c:ext xmlns:c16="http://schemas.microsoft.com/office/drawing/2014/chart" uri="{C3380CC4-5D6E-409C-BE32-E72D297353CC}">
              <c16:uniqueId val="{00000000-4857-4E20-BBB8-BC70A478C5EB}"/>
            </c:ext>
          </c:extLst>
        </c:ser>
        <c:ser>
          <c:idx val="1"/>
          <c:order val="1"/>
          <c:tx>
            <c:strRef>
              <c:f>'Smart Devices'!$U$126</c:f>
              <c:strCache>
                <c:ptCount val="1"/>
                <c:pt idx="0">
                  <c:v>Health_sensor count</c:v>
                </c:pt>
              </c:strCache>
            </c:strRef>
          </c:tx>
          <c:spPr>
            <a:solidFill>
              <a:schemeClr val="accent2"/>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Devices'!$U$127:$U$131</c:f>
              <c:numCache>
                <c:formatCode>General</c:formatCode>
                <c:ptCount val="5"/>
                <c:pt idx="0">
                  <c:v>1</c:v>
                </c:pt>
                <c:pt idx="1">
                  <c:v>0.66220624434340547</c:v>
                </c:pt>
                <c:pt idx="2">
                  <c:v>0.64957680465701861</c:v>
                </c:pt>
                <c:pt idx="3">
                  <c:v>0.39003237350344788</c:v>
                </c:pt>
                <c:pt idx="4">
                  <c:v>0.29826005032616604</c:v>
                </c:pt>
              </c:numCache>
            </c:numRef>
          </c:val>
          <c:extLst>
            <c:ext xmlns:c16="http://schemas.microsoft.com/office/drawing/2014/chart" uri="{C3380CC4-5D6E-409C-BE32-E72D297353CC}">
              <c16:uniqueId val="{00000001-4857-4E20-BBB8-BC70A478C5EB}"/>
            </c:ext>
          </c:extLst>
        </c:ser>
        <c:ser>
          <c:idx val="2"/>
          <c:order val="2"/>
          <c:tx>
            <c:strRef>
              <c:f>'Smart Devices'!$V$126</c:f>
              <c:strCache>
                <c:ptCount val="1"/>
                <c:pt idx="0">
                  <c:v>Heart_rate_accuracy_percent</c:v>
                </c:pt>
              </c:strCache>
            </c:strRef>
          </c:tx>
          <c:spPr>
            <a:solidFill>
              <a:schemeClr val="accent3"/>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Devices'!$V$127:$V$131</c:f>
              <c:numCache>
                <c:formatCode>General</c:formatCode>
                <c:ptCount val="5"/>
                <c:pt idx="0">
                  <c:v>1</c:v>
                </c:pt>
                <c:pt idx="1">
                  <c:v>0.99954273475349154</c:v>
                </c:pt>
                <c:pt idx="2">
                  <c:v>0.96154370458645189</c:v>
                </c:pt>
                <c:pt idx="3">
                  <c:v>0.93230618092333428</c:v>
                </c:pt>
                <c:pt idx="4">
                  <c:v>0.92999425256220503</c:v>
                </c:pt>
              </c:numCache>
            </c:numRef>
          </c:val>
          <c:extLst>
            <c:ext xmlns:c16="http://schemas.microsoft.com/office/drawing/2014/chart" uri="{C3380CC4-5D6E-409C-BE32-E72D297353CC}">
              <c16:uniqueId val="{00000002-4857-4E20-BBB8-BC70A478C5EB}"/>
            </c:ext>
          </c:extLst>
        </c:ser>
        <c:ser>
          <c:idx val="3"/>
          <c:order val="3"/>
          <c:tx>
            <c:strRef>
              <c:f>'Smart Devices'!$W$126</c:f>
              <c:strCache>
                <c:ptCount val="1"/>
                <c:pt idx="0">
                  <c:v>user_satisfaction_rating</c:v>
                </c:pt>
              </c:strCache>
            </c:strRef>
          </c:tx>
          <c:spPr>
            <a:solidFill>
              <a:schemeClr val="accent4"/>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Devices'!$W$127:$W$131</c:f>
              <c:numCache>
                <c:formatCode>General</c:formatCode>
                <c:ptCount val="5"/>
                <c:pt idx="0">
                  <c:v>0.98647272014888665</c:v>
                </c:pt>
                <c:pt idx="1">
                  <c:v>0.95166631438032812</c:v>
                </c:pt>
                <c:pt idx="2">
                  <c:v>0.89248759744861828</c:v>
                </c:pt>
                <c:pt idx="3">
                  <c:v>1</c:v>
                </c:pt>
                <c:pt idx="4">
                  <c:v>0.84535544776508642</c:v>
                </c:pt>
              </c:numCache>
            </c:numRef>
          </c:val>
          <c:extLst>
            <c:ext xmlns:c16="http://schemas.microsoft.com/office/drawing/2014/chart" uri="{C3380CC4-5D6E-409C-BE32-E72D297353CC}">
              <c16:uniqueId val="{00000003-4857-4E20-BBB8-BC70A478C5EB}"/>
            </c:ext>
          </c:extLst>
        </c:ser>
        <c:ser>
          <c:idx val="4"/>
          <c:order val="4"/>
          <c:tx>
            <c:strRef>
              <c:f>'Smart Devices'!$X$126</c:f>
              <c:strCache>
                <c:ptCount val="1"/>
                <c:pt idx="0">
                  <c:v>Overall_Score</c:v>
                </c:pt>
              </c:strCache>
            </c:strRef>
          </c:tx>
          <c:spPr>
            <a:solidFill>
              <a:schemeClr val="accent5"/>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Devices'!$X$127:$X$131</c:f>
              <c:numCache>
                <c:formatCode>General</c:formatCode>
                <c:ptCount val="5"/>
                <c:pt idx="0">
                  <c:v>0.7972945440297774</c:v>
                </c:pt>
                <c:pt idx="1">
                  <c:v>0.69127083934435574</c:v>
                </c:pt>
                <c:pt idx="2">
                  <c:v>0.59259880854904834</c:v>
                </c:pt>
                <c:pt idx="3">
                  <c:v>0.6626669377563732</c:v>
                </c:pt>
                <c:pt idx="4">
                  <c:v>0.42867725118794742</c:v>
                </c:pt>
              </c:numCache>
            </c:numRef>
          </c:val>
          <c:extLst>
            <c:ext xmlns:c16="http://schemas.microsoft.com/office/drawing/2014/chart" uri="{C3380CC4-5D6E-409C-BE32-E72D297353CC}">
              <c16:uniqueId val="{00000004-4857-4E20-BBB8-BC70A478C5EB}"/>
            </c:ext>
          </c:extLst>
        </c:ser>
        <c:dLbls>
          <c:showLegendKey val="0"/>
          <c:showVal val="0"/>
          <c:showCatName val="0"/>
          <c:showSerName val="0"/>
          <c:showPercent val="0"/>
          <c:showBubbleSize val="0"/>
        </c:dLbls>
        <c:gapWidth val="219"/>
        <c:overlap val="-27"/>
        <c:axId val="962266416"/>
        <c:axId val="962264976"/>
      </c:barChart>
      <c:catAx>
        <c:axId val="96226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64976"/>
        <c:crosses val="autoZero"/>
        <c:auto val="1"/>
        <c:lblAlgn val="ctr"/>
        <c:lblOffset val="100"/>
        <c:noMultiLvlLbl val="0"/>
      </c:catAx>
      <c:valAx>
        <c:axId val="96226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664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sale on that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3210755680086"/>
          <c:y val="0.18365850102070572"/>
          <c:w val="0.47198359580052496"/>
          <c:h val="0.62560877806940796"/>
        </c:manualLayout>
      </c:layout>
      <c:barChart>
        <c:barDir val="bar"/>
        <c:grouping val="clustered"/>
        <c:varyColors val="0"/>
        <c:ser>
          <c:idx val="0"/>
          <c:order val="0"/>
          <c:tx>
            <c:strRef>
              <c:f>'Smart Devices'!$T$157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Devices'!$S$158:$S$159</c:f>
              <c:strCache>
                <c:ptCount val="1"/>
                <c:pt idx="0">
                  <c:v>08-06-2025</c:v>
                </c:pt>
              </c:strCache>
            </c:strRef>
          </c:cat>
          <c:val>
            <c:numRef>
              <c:f>'Smart Devices'!$T$158:$T$159</c:f>
              <c:numCache>
                <c:formatCode>General</c:formatCode>
                <c:ptCount val="1"/>
                <c:pt idx="0">
                  <c:v>96</c:v>
                </c:pt>
              </c:numCache>
            </c:numRef>
          </c:val>
          <c:extLst>
            <c:ext xmlns:c16="http://schemas.microsoft.com/office/drawing/2014/chart" uri="{C3380CC4-5D6E-409C-BE32-E72D297353CC}">
              <c16:uniqueId val="{00000000-16D3-4353-825F-58CA0E599C52}"/>
            </c:ext>
          </c:extLst>
        </c:ser>
        <c:dLbls>
          <c:dLblPos val="outEnd"/>
          <c:showLegendKey val="0"/>
          <c:showVal val="1"/>
          <c:showCatName val="0"/>
          <c:showSerName val="0"/>
          <c:showPercent val="0"/>
          <c:showBubbleSize val="0"/>
        </c:dLbls>
        <c:gapWidth val="182"/>
        <c:axId val="62275535"/>
        <c:axId val="62276495"/>
      </c:barChart>
      <c:catAx>
        <c:axId val="62275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6495"/>
        <c:crosses val="autoZero"/>
        <c:auto val="1"/>
        <c:lblAlgn val="ctr"/>
        <c:lblOffset val="100"/>
        <c:noMultiLvlLbl val="0"/>
      </c:catAx>
      <c:valAx>
        <c:axId val="62276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 device sold</a:t>
                </a:r>
              </a:p>
            </c:rich>
          </c:tx>
          <c:layout>
            <c:manualLayout>
              <c:xMode val="edge"/>
              <c:yMode val="edge"/>
              <c:x val="0.41910029544487665"/>
              <c:y val="0.898148148148148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PERFORMANCE SCORE OF SMART DEVICES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Devices'!$T$2</c:f>
              <c:strCache>
                <c:ptCount val="1"/>
                <c:pt idx="0">
                  <c:v>Total</c:v>
                </c:pt>
              </c:strCache>
            </c:strRef>
          </c:tx>
          <c:spPr>
            <a:solidFill>
              <a:schemeClr val="accent1"/>
            </a:solidFill>
            <a:ln>
              <a:noFill/>
            </a:ln>
            <a:effectLst/>
          </c:spPr>
          <c:invertIfNegative val="0"/>
          <c:cat>
            <c:strRef>
              <c:f>'Smart Devices'!$S$3:$S$32</c:f>
              <c:strCache>
                <c:ptCount val="29"/>
                <c:pt idx="0">
                  <c:v>Oura Ring Gen 4</c:v>
                </c:pt>
                <c:pt idx="1">
                  <c:v>WHOOP 4.0</c:v>
                </c:pt>
                <c:pt idx="2">
                  <c:v>Polar Vantage V3</c:v>
                </c:pt>
                <c:pt idx="3">
                  <c:v>Polar Pacer Pro</c:v>
                </c:pt>
                <c:pt idx="4">
                  <c:v>Withings ScanWatch 2</c:v>
                </c:pt>
                <c:pt idx="5">
                  <c:v>Samsung Galaxy Watch FE</c:v>
                </c:pt>
                <c:pt idx="6">
                  <c:v>Withings Steel HR</c:v>
                </c:pt>
                <c:pt idx="7">
                  <c:v>Apple Watch SE 3</c:v>
                </c:pt>
                <c:pt idx="8">
                  <c:v>Apple Watch Series 10</c:v>
                </c:pt>
                <c:pt idx="9">
                  <c:v>Samsung Galaxy Watch Ultra</c:v>
                </c:pt>
                <c:pt idx="10">
                  <c:v>Samsung Galaxy Watch 7</c:v>
                </c:pt>
                <c:pt idx="11">
                  <c:v>Apple Watch Ultra 2</c:v>
                </c:pt>
                <c:pt idx="12">
                  <c:v>Fitbit Charge 6</c:v>
                </c:pt>
                <c:pt idx="13">
                  <c:v>Fitbit Inspire 4</c:v>
                </c:pt>
                <c:pt idx="14">
                  <c:v>Amazfit Band 7</c:v>
                </c:pt>
                <c:pt idx="15">
                  <c:v>Amazfit GTR 4</c:v>
                </c:pt>
                <c:pt idx="16">
                  <c:v>Fitbit Sense 2</c:v>
                </c:pt>
                <c:pt idx="17">
                  <c:v>Fitbit Versa 4</c:v>
                </c:pt>
                <c:pt idx="18">
                  <c:v>Garmin Instinct 2X</c:v>
                </c:pt>
                <c:pt idx="19">
                  <c:v>Huawei Band 9</c:v>
                </c:pt>
                <c:pt idx="20">
                  <c:v>Amazfit GTS 4</c:v>
                </c:pt>
                <c:pt idx="21">
                  <c:v>Garmin Forerunner 965</c:v>
                </c:pt>
                <c:pt idx="22">
                  <c:v>Amazfit T-Rex 3</c:v>
                </c:pt>
                <c:pt idx="23">
                  <c:v>Huawei Watch GT 5</c:v>
                </c:pt>
                <c:pt idx="24">
                  <c:v>Garmin Venu 3</c:v>
                </c:pt>
                <c:pt idx="25">
                  <c:v>Garmin Enduro 3</c:v>
                </c:pt>
                <c:pt idx="26">
                  <c:v>Garmin Fenix 8</c:v>
                </c:pt>
                <c:pt idx="27">
                  <c:v>Huawei Watch Ultimate</c:v>
                </c:pt>
                <c:pt idx="28">
                  <c:v>Huawei Watch 5</c:v>
                </c:pt>
              </c:strCache>
            </c:strRef>
          </c:cat>
          <c:val>
            <c:numRef>
              <c:f>'Smart Devices'!$T$3:$T$32</c:f>
              <c:numCache>
                <c:formatCode>General</c:formatCode>
                <c:ptCount val="29"/>
                <c:pt idx="0">
                  <c:v>17328.599999999999</c:v>
                </c:pt>
                <c:pt idx="1">
                  <c:v>15959.200000000004</c:v>
                </c:pt>
                <c:pt idx="2">
                  <c:v>7743.5999999999995</c:v>
                </c:pt>
                <c:pt idx="3">
                  <c:v>7184.5999999999976</c:v>
                </c:pt>
                <c:pt idx="4">
                  <c:v>6972.0000000000009</c:v>
                </c:pt>
                <c:pt idx="5">
                  <c:v>6010.1000000000013</c:v>
                </c:pt>
                <c:pt idx="6">
                  <c:v>5976.0000000000018</c:v>
                </c:pt>
                <c:pt idx="7">
                  <c:v>5644.2000000000007</c:v>
                </c:pt>
                <c:pt idx="8">
                  <c:v>5633.800000000002</c:v>
                </c:pt>
                <c:pt idx="9">
                  <c:v>5582.9000000000015</c:v>
                </c:pt>
                <c:pt idx="10">
                  <c:v>4548.5999999999976</c:v>
                </c:pt>
                <c:pt idx="11">
                  <c:v>4493.2999999999984</c:v>
                </c:pt>
                <c:pt idx="12">
                  <c:v>4239.7999999999975</c:v>
                </c:pt>
                <c:pt idx="13">
                  <c:v>3953.7999999999993</c:v>
                </c:pt>
                <c:pt idx="14">
                  <c:v>3794.3000000000006</c:v>
                </c:pt>
                <c:pt idx="15">
                  <c:v>3759.8999999999996</c:v>
                </c:pt>
                <c:pt idx="16">
                  <c:v>3647.3999999999996</c:v>
                </c:pt>
                <c:pt idx="17">
                  <c:v>3595.3000000000006</c:v>
                </c:pt>
                <c:pt idx="18">
                  <c:v>3566.1000000000008</c:v>
                </c:pt>
                <c:pt idx="19">
                  <c:v>3528.2000000000007</c:v>
                </c:pt>
                <c:pt idx="20">
                  <c:v>3471.0000000000009</c:v>
                </c:pt>
                <c:pt idx="21">
                  <c:v>3450.2</c:v>
                </c:pt>
                <c:pt idx="22">
                  <c:v>3404.6999999999985</c:v>
                </c:pt>
                <c:pt idx="23">
                  <c:v>3402.2999999999993</c:v>
                </c:pt>
                <c:pt idx="24">
                  <c:v>3373.4999999999995</c:v>
                </c:pt>
                <c:pt idx="25">
                  <c:v>3202.7</c:v>
                </c:pt>
                <c:pt idx="26">
                  <c:v>3107.8</c:v>
                </c:pt>
                <c:pt idx="27">
                  <c:v>2792.2</c:v>
                </c:pt>
                <c:pt idx="28">
                  <c:v>2747.0000000000005</c:v>
                </c:pt>
              </c:numCache>
            </c:numRef>
          </c:val>
          <c:extLst>
            <c:ext xmlns:c16="http://schemas.microsoft.com/office/drawing/2014/chart" uri="{C3380CC4-5D6E-409C-BE32-E72D297353CC}">
              <c16:uniqueId val="{00000000-FF9A-4A75-9BC9-78F86DED4D82}"/>
            </c:ext>
          </c:extLst>
        </c:ser>
        <c:dLbls>
          <c:showLegendKey val="0"/>
          <c:showVal val="0"/>
          <c:showCatName val="0"/>
          <c:showSerName val="0"/>
          <c:showPercent val="0"/>
          <c:showBubbleSize val="0"/>
        </c:dLbls>
        <c:gapWidth val="219"/>
        <c:overlap val="-27"/>
        <c:axId val="592995648"/>
        <c:axId val="592999008"/>
      </c:barChart>
      <c:catAx>
        <c:axId val="5929956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DEVICE NAME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99008"/>
        <c:crosses val="autoZero"/>
        <c:auto val="1"/>
        <c:lblAlgn val="ctr"/>
        <c:lblOffset val="100"/>
        <c:noMultiLvlLbl val="0"/>
      </c:catAx>
      <c:valAx>
        <c:axId val="592999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PERFORMANCE SCORE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299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BATTERY LIFE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2786623435572299E-2"/>
          <c:y val="0.34340483131107152"/>
          <c:w val="0.64877400856810619"/>
          <c:h val="0.52593390455042088"/>
        </c:manualLayout>
      </c:layout>
      <c:pie3DChart>
        <c:varyColors val="1"/>
        <c:ser>
          <c:idx val="0"/>
          <c:order val="0"/>
          <c:tx>
            <c:strRef>
              <c:f>'Smart Devices'!$T$37</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1D0-4C7E-8BFF-FAEE34DBD6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1D0-4C7E-8BFF-FAEE34DBD6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1D0-4C7E-8BFF-FAEE34DBD64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1D0-4C7E-8BFF-FAEE34DBD64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1D0-4C7E-8BFF-FAEE34DBD6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'Smart Devices'!$S$38:$S$43</c:f>
              <c:strCache>
                <c:ptCount val="5"/>
                <c:pt idx="0">
                  <c:v>Sports Watch</c:v>
                </c:pt>
                <c:pt idx="1">
                  <c:v>Smart Ring</c:v>
                </c:pt>
                <c:pt idx="2">
                  <c:v>Fitness Tracker</c:v>
                </c:pt>
                <c:pt idx="3">
                  <c:v>Fitness Band</c:v>
                </c:pt>
                <c:pt idx="4">
                  <c:v>Smartwatch</c:v>
                </c:pt>
              </c:strCache>
            </c:strRef>
          </c:cat>
          <c:val>
            <c:numRef>
              <c:f>'Smart Devices'!$T$38:$T$43</c:f>
              <c:numCache>
                <c:formatCode>0.000</c:formatCode>
                <c:ptCount val="5"/>
                <c:pt idx="0">
                  <c:v>297.05614035087751</c:v>
                </c:pt>
                <c:pt idx="1">
                  <c:v>179.98701298701295</c:v>
                </c:pt>
                <c:pt idx="2">
                  <c:v>155.67117647058825</c:v>
                </c:pt>
                <c:pt idx="3">
                  <c:v>143.7562770562771</c:v>
                </c:pt>
                <c:pt idx="4">
                  <c:v>103.86138211382111</c:v>
                </c:pt>
              </c:numCache>
            </c:numRef>
          </c:val>
          <c:extLst>
            <c:ext xmlns:c16="http://schemas.microsoft.com/office/drawing/2014/chart" uri="{C3380CC4-5D6E-409C-BE32-E72D297353CC}">
              <c16:uniqueId val="{0000000A-B1D0-4C7E-8BFF-FAEE34DBD64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IMPACT OF SENSOR COUNT ON DEVICE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'Smart Devices'!$T$51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Devices'!$S$52:$S$66</c:f>
              <c:strCache>
                <c:ptCount val="14"/>
                <c:pt idx="0">
                  <c:v>2</c:v>
                </c:pt>
                <c:pt idx="1">
                  <c:v>3</c:v>
                </c:pt>
                <c:pt idx="2">
                  <c:v>4</c:v>
                </c:pt>
                <c:pt idx="3">
                  <c:v>5</c:v>
                </c:pt>
                <c:pt idx="4">
                  <c:v>6</c:v>
                </c:pt>
                <c:pt idx="5">
                  <c:v>7</c:v>
                </c:pt>
                <c:pt idx="6">
                  <c:v>8</c:v>
                </c:pt>
                <c:pt idx="7">
                  <c:v>9</c:v>
                </c:pt>
                <c:pt idx="8">
                  <c:v>10</c:v>
                </c:pt>
                <c:pt idx="9">
                  <c:v>11</c:v>
                </c:pt>
                <c:pt idx="10">
                  <c:v>12</c:v>
                </c:pt>
                <c:pt idx="11">
                  <c:v>13</c:v>
                </c:pt>
                <c:pt idx="12">
                  <c:v>14</c:v>
                </c:pt>
                <c:pt idx="13">
                  <c:v>15</c:v>
                </c:pt>
              </c:strCache>
            </c:strRef>
          </c:cat>
          <c:val>
            <c:numRef>
              <c:f>'Smart Devices'!$T$52:$T$66</c:f>
              <c:numCache>
                <c:formatCode>0.000</c:formatCode>
                <c:ptCount val="14"/>
                <c:pt idx="0">
                  <c:v>88.515438596491265</c:v>
                </c:pt>
                <c:pt idx="1">
                  <c:v>88.351221374045764</c:v>
                </c:pt>
                <c:pt idx="2">
                  <c:v>88.610625000000013</c:v>
                </c:pt>
                <c:pt idx="3">
                  <c:v>91.432000000000031</c:v>
                </c:pt>
                <c:pt idx="4">
                  <c:v>92.178152173913091</c:v>
                </c:pt>
                <c:pt idx="5">
                  <c:v>94.10595959595959</c:v>
                </c:pt>
                <c:pt idx="6">
                  <c:v>94.352392156862763</c:v>
                </c:pt>
                <c:pt idx="7">
                  <c:v>94.648686131386839</c:v>
                </c:pt>
                <c:pt idx="8">
                  <c:v>94.754000000000062</c:v>
                </c:pt>
                <c:pt idx="9">
                  <c:v>95.008853503184682</c:v>
                </c:pt>
                <c:pt idx="10">
                  <c:v>94.93547297297296</c:v>
                </c:pt>
                <c:pt idx="11">
                  <c:v>95.085704225352089</c:v>
                </c:pt>
                <c:pt idx="12">
                  <c:v>95.036363636363603</c:v>
                </c:pt>
                <c:pt idx="13">
                  <c:v>95.117469135802466</c:v>
                </c:pt>
              </c:numCache>
            </c:numRef>
          </c:val>
          <c:smooth val="0"/>
          <c:extLst>
            <c:ext xmlns:c16="http://schemas.microsoft.com/office/drawing/2014/chart" uri="{C3380CC4-5D6E-409C-BE32-E72D297353CC}">
              <c16:uniqueId val="{00000000-D11A-49FE-948C-2F7E5D080DEF}"/>
            </c:ext>
          </c:extLst>
        </c:ser>
        <c:dLbls>
          <c:showLegendKey val="0"/>
          <c:showVal val="1"/>
          <c:showCatName val="0"/>
          <c:showSerName val="0"/>
          <c:showPercent val="0"/>
          <c:showBubbleSize val="0"/>
        </c:dLbls>
        <c:marker val="1"/>
        <c:smooth val="0"/>
        <c:axId val="734556864"/>
        <c:axId val="734553984"/>
      </c:lineChart>
      <c:catAx>
        <c:axId val="7345568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SENSOR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3984"/>
        <c:crosses val="autoZero"/>
        <c:auto val="1"/>
        <c:lblAlgn val="ctr"/>
        <c:lblOffset val="100"/>
        <c:noMultiLvlLbl val="0"/>
      </c:catAx>
      <c:valAx>
        <c:axId val="73455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AVERAGE HEARTRATE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556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BRAND WITH LOW USER SATISFACTION</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3210755680086"/>
          <c:y val="0.18365850102070572"/>
          <c:w val="0.47198359580052496"/>
          <c:h val="0.62560877806940796"/>
        </c:manualLayout>
      </c:layout>
      <c:barChart>
        <c:barDir val="bar"/>
        <c:grouping val="clustered"/>
        <c:varyColors val="0"/>
        <c:ser>
          <c:idx val="0"/>
          <c:order val="0"/>
          <c:tx>
            <c:strRef>
              <c:f>'Smart Devices'!$U$72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Devices'!$S$73:$T$83</c:f>
              <c:strCache>
                <c:ptCount val="10"/>
                <c:pt idx="0">
                  <c:v>Amazfit</c:v>
                </c:pt>
                <c:pt idx="1">
                  <c:v>Apple</c:v>
                </c:pt>
                <c:pt idx="2">
                  <c:v>Fitbit</c:v>
                </c:pt>
                <c:pt idx="3">
                  <c:v>Garmin</c:v>
                </c:pt>
                <c:pt idx="4">
                  <c:v>Huawei</c:v>
                </c:pt>
                <c:pt idx="5">
                  <c:v>Oura</c:v>
                </c:pt>
                <c:pt idx="6">
                  <c:v>Polar</c:v>
                </c:pt>
                <c:pt idx="7">
                  <c:v>Samsung</c:v>
                </c:pt>
                <c:pt idx="8">
                  <c:v>WHOOP</c:v>
                </c:pt>
                <c:pt idx="9">
                  <c:v>Withings</c:v>
                </c:pt>
              </c:strCache>
            </c:strRef>
          </c:cat>
          <c:val>
            <c:numRef>
              <c:f>'Smart Devices'!$U$73:$U$83</c:f>
              <c:numCache>
                <c:formatCode>0.000</c:formatCode>
                <c:ptCount val="10"/>
                <c:pt idx="0">
                  <c:v>7.3306034482758582</c:v>
                </c:pt>
                <c:pt idx="1">
                  <c:v>8.4062256809338542</c:v>
                </c:pt>
                <c:pt idx="2">
                  <c:v>7.3881856540084385</c:v>
                </c:pt>
                <c:pt idx="3">
                  <c:v>8.4374045801526663</c:v>
                </c:pt>
                <c:pt idx="4">
                  <c:v>8.2643902439024437</c:v>
                </c:pt>
                <c:pt idx="5">
                  <c:v>8.3000000000000025</c:v>
                </c:pt>
                <c:pt idx="6">
                  <c:v>8.0236734693877523</c:v>
                </c:pt>
                <c:pt idx="7">
                  <c:v>8.3399239543726225</c:v>
                </c:pt>
                <c:pt idx="8">
                  <c:v>7.0164502164502194</c:v>
                </c:pt>
                <c:pt idx="9">
                  <c:v>8.0481132075471731</c:v>
                </c:pt>
              </c:numCache>
            </c:numRef>
          </c:val>
          <c:extLst>
            <c:ext xmlns:c16="http://schemas.microsoft.com/office/drawing/2014/chart" uri="{C3380CC4-5D6E-409C-BE32-E72D297353CC}">
              <c16:uniqueId val="{00000001-6288-43E6-A111-32A3C11C1524}"/>
            </c:ext>
          </c:extLst>
        </c:ser>
        <c:dLbls>
          <c:dLblPos val="outEnd"/>
          <c:showLegendKey val="0"/>
          <c:showVal val="1"/>
          <c:showCatName val="0"/>
          <c:showSerName val="0"/>
          <c:showPercent val="0"/>
          <c:showBubbleSize val="0"/>
        </c:dLbls>
        <c:gapWidth val="182"/>
        <c:axId val="62275535"/>
        <c:axId val="62276495"/>
      </c:barChart>
      <c:catAx>
        <c:axId val="62275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6495"/>
        <c:crosses val="autoZero"/>
        <c:auto val="1"/>
        <c:lblAlgn val="ctr"/>
        <c:lblOffset val="100"/>
        <c:noMultiLvlLbl val="0"/>
      </c:catAx>
      <c:valAx>
        <c:axId val="62276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 device sold</a:t>
                </a:r>
              </a:p>
            </c:rich>
          </c:tx>
          <c:layout>
            <c:manualLayout>
              <c:xMode val="edge"/>
              <c:yMode val="edge"/>
              <c:x val="0.41910029544487665"/>
              <c:y val="0.89814814814814814"/>
            </c:manualLayout>
          </c:layout>
          <c:overlay val="0"/>
          <c:spPr>
            <a:noFill/>
            <a:ln>
              <a:noFill/>
            </a:ln>
            <a:effectLst/>
          </c:sp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5535"/>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INDICATING</a:t>
            </a:r>
            <a:r>
              <a:rPr lang="en-IN" b="1" baseline="0"/>
              <a:t> </a:t>
            </a:r>
            <a:r>
              <a:rPr lang="en-IN" b="1"/>
              <a:t>POOR VALUE OF MONEY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'Smart Devices'!$T$89</c:f>
              <c:strCache>
                <c:ptCount val="1"/>
                <c:pt idx="0">
                  <c:v>Average of Price_USD</c:v>
                </c:pt>
              </c:strCache>
            </c:strRef>
          </c:tx>
          <c:spPr>
            <a:solidFill>
              <a:schemeClr val="accent1"/>
            </a:solidFill>
            <a:ln>
              <a:noFill/>
            </a:ln>
            <a:effectLst/>
          </c:spPr>
          <c:invertIfNegative val="0"/>
          <c:cat>
            <c:strRef>
              <c:f>'Smart Devices'!$S$90:$S$95</c:f>
              <c:strCache>
                <c:ptCount val="5"/>
                <c:pt idx="0">
                  <c:v>Smartwatch</c:v>
                </c:pt>
                <c:pt idx="1">
                  <c:v>Smart Ring</c:v>
                </c:pt>
                <c:pt idx="2">
                  <c:v>Sports Watch</c:v>
                </c:pt>
                <c:pt idx="3">
                  <c:v>Fitness Tracker</c:v>
                </c:pt>
                <c:pt idx="4">
                  <c:v>Fitness Band</c:v>
                </c:pt>
              </c:strCache>
            </c:strRef>
          </c:cat>
          <c:val>
            <c:numRef>
              <c:f>'Smart Devices'!$T$90:$T$95</c:f>
              <c:numCache>
                <c:formatCode>General</c:formatCode>
                <c:ptCount val="5"/>
                <c:pt idx="0">
                  <c:v>429.94414634146352</c:v>
                </c:pt>
                <c:pt idx="1">
                  <c:v>426.07298701298674</c:v>
                </c:pt>
                <c:pt idx="2">
                  <c:v>362.41664717348914</c:v>
                </c:pt>
                <c:pt idx="3">
                  <c:v>197.51029411764711</c:v>
                </c:pt>
                <c:pt idx="4">
                  <c:v>30</c:v>
                </c:pt>
              </c:numCache>
            </c:numRef>
          </c:val>
          <c:extLst>
            <c:ext xmlns:c16="http://schemas.microsoft.com/office/drawing/2014/chart" uri="{C3380CC4-5D6E-409C-BE32-E72D297353CC}">
              <c16:uniqueId val="{00000000-8DFA-4144-B5BB-2B1952B562C0}"/>
            </c:ext>
          </c:extLst>
        </c:ser>
        <c:dLbls>
          <c:showLegendKey val="0"/>
          <c:showVal val="0"/>
          <c:showCatName val="0"/>
          <c:showSerName val="0"/>
          <c:showPercent val="0"/>
          <c:showBubbleSize val="0"/>
        </c:dLbls>
        <c:gapWidth val="219"/>
        <c:overlap val="-27"/>
        <c:axId val="823433664"/>
        <c:axId val="823434144"/>
      </c:barChart>
      <c:lineChart>
        <c:grouping val="standard"/>
        <c:varyColors val="0"/>
        <c:ser>
          <c:idx val="1"/>
          <c:order val="1"/>
          <c:tx>
            <c:strRef>
              <c:f>'Smart Devices'!$U$89</c:f>
              <c:strCache>
                <c:ptCount val="1"/>
                <c:pt idx="0">
                  <c:v>Average of User_Satisfaction_Rating</c:v>
                </c:pt>
              </c:strCache>
            </c:strRef>
          </c:tx>
          <c:spPr>
            <a:ln w="28575" cap="rnd">
              <a:solidFill>
                <a:schemeClr val="accent2"/>
              </a:solidFill>
              <a:round/>
            </a:ln>
            <a:effectLst/>
          </c:spPr>
          <c:marker>
            <c:symbol val="none"/>
          </c:marker>
          <c:cat>
            <c:strRef>
              <c:f>'Smart Devices'!$S$90:$S$95</c:f>
              <c:strCache>
                <c:ptCount val="5"/>
                <c:pt idx="0">
                  <c:v>Smartwatch</c:v>
                </c:pt>
                <c:pt idx="1">
                  <c:v>Smart Ring</c:v>
                </c:pt>
                <c:pt idx="2">
                  <c:v>Sports Watch</c:v>
                </c:pt>
                <c:pt idx="3">
                  <c:v>Fitness Tracker</c:v>
                </c:pt>
                <c:pt idx="4">
                  <c:v>Fitness Band</c:v>
                </c:pt>
              </c:strCache>
            </c:strRef>
          </c:cat>
          <c:val>
            <c:numRef>
              <c:f>'Smart Devices'!$U$90:$U$95</c:f>
              <c:numCache>
                <c:formatCode>0.000</c:formatCode>
                <c:ptCount val="5"/>
                <c:pt idx="0">
                  <c:v>8.1877235772357615</c:v>
                </c:pt>
                <c:pt idx="1">
                  <c:v>8.3000000000000025</c:v>
                </c:pt>
                <c:pt idx="2">
                  <c:v>7.8988304093567256</c:v>
                </c:pt>
                <c:pt idx="3">
                  <c:v>7.4076470588235335</c:v>
                </c:pt>
                <c:pt idx="4">
                  <c:v>7.0164502164502194</c:v>
                </c:pt>
              </c:numCache>
            </c:numRef>
          </c:val>
          <c:smooth val="0"/>
          <c:extLst>
            <c:ext xmlns:c16="http://schemas.microsoft.com/office/drawing/2014/chart" uri="{C3380CC4-5D6E-409C-BE32-E72D297353CC}">
              <c16:uniqueId val="{00000001-8DFA-4144-B5BB-2B1952B562C0}"/>
            </c:ext>
          </c:extLst>
        </c:ser>
        <c:dLbls>
          <c:showLegendKey val="0"/>
          <c:showVal val="0"/>
          <c:showCatName val="0"/>
          <c:showSerName val="0"/>
          <c:showPercent val="0"/>
          <c:showBubbleSize val="0"/>
        </c:dLbls>
        <c:marker val="1"/>
        <c:smooth val="0"/>
        <c:axId val="823888544"/>
        <c:axId val="823888064"/>
      </c:lineChart>
      <c:catAx>
        <c:axId val="8234336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DEVICE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34144"/>
        <c:crosses val="autoZero"/>
        <c:auto val="1"/>
        <c:lblAlgn val="ctr"/>
        <c:lblOffset val="100"/>
        <c:noMultiLvlLbl val="0"/>
      </c:catAx>
      <c:valAx>
        <c:axId val="8234341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a:t>
                </a:r>
                <a:r>
                  <a:rPr lang="en-US"/>
                  <a:t>USD_PRICE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433664"/>
        <c:crosses val="autoZero"/>
        <c:crossBetween val="between"/>
      </c:valAx>
      <c:valAx>
        <c:axId val="823888064"/>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USER SATISFACTION RATING</a:t>
                </a:r>
              </a:p>
            </c:rich>
          </c:tx>
          <c:layout>
            <c:manualLayout>
              <c:xMode val="edge"/>
              <c:yMode val="edge"/>
              <c:x val="0.54292321104853103"/>
              <c:y val="0.1239429928741092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3888544"/>
        <c:crosses val="max"/>
        <c:crossBetween val="between"/>
      </c:valAx>
      <c:catAx>
        <c:axId val="823888544"/>
        <c:scaling>
          <c:orientation val="minMax"/>
        </c:scaling>
        <c:delete val="1"/>
        <c:axPos val="b"/>
        <c:numFmt formatCode="General" sourceLinked="1"/>
        <c:majorTickMark val="out"/>
        <c:minorTickMark val="none"/>
        <c:tickLblPos val="nextTo"/>
        <c:crossAx val="8238880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BEST OVERALL DEVICE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1165783636298557E-2"/>
          <c:y val="0.11111946599084381"/>
          <c:w val="0.91319222590648663"/>
          <c:h val="0.37070420908480889"/>
        </c:manualLayout>
      </c:layout>
      <c:barChart>
        <c:barDir val="col"/>
        <c:grouping val="clustered"/>
        <c:varyColors val="0"/>
        <c:ser>
          <c:idx val="0"/>
          <c:order val="0"/>
          <c:tx>
            <c:strRef>
              <c:f>'Smart Devices'!$T$126</c:f>
              <c:strCache>
                <c:ptCount val="1"/>
                <c:pt idx="0">
                  <c:v>Price_USD</c:v>
                </c:pt>
              </c:strCache>
            </c:strRef>
          </c:tx>
          <c:spPr>
            <a:solidFill>
              <a:schemeClr val="accent1"/>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Devices'!$T$127:$T$131</c:f>
              <c:numCache>
                <c:formatCode>General</c:formatCode>
                <c:ptCount val="5"/>
                <c:pt idx="0">
                  <c:v>1</c:v>
                </c:pt>
                <c:pt idx="1">
                  <c:v>0.84293890324455367</c:v>
                </c:pt>
                <c:pt idx="2">
                  <c:v>0.4593859360531532</c:v>
                </c:pt>
                <c:pt idx="3">
                  <c:v>0.99099613435508371</c:v>
                </c:pt>
                <c:pt idx="4">
                  <c:v>6.9776505286279364E-2</c:v>
                </c:pt>
              </c:numCache>
            </c:numRef>
          </c:val>
          <c:extLst>
            <c:ext xmlns:c16="http://schemas.microsoft.com/office/drawing/2014/chart" uri="{C3380CC4-5D6E-409C-BE32-E72D297353CC}">
              <c16:uniqueId val="{00000000-9C46-4FD9-AB83-62D18A364EC5}"/>
            </c:ext>
          </c:extLst>
        </c:ser>
        <c:ser>
          <c:idx val="1"/>
          <c:order val="1"/>
          <c:tx>
            <c:strRef>
              <c:f>'Smart Devices'!$U$126</c:f>
              <c:strCache>
                <c:ptCount val="1"/>
                <c:pt idx="0">
                  <c:v>Health_sensor count</c:v>
                </c:pt>
              </c:strCache>
            </c:strRef>
          </c:tx>
          <c:spPr>
            <a:solidFill>
              <a:schemeClr val="accent2"/>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Devices'!$U$127:$U$131</c:f>
              <c:numCache>
                <c:formatCode>General</c:formatCode>
                <c:ptCount val="5"/>
                <c:pt idx="0">
                  <c:v>1</c:v>
                </c:pt>
                <c:pt idx="1">
                  <c:v>0.66220624434340547</c:v>
                </c:pt>
                <c:pt idx="2">
                  <c:v>0.64957680465701861</c:v>
                </c:pt>
                <c:pt idx="3">
                  <c:v>0.39003237350344788</c:v>
                </c:pt>
                <c:pt idx="4">
                  <c:v>0.29826005032616604</c:v>
                </c:pt>
              </c:numCache>
            </c:numRef>
          </c:val>
          <c:extLst>
            <c:ext xmlns:c16="http://schemas.microsoft.com/office/drawing/2014/chart" uri="{C3380CC4-5D6E-409C-BE32-E72D297353CC}">
              <c16:uniqueId val="{00000001-9C46-4FD9-AB83-62D18A364EC5}"/>
            </c:ext>
          </c:extLst>
        </c:ser>
        <c:ser>
          <c:idx val="2"/>
          <c:order val="2"/>
          <c:tx>
            <c:strRef>
              <c:f>'Smart Devices'!$V$126</c:f>
              <c:strCache>
                <c:ptCount val="1"/>
                <c:pt idx="0">
                  <c:v>Heart_rate_accuracy_percent</c:v>
                </c:pt>
              </c:strCache>
            </c:strRef>
          </c:tx>
          <c:spPr>
            <a:solidFill>
              <a:schemeClr val="accent3"/>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Devices'!$V$127:$V$131</c:f>
              <c:numCache>
                <c:formatCode>General</c:formatCode>
                <c:ptCount val="5"/>
                <c:pt idx="0">
                  <c:v>1</c:v>
                </c:pt>
                <c:pt idx="1">
                  <c:v>0.99954273475349154</c:v>
                </c:pt>
                <c:pt idx="2">
                  <c:v>0.96154370458645189</c:v>
                </c:pt>
                <c:pt idx="3">
                  <c:v>0.93230618092333428</c:v>
                </c:pt>
                <c:pt idx="4">
                  <c:v>0.92999425256220503</c:v>
                </c:pt>
              </c:numCache>
            </c:numRef>
          </c:val>
          <c:extLst>
            <c:ext xmlns:c16="http://schemas.microsoft.com/office/drawing/2014/chart" uri="{C3380CC4-5D6E-409C-BE32-E72D297353CC}">
              <c16:uniqueId val="{00000002-9C46-4FD9-AB83-62D18A364EC5}"/>
            </c:ext>
          </c:extLst>
        </c:ser>
        <c:ser>
          <c:idx val="3"/>
          <c:order val="3"/>
          <c:tx>
            <c:strRef>
              <c:f>'Smart Devices'!$W$126</c:f>
              <c:strCache>
                <c:ptCount val="1"/>
                <c:pt idx="0">
                  <c:v>user_satisfaction_rating</c:v>
                </c:pt>
              </c:strCache>
            </c:strRef>
          </c:tx>
          <c:spPr>
            <a:solidFill>
              <a:schemeClr val="accent4"/>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Devices'!$W$127:$W$131</c:f>
              <c:numCache>
                <c:formatCode>General</c:formatCode>
                <c:ptCount val="5"/>
                <c:pt idx="0">
                  <c:v>0.98647272014888665</c:v>
                </c:pt>
                <c:pt idx="1">
                  <c:v>0.95166631438032812</c:v>
                </c:pt>
                <c:pt idx="2">
                  <c:v>0.89248759744861828</c:v>
                </c:pt>
                <c:pt idx="3">
                  <c:v>1</c:v>
                </c:pt>
                <c:pt idx="4">
                  <c:v>0.84535544776508642</c:v>
                </c:pt>
              </c:numCache>
            </c:numRef>
          </c:val>
          <c:extLst>
            <c:ext xmlns:c16="http://schemas.microsoft.com/office/drawing/2014/chart" uri="{C3380CC4-5D6E-409C-BE32-E72D297353CC}">
              <c16:uniqueId val="{00000003-9C46-4FD9-AB83-62D18A364EC5}"/>
            </c:ext>
          </c:extLst>
        </c:ser>
        <c:ser>
          <c:idx val="4"/>
          <c:order val="4"/>
          <c:tx>
            <c:strRef>
              <c:f>'Smart Devices'!$X$126</c:f>
              <c:strCache>
                <c:ptCount val="1"/>
                <c:pt idx="0">
                  <c:v>Overall_Score</c:v>
                </c:pt>
              </c:strCache>
            </c:strRef>
          </c:tx>
          <c:spPr>
            <a:solidFill>
              <a:schemeClr val="accent5"/>
            </a:solidFill>
            <a:ln>
              <a:noFill/>
            </a:ln>
            <a:effectLst/>
          </c:spPr>
          <c:invertIfNegative val="0"/>
          <c:cat>
            <c:strRef>
              <c:f>'Smart Devices'!$S$127:$S$131</c:f>
              <c:strCache>
                <c:ptCount val="5"/>
                <c:pt idx="0">
                  <c:v>Smartwatch</c:v>
                </c:pt>
                <c:pt idx="1">
                  <c:v>Sport Watch</c:v>
                </c:pt>
                <c:pt idx="2">
                  <c:v>FitnessTracker</c:v>
                </c:pt>
                <c:pt idx="3">
                  <c:v>Smart Ring</c:v>
                </c:pt>
                <c:pt idx="4">
                  <c:v>Fitness Band</c:v>
                </c:pt>
              </c:strCache>
            </c:strRef>
          </c:cat>
          <c:val>
            <c:numRef>
              <c:f>'Smart Devices'!$X$127:$X$131</c:f>
              <c:numCache>
                <c:formatCode>General</c:formatCode>
                <c:ptCount val="5"/>
                <c:pt idx="0">
                  <c:v>0.7972945440297774</c:v>
                </c:pt>
                <c:pt idx="1">
                  <c:v>0.69127083934435574</c:v>
                </c:pt>
                <c:pt idx="2">
                  <c:v>0.59259880854904834</c:v>
                </c:pt>
                <c:pt idx="3">
                  <c:v>0.6626669377563732</c:v>
                </c:pt>
                <c:pt idx="4">
                  <c:v>0.42867725118794742</c:v>
                </c:pt>
              </c:numCache>
            </c:numRef>
          </c:val>
          <c:extLst>
            <c:ext xmlns:c16="http://schemas.microsoft.com/office/drawing/2014/chart" uri="{C3380CC4-5D6E-409C-BE32-E72D297353CC}">
              <c16:uniqueId val="{00000004-9C46-4FD9-AB83-62D18A364EC5}"/>
            </c:ext>
          </c:extLst>
        </c:ser>
        <c:dLbls>
          <c:showLegendKey val="0"/>
          <c:showVal val="0"/>
          <c:showCatName val="0"/>
          <c:showSerName val="0"/>
          <c:showPercent val="0"/>
          <c:showBubbleSize val="0"/>
        </c:dLbls>
        <c:gapWidth val="219"/>
        <c:overlap val="-27"/>
        <c:axId val="962266416"/>
        <c:axId val="962264976"/>
      </c:barChart>
      <c:catAx>
        <c:axId val="962266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DEVICE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64976"/>
        <c:crosses val="autoZero"/>
        <c:auto val="1"/>
        <c:lblAlgn val="ctr"/>
        <c:lblOffset val="100"/>
        <c:noMultiLvlLbl val="0"/>
      </c:catAx>
      <c:valAx>
        <c:axId val="96226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2266416"/>
        <c:crosses val="autoZero"/>
        <c:crossBetween val="between"/>
      </c:valAx>
      <c:spPr>
        <a:noFill/>
        <a:ln>
          <a:noFill/>
        </a:ln>
        <a:effectLst/>
      </c:spPr>
    </c:plotArea>
    <c:legend>
      <c:legendPos val="b"/>
      <c:layout>
        <c:manualLayout>
          <c:xMode val="edge"/>
          <c:yMode val="edge"/>
          <c:x val="0.27341846052513397"/>
          <c:y val="0.63611457461526633"/>
          <c:w val="0.52540642495733658"/>
          <c:h val="0.33351666182724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[SAKSHI_ExcelProject_FINAL_DASBOARD_1.xlsx]Smart Devices!PivotTable1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Device sale on that date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153210755680086"/>
          <c:y val="0.18365850102070572"/>
          <c:w val="0.47198359580052496"/>
          <c:h val="0.62560877806940796"/>
        </c:manualLayout>
      </c:layout>
      <c:barChart>
        <c:barDir val="bar"/>
        <c:grouping val="clustered"/>
        <c:varyColors val="0"/>
        <c:ser>
          <c:idx val="0"/>
          <c:order val="0"/>
          <c:tx>
            <c:strRef>
              <c:f>'Smart Devices'!$T$157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'Smart Devices'!$S$158:$S$159</c:f>
              <c:strCache>
                <c:ptCount val="1"/>
                <c:pt idx="0">
                  <c:v>08-06-2025</c:v>
                </c:pt>
              </c:strCache>
            </c:strRef>
          </c:cat>
          <c:val>
            <c:numRef>
              <c:f>'Smart Devices'!$T$158:$T$159</c:f>
              <c:numCache>
                <c:formatCode>General</c:formatCode>
                <c:ptCount val="1"/>
                <c:pt idx="0">
                  <c:v>96</c:v>
                </c:pt>
              </c:numCache>
            </c:numRef>
          </c:val>
          <c:extLst>
            <c:ext xmlns:c16="http://schemas.microsoft.com/office/drawing/2014/chart" uri="{C3380CC4-5D6E-409C-BE32-E72D297353CC}">
              <c16:uniqueId val="{00000000-1350-467C-B9A8-8B8A05F7C2BC}"/>
            </c:ext>
          </c:extLst>
        </c:ser>
        <c:dLbls>
          <c:dLblPos val="outEnd"/>
          <c:showLegendKey val="0"/>
          <c:showVal val="1"/>
          <c:showCatName val="0"/>
          <c:showSerName val="0"/>
          <c:showPercent val="0"/>
          <c:showBubbleSize val="0"/>
        </c:dLbls>
        <c:gapWidth val="182"/>
        <c:axId val="62275535"/>
        <c:axId val="62276495"/>
      </c:barChart>
      <c:catAx>
        <c:axId val="622755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6495"/>
        <c:crosses val="autoZero"/>
        <c:auto val="1"/>
        <c:lblAlgn val="ctr"/>
        <c:lblOffset val="100"/>
        <c:noMultiLvlLbl val="0"/>
      </c:catAx>
      <c:valAx>
        <c:axId val="622764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No.of device sold</a:t>
                </a:r>
              </a:p>
            </c:rich>
          </c:tx>
          <c:layout>
            <c:manualLayout>
              <c:xMode val="edge"/>
              <c:yMode val="edge"/>
              <c:x val="0.41910029544487665"/>
              <c:y val="0.8981481481481481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75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20</xdr:col>
      <xdr:colOff>463600</xdr:colOff>
      <xdr:row>6</xdr:row>
      <xdr:rowOff>27719</xdr:rowOff>
    </xdr:from>
    <xdr:to>
      <xdr:col>24</xdr:col>
      <xdr:colOff>231825</xdr:colOff>
      <xdr:row>21</xdr:row>
      <xdr:rowOff>8669</xdr:rowOff>
    </xdr:to>
    <xdr:graphicFrame macro="">
      <xdr:nvGraphicFramePr>
        <xdr:cNvPr id="2" name="Chart 1">
          <a:extLst>
            <a:ext uri="{FF2B5EF4-FFF2-40B4-BE49-F238E27FC236}">
              <a16:creationId xmlns:a16="http://schemas.microsoft.com/office/drawing/2014/main" id="{E4843F73-BF42-AE2F-7E60-C41D8976AC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130175</xdr:colOff>
      <xdr:row>35</xdr:row>
      <xdr:rowOff>50800</xdr:rowOff>
    </xdr:from>
    <xdr:to>
      <xdr:col>22</xdr:col>
      <xdr:colOff>450850</xdr:colOff>
      <xdr:row>47</xdr:row>
      <xdr:rowOff>134327</xdr:rowOff>
    </xdr:to>
    <xdr:graphicFrame macro="">
      <xdr:nvGraphicFramePr>
        <xdr:cNvPr id="3" name="Chart 2">
          <a:extLst>
            <a:ext uri="{FF2B5EF4-FFF2-40B4-BE49-F238E27FC236}">
              <a16:creationId xmlns:a16="http://schemas.microsoft.com/office/drawing/2014/main" id="{BD5E4E2D-BFB7-37E8-9A32-D1ED9697B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516548</xdr:colOff>
      <xdr:row>49</xdr:row>
      <xdr:rowOff>121260</xdr:rowOff>
    </xdr:from>
    <xdr:to>
      <xdr:col>31</xdr:col>
      <xdr:colOff>79375</xdr:colOff>
      <xdr:row>65</xdr:row>
      <xdr:rowOff>146538</xdr:rowOff>
    </xdr:to>
    <xdr:graphicFrame macro="">
      <xdr:nvGraphicFramePr>
        <xdr:cNvPr id="7" name="Chart 6">
          <a:extLst>
            <a:ext uri="{FF2B5EF4-FFF2-40B4-BE49-F238E27FC236}">
              <a16:creationId xmlns:a16="http://schemas.microsoft.com/office/drawing/2014/main" id="{FC223FBE-7D2B-1FBC-4BD1-A0EFD313DB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21</xdr:col>
      <xdr:colOff>298537</xdr:colOff>
      <xdr:row>70</xdr:row>
      <xdr:rowOff>173562</xdr:rowOff>
    </xdr:from>
    <xdr:to>
      <xdr:col>21</xdr:col>
      <xdr:colOff>2118454</xdr:colOff>
      <xdr:row>84</xdr:row>
      <xdr:rowOff>109829</xdr:rowOff>
    </xdr:to>
    <mc:AlternateContent xmlns:mc="http://schemas.openxmlformats.org/markup-compatibility/2006" xmlns:a14="http://schemas.microsoft.com/office/drawing/2010/main">
      <mc:Choice Requires="a14">
        <xdr:graphicFrame macro="">
          <xdr:nvGraphicFramePr>
            <xdr:cNvPr id="18" name="Brand">
              <a:extLst>
                <a:ext uri="{FF2B5EF4-FFF2-40B4-BE49-F238E27FC236}">
                  <a16:creationId xmlns:a16="http://schemas.microsoft.com/office/drawing/2014/main" id="{60867C30-E7DF-B21A-BFDD-182906EDCD19}"/>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27984537" y="13274615"/>
              <a:ext cx="1819917" cy="25564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571498</xdr:colOff>
      <xdr:row>69</xdr:row>
      <xdr:rowOff>115947</xdr:rowOff>
    </xdr:from>
    <xdr:to>
      <xdr:col>36</xdr:col>
      <xdr:colOff>423332</xdr:colOff>
      <xdr:row>84</xdr:row>
      <xdr:rowOff>141113</xdr:rowOff>
    </xdr:to>
    <xdr:graphicFrame macro="">
      <xdr:nvGraphicFramePr>
        <xdr:cNvPr id="19" name="Chart 18">
          <a:extLst>
            <a:ext uri="{FF2B5EF4-FFF2-40B4-BE49-F238E27FC236}">
              <a16:creationId xmlns:a16="http://schemas.microsoft.com/office/drawing/2014/main" id="{D94BD1CF-6212-70A0-C0A2-0412D53AC9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137025</xdr:colOff>
      <xdr:row>87</xdr:row>
      <xdr:rowOff>122321</xdr:rowOff>
    </xdr:from>
    <xdr:to>
      <xdr:col>29</xdr:col>
      <xdr:colOff>310815</xdr:colOff>
      <xdr:row>102</xdr:row>
      <xdr:rowOff>58153</xdr:rowOff>
    </xdr:to>
    <xdr:graphicFrame macro="">
      <xdr:nvGraphicFramePr>
        <xdr:cNvPr id="24" name="Chart 23">
          <a:extLst>
            <a:ext uri="{FF2B5EF4-FFF2-40B4-BE49-F238E27FC236}">
              <a16:creationId xmlns:a16="http://schemas.microsoft.com/office/drawing/2014/main" id="{923B510F-8222-C5BA-A701-5E10FF7084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337552</xdr:colOff>
      <xdr:row>131</xdr:row>
      <xdr:rowOff>182479</xdr:rowOff>
    </xdr:from>
    <xdr:to>
      <xdr:col>21</xdr:col>
      <xdr:colOff>558131</xdr:colOff>
      <xdr:row>146</xdr:row>
      <xdr:rowOff>118310</xdr:rowOff>
    </xdr:to>
    <xdr:graphicFrame macro="">
      <xdr:nvGraphicFramePr>
        <xdr:cNvPr id="27" name="Chart 26">
          <a:extLst>
            <a:ext uri="{FF2B5EF4-FFF2-40B4-BE49-F238E27FC236}">
              <a16:creationId xmlns:a16="http://schemas.microsoft.com/office/drawing/2014/main" id="{B4C46177-5B53-27F1-84BF-7819466B1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528864</xdr:colOff>
      <xdr:row>156</xdr:row>
      <xdr:rowOff>15825</xdr:rowOff>
    </xdr:from>
    <xdr:to>
      <xdr:col>21</xdr:col>
      <xdr:colOff>1771604</xdr:colOff>
      <xdr:row>163</xdr:row>
      <xdr:rowOff>117425</xdr:rowOff>
    </xdr:to>
    <mc:AlternateContent xmlns:mc="http://schemas.openxmlformats.org/markup-compatibility/2006" xmlns:tsle="http://schemas.microsoft.com/office/drawing/2012/timeslicer">
      <mc:Choice Requires="tsle">
        <xdr:graphicFrame macro="">
          <xdr:nvGraphicFramePr>
            <xdr:cNvPr id="4" name="Test_Date">
              <a:extLst>
                <a:ext uri="{FF2B5EF4-FFF2-40B4-BE49-F238E27FC236}">
                  <a16:creationId xmlns:a16="http://schemas.microsoft.com/office/drawing/2014/main" id="{1EA1AE6D-5EAD-5CC4-2A43-FC6514ECD48C}"/>
                </a:ext>
              </a:extLst>
            </xdr:cNvPr>
            <xdr:cNvGraphicFramePr/>
          </xdr:nvGraphicFramePr>
          <xdr:xfrm>
            <a:off x="0" y="0"/>
            <a:ext cx="0" cy="0"/>
          </xdr:xfrm>
          <a:graphic>
            <a:graphicData uri="http://schemas.microsoft.com/office/drawing/2012/timeslicer">
              <tsle:timeslicer name="Test_Date"/>
            </a:graphicData>
          </a:graphic>
        </xdr:graphicFrame>
      </mc:Choice>
      <mc:Fallback xmlns="">
        <xdr:sp macro="" textlink="">
          <xdr:nvSpPr>
            <xdr:cNvPr id="0" name=""/>
            <xdr:cNvSpPr>
              <a:spLocks noTextEdit="1"/>
            </xdr:cNvSpPr>
          </xdr:nvSpPr>
          <xdr:spPr>
            <a:xfrm>
              <a:off x="26291721" y="28318682"/>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20</xdr:col>
      <xdr:colOff>475747</xdr:colOff>
      <xdr:row>166</xdr:row>
      <xdr:rowOff>19351</xdr:rowOff>
    </xdr:from>
    <xdr:to>
      <xdr:col>22</xdr:col>
      <xdr:colOff>1632857</xdr:colOff>
      <xdr:row>187</xdr:row>
      <xdr:rowOff>0</xdr:rowOff>
    </xdr:to>
    <xdr:graphicFrame macro="">
      <xdr:nvGraphicFramePr>
        <xdr:cNvPr id="5" name="Chart 4">
          <a:extLst>
            <a:ext uri="{FF2B5EF4-FFF2-40B4-BE49-F238E27FC236}">
              <a16:creationId xmlns:a16="http://schemas.microsoft.com/office/drawing/2014/main" id="{E37818E6-1541-B594-7C9C-2243F9332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29</xdr:col>
      <xdr:colOff>258233</xdr:colOff>
      <xdr:row>155</xdr:row>
      <xdr:rowOff>83658</xdr:rowOff>
    </xdr:from>
    <xdr:to>
      <xdr:col>32</xdr:col>
      <xdr:colOff>494494</xdr:colOff>
      <xdr:row>169</xdr:row>
      <xdr:rowOff>67783</xdr:rowOff>
    </xdr:to>
    <mc:AlternateContent xmlns:mc="http://schemas.openxmlformats.org/markup-compatibility/2006" xmlns:a14="http://schemas.microsoft.com/office/drawing/2010/main">
      <mc:Choice Requires="a14">
        <xdr:graphicFrame macro="">
          <xdr:nvGraphicFramePr>
            <xdr:cNvPr id="6" name="Device_Name">
              <a:extLst>
                <a:ext uri="{FF2B5EF4-FFF2-40B4-BE49-F238E27FC236}">
                  <a16:creationId xmlns:a16="http://schemas.microsoft.com/office/drawing/2014/main" id="{2E64DBCF-C818-3096-855F-4476908FE305}"/>
                </a:ext>
              </a:extLst>
            </xdr:cNvPr>
            <xdr:cNvGraphicFramePr/>
          </xdr:nvGraphicFramePr>
          <xdr:xfrm>
            <a:off x="0" y="0"/>
            <a:ext cx="0" cy="0"/>
          </xdr:xfrm>
          <a:graphic>
            <a:graphicData uri="http://schemas.microsoft.com/office/drawing/2010/slicer">
              <sle:slicer xmlns:sle="http://schemas.microsoft.com/office/drawing/2010/slicer" name="Device_Name"/>
            </a:graphicData>
          </a:graphic>
        </xdr:graphicFrame>
      </mc:Choice>
      <mc:Fallback xmlns="">
        <xdr:sp macro="" textlink="">
          <xdr:nvSpPr>
            <xdr:cNvPr id="0" name=""/>
            <xdr:cNvSpPr>
              <a:spLocks noTextEdit="1"/>
            </xdr:cNvSpPr>
          </xdr:nvSpPr>
          <xdr:spPr>
            <a:xfrm>
              <a:off x="36473392" y="2820508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210356</xdr:colOff>
      <xdr:row>169</xdr:row>
      <xdr:rowOff>146654</xdr:rowOff>
    </xdr:from>
    <xdr:to>
      <xdr:col>28</xdr:col>
      <xdr:colOff>557489</xdr:colOff>
      <xdr:row>183</xdr:row>
      <xdr:rowOff>130779</xdr:rowOff>
    </xdr:to>
    <mc:AlternateContent xmlns:mc="http://schemas.openxmlformats.org/markup-compatibility/2006" xmlns:a14="http://schemas.microsoft.com/office/drawing/2010/main">
      <mc:Choice Requires="a14">
        <xdr:graphicFrame macro="">
          <xdr:nvGraphicFramePr>
            <xdr:cNvPr id="8" name="Brand 1">
              <a:extLst>
                <a:ext uri="{FF2B5EF4-FFF2-40B4-BE49-F238E27FC236}">
                  <a16:creationId xmlns:a16="http://schemas.microsoft.com/office/drawing/2014/main" id="{5DB7235A-068E-6436-C75A-559CDE75F518}"/>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34369324" y="3080808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1583669</xdr:colOff>
      <xdr:row>154</xdr:row>
      <xdr:rowOff>169333</xdr:rowOff>
    </xdr:from>
    <xdr:to>
      <xdr:col>24</xdr:col>
      <xdr:colOff>184324</xdr:colOff>
      <xdr:row>168</xdr:row>
      <xdr:rowOff>153458</xdr:rowOff>
    </xdr:to>
    <mc:AlternateContent xmlns:mc="http://schemas.openxmlformats.org/markup-compatibility/2006" xmlns:a14="http://schemas.microsoft.com/office/drawing/2010/main">
      <mc:Choice Requires="a14">
        <xdr:graphicFrame macro="">
          <xdr:nvGraphicFramePr>
            <xdr:cNvPr id="9" name="Model">
              <a:extLst>
                <a:ext uri="{FF2B5EF4-FFF2-40B4-BE49-F238E27FC236}">
                  <a16:creationId xmlns:a16="http://schemas.microsoft.com/office/drawing/2014/main" id="{04891CE3-F23A-D94D-1E35-884656BE773E}"/>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32103986" y="2810933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114603</xdr:colOff>
      <xdr:row>155</xdr:row>
      <xdr:rowOff>40821</xdr:rowOff>
    </xdr:from>
    <xdr:to>
      <xdr:col>28</xdr:col>
      <xdr:colOff>461736</xdr:colOff>
      <xdr:row>169</xdr:row>
      <xdr:rowOff>24946</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457AE861-D568-DAD5-0E38-A35A33FA5C4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4273571" y="28162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796269</xdr:colOff>
      <xdr:row>198</xdr:row>
      <xdr:rowOff>90714</xdr:rowOff>
    </xdr:from>
    <xdr:to>
      <xdr:col>20</xdr:col>
      <xdr:colOff>554365</xdr:colOff>
      <xdr:row>203</xdr:row>
      <xdr:rowOff>40317</xdr:rowOff>
    </xdr:to>
    <xdr:sp macro="" textlink="$T$196">
      <xdr:nvSpPr>
        <xdr:cNvPr id="11" name="TextBox 10">
          <a:extLst>
            <a:ext uri="{FF2B5EF4-FFF2-40B4-BE49-F238E27FC236}">
              <a16:creationId xmlns:a16="http://schemas.microsoft.com/office/drawing/2014/main" id="{2E08F9A2-6083-6880-C19B-718C7E27506A}"/>
            </a:ext>
          </a:extLst>
        </xdr:cNvPr>
        <xdr:cNvSpPr txBox="1"/>
      </xdr:nvSpPr>
      <xdr:spPr>
        <a:xfrm>
          <a:off x="24140079" y="36013571"/>
          <a:ext cx="2177143" cy="8567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CFCAB3-4A0D-4FBC-BE7A-EA0A49C4E4EB}" type="TxLink">
            <a:rPr lang="en-US" sz="1100" b="0" i="0" u="none" strike="noStrike">
              <a:solidFill>
                <a:srgbClr val="000000"/>
              </a:solidFill>
              <a:latin typeface="Calibri"/>
              <a:ea typeface="Calibri"/>
              <a:cs typeface="Calibri"/>
            </a:rPr>
            <a:pPr/>
            <a:t>29</a:t>
          </a:fld>
          <a:endParaRPr lang="en-IN" sz="1100"/>
        </a:p>
      </xdr:txBody>
    </xdr:sp>
    <xdr:clientData/>
  </xdr:twoCellAnchor>
  <xdr:twoCellAnchor>
    <xdr:from>
      <xdr:col>19</xdr:col>
      <xdr:colOff>131032</xdr:colOff>
      <xdr:row>207</xdr:row>
      <xdr:rowOff>141111</xdr:rowOff>
    </xdr:from>
    <xdr:to>
      <xdr:col>20</xdr:col>
      <xdr:colOff>262064</xdr:colOff>
      <xdr:row>210</xdr:row>
      <xdr:rowOff>161269</xdr:rowOff>
    </xdr:to>
    <xdr:sp macro="" textlink="$U$206">
      <xdr:nvSpPr>
        <xdr:cNvPr id="13" name="TextBox 12">
          <a:extLst>
            <a:ext uri="{FF2B5EF4-FFF2-40B4-BE49-F238E27FC236}">
              <a16:creationId xmlns:a16="http://schemas.microsoft.com/office/drawing/2014/main" id="{64F718FD-AC23-93E8-3CF0-8C8A1B6BCAB7}"/>
            </a:ext>
          </a:extLst>
        </xdr:cNvPr>
        <xdr:cNvSpPr txBox="1"/>
      </xdr:nvSpPr>
      <xdr:spPr>
        <a:xfrm>
          <a:off x="24462619" y="37696825"/>
          <a:ext cx="1562302" cy="5644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D520A8C-7C7C-4E13-B713-FA2E10DADBFC}" type="TxLink">
            <a:rPr lang="en-US" sz="1100" b="0" i="0" u="none" strike="noStrike">
              <a:solidFill>
                <a:srgbClr val="000000"/>
              </a:solidFill>
              <a:latin typeface="Calibri"/>
              <a:ea typeface="Calibri"/>
              <a:cs typeface="Calibri"/>
            </a:rPr>
            <a:pPr/>
            <a:t>10</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57150</xdr:rowOff>
    </xdr:from>
    <xdr:to>
      <xdr:col>4</xdr:col>
      <xdr:colOff>349250</xdr:colOff>
      <xdr:row>4</xdr:row>
      <xdr:rowOff>25400</xdr:rowOff>
    </xdr:to>
    <xdr:sp macro="" textlink="">
      <xdr:nvSpPr>
        <xdr:cNvPr id="2" name="TextBox 1">
          <a:extLst>
            <a:ext uri="{FF2B5EF4-FFF2-40B4-BE49-F238E27FC236}">
              <a16:creationId xmlns:a16="http://schemas.microsoft.com/office/drawing/2014/main" id="{76FAC547-D447-C3FE-5497-49315EB59265}"/>
            </a:ext>
          </a:extLst>
        </xdr:cNvPr>
        <xdr:cNvSpPr txBox="1"/>
      </xdr:nvSpPr>
      <xdr:spPr>
        <a:xfrm>
          <a:off x="57150" y="57150"/>
          <a:ext cx="2730500" cy="704850"/>
        </a:xfrm>
        <a:prstGeom prst="rect">
          <a:avLst/>
        </a:prstGeom>
        <a:ln/>
      </xdr:spPr>
      <xdr:style>
        <a:lnRef idx="0">
          <a:schemeClr val="accent1"/>
        </a:lnRef>
        <a:fillRef idx="3">
          <a:schemeClr val="accent1"/>
        </a:fillRef>
        <a:effectRef idx="3">
          <a:schemeClr val="accent1"/>
        </a:effectRef>
        <a:fontRef idx="minor">
          <a:schemeClr val="lt1"/>
        </a:fontRef>
      </xdr:style>
      <xdr:txBody>
        <a:bodyPr vertOverflow="clip" horzOverflow="clip" wrap="square" rtlCol="0" anchor="ctr"/>
        <a:lstStyle/>
        <a:p>
          <a:pPr algn="ctr"/>
          <a:r>
            <a:rPr lang="en-IN" sz="1600" b="1">
              <a:solidFill>
                <a:schemeClr val="tx1"/>
              </a:solidFill>
            </a:rPr>
            <a:t>SMART DEVICE DASHBOARD</a:t>
          </a:r>
        </a:p>
      </xdr:txBody>
    </xdr:sp>
    <xdr:clientData/>
  </xdr:twoCellAnchor>
  <xdr:twoCellAnchor editAs="oneCell">
    <xdr:from>
      <xdr:col>0</xdr:col>
      <xdr:colOff>57150</xdr:colOff>
      <xdr:row>4</xdr:row>
      <xdr:rowOff>56949</xdr:rowOff>
    </xdr:from>
    <xdr:to>
      <xdr:col>4</xdr:col>
      <xdr:colOff>349250</xdr:colOff>
      <xdr:row>12</xdr:row>
      <xdr:rowOff>19050</xdr:rowOff>
    </xdr:to>
    <mc:AlternateContent xmlns:mc="http://schemas.openxmlformats.org/markup-compatibility/2006" xmlns:tsle="http://schemas.microsoft.com/office/drawing/2012/timeslicer">
      <mc:Choice Requires="tsle">
        <xdr:graphicFrame macro="">
          <xdr:nvGraphicFramePr>
            <xdr:cNvPr id="3" name="Test_Date 1">
              <a:extLst>
                <a:ext uri="{FF2B5EF4-FFF2-40B4-BE49-F238E27FC236}">
                  <a16:creationId xmlns:a16="http://schemas.microsoft.com/office/drawing/2014/main" id="{96D01BCE-9779-439A-9BEE-21EEF27D6F78}"/>
                </a:ext>
              </a:extLst>
            </xdr:cNvPr>
            <xdr:cNvGraphicFramePr/>
          </xdr:nvGraphicFramePr>
          <xdr:xfrm>
            <a:off x="0" y="0"/>
            <a:ext cx="0" cy="0"/>
          </xdr:xfrm>
          <a:graphic>
            <a:graphicData uri="http://schemas.microsoft.com/office/drawing/2012/timeslicer">
              <tsle:timeslicer name="Test_Date 1"/>
            </a:graphicData>
          </a:graphic>
        </xdr:graphicFrame>
      </mc:Choice>
      <mc:Fallback xmlns="">
        <xdr:sp macro="" textlink="">
          <xdr:nvSpPr>
            <xdr:cNvPr id="0" name=""/>
            <xdr:cNvSpPr>
              <a:spLocks noTextEdit="1"/>
            </xdr:cNvSpPr>
          </xdr:nvSpPr>
          <xdr:spPr>
            <a:xfrm>
              <a:off x="57150" y="794368"/>
              <a:ext cx="2750165" cy="14369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59770</xdr:colOff>
      <xdr:row>12</xdr:row>
      <xdr:rowOff>83055</xdr:rowOff>
    </xdr:from>
    <xdr:to>
      <xdr:col>4</xdr:col>
      <xdr:colOff>361949</xdr:colOff>
      <xdr:row>23</xdr:row>
      <xdr:rowOff>82551</xdr:rowOff>
    </xdr:to>
    <mc:AlternateContent xmlns:mc="http://schemas.openxmlformats.org/markup-compatibility/2006" xmlns:a14="http://schemas.microsoft.com/office/drawing/2010/main">
      <mc:Choice Requires="a14">
        <xdr:graphicFrame macro="">
          <xdr:nvGraphicFramePr>
            <xdr:cNvPr id="4" name="Device_Name 1">
              <a:extLst>
                <a:ext uri="{FF2B5EF4-FFF2-40B4-BE49-F238E27FC236}">
                  <a16:creationId xmlns:a16="http://schemas.microsoft.com/office/drawing/2014/main" id="{B2F5C5A1-2036-4A02-AD21-D42D6257064A}"/>
                </a:ext>
              </a:extLst>
            </xdr:cNvPr>
            <xdr:cNvGraphicFramePr/>
          </xdr:nvGraphicFramePr>
          <xdr:xfrm>
            <a:off x="0" y="0"/>
            <a:ext cx="0" cy="0"/>
          </xdr:xfrm>
          <a:graphic>
            <a:graphicData uri="http://schemas.microsoft.com/office/drawing/2010/slicer">
              <sle:slicer xmlns:sle="http://schemas.microsoft.com/office/drawing/2010/slicer" name="Device_Name 1"/>
            </a:graphicData>
          </a:graphic>
        </xdr:graphicFrame>
      </mc:Choice>
      <mc:Fallback xmlns="">
        <xdr:sp macro="" textlink="">
          <xdr:nvSpPr>
            <xdr:cNvPr id="0" name=""/>
            <xdr:cNvSpPr>
              <a:spLocks noTextEdit="1"/>
            </xdr:cNvSpPr>
          </xdr:nvSpPr>
          <xdr:spPr>
            <a:xfrm>
              <a:off x="59770" y="2295313"/>
              <a:ext cx="2760244" cy="2027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51203</xdr:colOff>
      <xdr:row>23</xdr:row>
      <xdr:rowOff>107951</xdr:rowOff>
    </xdr:from>
    <xdr:to>
      <xdr:col>2</xdr:col>
      <xdr:colOff>146050</xdr:colOff>
      <xdr:row>31</xdr:row>
      <xdr:rowOff>146050</xdr:rowOff>
    </xdr:to>
    <mc:AlternateContent xmlns:mc="http://schemas.openxmlformats.org/markup-compatibility/2006" xmlns:a14="http://schemas.microsoft.com/office/drawing/2010/main">
      <mc:Choice Requires="a14">
        <xdr:graphicFrame macro="">
          <xdr:nvGraphicFramePr>
            <xdr:cNvPr id="5" name="Brand 2">
              <a:extLst>
                <a:ext uri="{FF2B5EF4-FFF2-40B4-BE49-F238E27FC236}">
                  <a16:creationId xmlns:a16="http://schemas.microsoft.com/office/drawing/2014/main" id="{5A461B5C-9A9B-4297-8E86-F9E10FADDD45}"/>
                </a:ext>
              </a:extLst>
            </xdr:cNvPr>
            <xdr:cNvGraphicFramePr/>
          </xdr:nvGraphicFramePr>
          <xdr:xfrm>
            <a:off x="0" y="0"/>
            <a:ext cx="0" cy="0"/>
          </xdr:xfrm>
          <a:graphic>
            <a:graphicData uri="http://schemas.microsoft.com/office/drawing/2010/slicer">
              <sle:slicer xmlns:sle="http://schemas.microsoft.com/office/drawing/2010/slicer" name="Brand 2"/>
            </a:graphicData>
          </a:graphic>
        </xdr:graphicFrame>
      </mc:Choice>
      <mc:Fallback xmlns="">
        <xdr:sp macro="" textlink="">
          <xdr:nvSpPr>
            <xdr:cNvPr id="0" name=""/>
            <xdr:cNvSpPr>
              <a:spLocks noTextEdit="1"/>
            </xdr:cNvSpPr>
          </xdr:nvSpPr>
          <xdr:spPr>
            <a:xfrm>
              <a:off x="51203" y="4348112"/>
              <a:ext cx="1323879" cy="15129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59164</xdr:colOff>
      <xdr:row>31</xdr:row>
      <xdr:rowOff>158750</xdr:rowOff>
    </xdr:from>
    <xdr:to>
      <xdr:col>4</xdr:col>
      <xdr:colOff>349249</xdr:colOff>
      <xdr:row>45</xdr:row>
      <xdr:rowOff>104775</xdr:rowOff>
    </xdr:to>
    <mc:AlternateContent xmlns:mc="http://schemas.openxmlformats.org/markup-compatibility/2006" xmlns:a14="http://schemas.microsoft.com/office/drawing/2010/main">
      <mc:Choice Requires="a14">
        <xdr:graphicFrame macro="">
          <xdr:nvGraphicFramePr>
            <xdr:cNvPr id="6" name="Model 1">
              <a:extLst>
                <a:ext uri="{FF2B5EF4-FFF2-40B4-BE49-F238E27FC236}">
                  <a16:creationId xmlns:a16="http://schemas.microsoft.com/office/drawing/2014/main" id="{B07AB1EF-8EE0-4F66-8DD8-670D039FDE9B}"/>
                </a:ext>
              </a:extLst>
            </xdr:cNvPr>
            <xdr:cNvGraphicFramePr/>
          </xdr:nvGraphicFramePr>
          <xdr:xfrm>
            <a:off x="0" y="0"/>
            <a:ext cx="0" cy="0"/>
          </xdr:xfrm>
          <a:graphic>
            <a:graphicData uri="http://schemas.microsoft.com/office/drawing/2010/slicer">
              <sle:slicer xmlns:sle="http://schemas.microsoft.com/office/drawing/2010/slicer" name="Model 1"/>
            </a:graphicData>
          </a:graphic>
        </xdr:graphicFrame>
      </mc:Choice>
      <mc:Fallback xmlns="">
        <xdr:sp macro="" textlink="">
          <xdr:nvSpPr>
            <xdr:cNvPr id="0" name=""/>
            <xdr:cNvSpPr>
              <a:spLocks noTextEdit="1"/>
            </xdr:cNvSpPr>
          </xdr:nvSpPr>
          <xdr:spPr>
            <a:xfrm>
              <a:off x="59164" y="5873750"/>
              <a:ext cx="2748150" cy="25269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177700</xdr:colOff>
      <xdr:row>23</xdr:row>
      <xdr:rowOff>116417</xdr:rowOff>
    </xdr:from>
    <xdr:to>
      <xdr:col>4</xdr:col>
      <xdr:colOff>355600</xdr:colOff>
      <xdr:row>31</xdr:row>
      <xdr:rowOff>152400</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33E608AA-D981-4528-BBB9-FB7778B7A0E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06732" y="4356578"/>
              <a:ext cx="1406933" cy="1510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368300</xdr:colOff>
      <xdr:row>0</xdr:row>
      <xdr:rowOff>31750</xdr:rowOff>
    </xdr:from>
    <xdr:to>
      <xdr:col>26</xdr:col>
      <xdr:colOff>558800</xdr:colOff>
      <xdr:row>45</xdr:row>
      <xdr:rowOff>114300</xdr:rowOff>
    </xdr:to>
    <xdr:sp macro="" textlink="">
      <xdr:nvSpPr>
        <xdr:cNvPr id="10" name="Rectangle 9">
          <a:extLst>
            <a:ext uri="{FF2B5EF4-FFF2-40B4-BE49-F238E27FC236}">
              <a16:creationId xmlns:a16="http://schemas.microsoft.com/office/drawing/2014/main" id="{2C613A02-1F29-97CA-9777-2F0FBF60648D}"/>
            </a:ext>
          </a:extLst>
        </xdr:cNvPr>
        <xdr:cNvSpPr/>
      </xdr:nvSpPr>
      <xdr:spPr>
        <a:xfrm>
          <a:off x="2806700" y="31750"/>
          <a:ext cx="13601700" cy="836930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368300</xdr:colOff>
      <xdr:row>0</xdr:row>
      <xdr:rowOff>31750</xdr:rowOff>
    </xdr:from>
    <xdr:to>
      <xdr:col>17</xdr:col>
      <xdr:colOff>255058</xdr:colOff>
      <xdr:row>14</xdr:row>
      <xdr:rowOff>156029</xdr:rowOff>
    </xdr:to>
    <xdr:graphicFrame macro="">
      <xdr:nvGraphicFramePr>
        <xdr:cNvPr id="11" name="Chart 10">
          <a:extLst>
            <a:ext uri="{FF2B5EF4-FFF2-40B4-BE49-F238E27FC236}">
              <a16:creationId xmlns:a16="http://schemas.microsoft.com/office/drawing/2014/main" id="{34AA8132-59C2-4BDC-9547-8A1FAF842B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393701</xdr:colOff>
      <xdr:row>15</xdr:row>
      <xdr:rowOff>19050</xdr:rowOff>
    </xdr:from>
    <xdr:to>
      <xdr:col>13</xdr:col>
      <xdr:colOff>215900</xdr:colOff>
      <xdr:row>27</xdr:row>
      <xdr:rowOff>69920</xdr:rowOff>
    </xdr:to>
    <xdr:graphicFrame macro="">
      <xdr:nvGraphicFramePr>
        <xdr:cNvPr id="12" name="Chart 11">
          <a:extLst>
            <a:ext uri="{FF2B5EF4-FFF2-40B4-BE49-F238E27FC236}">
              <a16:creationId xmlns:a16="http://schemas.microsoft.com/office/drawing/2014/main" id="{136C9102-0946-48D3-B147-8054274B2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400051</xdr:colOff>
      <xdr:row>27</xdr:row>
      <xdr:rowOff>107950</xdr:rowOff>
    </xdr:from>
    <xdr:to>
      <xdr:col>17</xdr:col>
      <xdr:colOff>539750</xdr:colOff>
      <xdr:row>45</xdr:row>
      <xdr:rowOff>88900</xdr:rowOff>
    </xdr:to>
    <xdr:graphicFrame macro="">
      <xdr:nvGraphicFramePr>
        <xdr:cNvPr id="13" name="Chart 12">
          <a:extLst>
            <a:ext uri="{FF2B5EF4-FFF2-40B4-BE49-F238E27FC236}">
              <a16:creationId xmlns:a16="http://schemas.microsoft.com/office/drawing/2014/main" id="{3A7CBE1F-5E7F-43A8-B7C1-AF6EF59D66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381001</xdr:colOff>
      <xdr:row>14</xdr:row>
      <xdr:rowOff>177801</xdr:rowOff>
    </xdr:from>
    <xdr:to>
      <xdr:col>22</xdr:col>
      <xdr:colOff>219364</xdr:colOff>
      <xdr:row>27</xdr:row>
      <xdr:rowOff>63500</xdr:rowOff>
    </xdr:to>
    <xdr:graphicFrame macro="">
      <xdr:nvGraphicFramePr>
        <xdr:cNvPr id="14" name="Chart 13">
          <a:extLst>
            <a:ext uri="{FF2B5EF4-FFF2-40B4-BE49-F238E27FC236}">
              <a16:creationId xmlns:a16="http://schemas.microsoft.com/office/drawing/2014/main" id="{46030C0C-F4D2-4403-BC6B-1A59F438F5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317500</xdr:colOff>
      <xdr:row>0</xdr:row>
      <xdr:rowOff>50800</xdr:rowOff>
    </xdr:from>
    <xdr:to>
      <xdr:col>23</xdr:col>
      <xdr:colOff>273050</xdr:colOff>
      <xdr:row>14</xdr:row>
      <xdr:rowOff>146050</xdr:rowOff>
    </xdr:to>
    <xdr:graphicFrame macro="">
      <xdr:nvGraphicFramePr>
        <xdr:cNvPr id="15" name="Chart 14">
          <a:extLst>
            <a:ext uri="{FF2B5EF4-FFF2-40B4-BE49-F238E27FC236}">
              <a16:creationId xmlns:a16="http://schemas.microsoft.com/office/drawing/2014/main" id="{824DCDB5-CA68-4399-855E-F79588632F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584200</xdr:colOff>
      <xdr:row>27</xdr:row>
      <xdr:rowOff>101600</xdr:rowOff>
    </xdr:from>
    <xdr:to>
      <xdr:col>26</xdr:col>
      <xdr:colOff>501650</xdr:colOff>
      <xdr:row>45</xdr:row>
      <xdr:rowOff>107950</xdr:rowOff>
    </xdr:to>
    <xdr:graphicFrame macro="">
      <xdr:nvGraphicFramePr>
        <xdr:cNvPr id="16" name="Chart 15">
          <a:extLst>
            <a:ext uri="{FF2B5EF4-FFF2-40B4-BE49-F238E27FC236}">
              <a16:creationId xmlns:a16="http://schemas.microsoft.com/office/drawing/2014/main" id="{C7A86F1D-6C0D-4BAE-936C-B4CF201D9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285750</xdr:colOff>
      <xdr:row>0</xdr:row>
      <xdr:rowOff>50800</xdr:rowOff>
    </xdr:from>
    <xdr:to>
      <xdr:col>26</xdr:col>
      <xdr:colOff>488950</xdr:colOff>
      <xdr:row>6</xdr:row>
      <xdr:rowOff>139700</xdr:rowOff>
    </xdr:to>
    <xdr:sp macro="" textlink="">
      <xdr:nvSpPr>
        <xdr:cNvPr id="19" name="Rectangle 18">
          <a:extLst>
            <a:ext uri="{FF2B5EF4-FFF2-40B4-BE49-F238E27FC236}">
              <a16:creationId xmlns:a16="http://schemas.microsoft.com/office/drawing/2014/main" id="{45F11201-F68E-46B5-2EC2-6D26FE5FF4D6}"/>
            </a:ext>
          </a:extLst>
        </xdr:cNvPr>
        <xdr:cNvSpPr/>
      </xdr:nvSpPr>
      <xdr:spPr>
        <a:xfrm>
          <a:off x="14306550" y="50800"/>
          <a:ext cx="2032000" cy="11938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IN" sz="1400" b="1"/>
            <a:t>TOTAL NO OF DEVICE</a:t>
          </a:r>
        </a:p>
      </xdr:txBody>
    </xdr:sp>
    <xdr:clientData/>
  </xdr:twoCellAnchor>
  <xdr:twoCellAnchor>
    <xdr:from>
      <xdr:col>23</xdr:col>
      <xdr:colOff>584200</xdr:colOff>
      <xdr:row>2</xdr:row>
      <xdr:rowOff>114300</xdr:rowOff>
    </xdr:from>
    <xdr:to>
      <xdr:col>26</xdr:col>
      <xdr:colOff>228599</xdr:colOff>
      <xdr:row>5</xdr:row>
      <xdr:rowOff>19050</xdr:rowOff>
    </xdr:to>
    <xdr:sp macro="" textlink="'Smart Devices'!T196">
      <xdr:nvSpPr>
        <xdr:cNvPr id="18" name="TextBox 17">
          <a:extLst>
            <a:ext uri="{FF2B5EF4-FFF2-40B4-BE49-F238E27FC236}">
              <a16:creationId xmlns:a16="http://schemas.microsoft.com/office/drawing/2014/main" id="{AA7C1B2F-AFFF-4395-8FC3-E649CC2A8BCE}"/>
            </a:ext>
          </a:extLst>
        </xdr:cNvPr>
        <xdr:cNvSpPr txBox="1"/>
      </xdr:nvSpPr>
      <xdr:spPr>
        <a:xfrm>
          <a:off x="14605000" y="482600"/>
          <a:ext cx="1473199"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25B58D-1F26-4CF3-AC0A-687574E63AAB}" type="TxLink">
            <a:rPr lang="en-US" sz="1800" b="1" i="0" u="none" strike="noStrike">
              <a:solidFill>
                <a:srgbClr val="000000"/>
              </a:solidFill>
              <a:latin typeface="Calibri"/>
              <a:ea typeface="Calibri"/>
              <a:cs typeface="Calibri"/>
            </a:rPr>
            <a:pPr algn="ctr"/>
            <a:t>29</a:t>
          </a:fld>
          <a:endParaRPr lang="en-IN" sz="1800" b="1"/>
        </a:p>
      </xdr:txBody>
    </xdr:sp>
    <xdr:clientData/>
  </xdr:twoCellAnchor>
  <xdr:twoCellAnchor>
    <xdr:from>
      <xdr:col>23</xdr:col>
      <xdr:colOff>292100</xdr:colOff>
      <xdr:row>7</xdr:row>
      <xdr:rowOff>0</xdr:rowOff>
    </xdr:from>
    <xdr:to>
      <xdr:col>26</xdr:col>
      <xdr:colOff>514350</xdr:colOff>
      <xdr:row>14</xdr:row>
      <xdr:rowOff>139700</xdr:rowOff>
    </xdr:to>
    <xdr:sp macro="" textlink="">
      <xdr:nvSpPr>
        <xdr:cNvPr id="20" name="Rectangle 19">
          <a:extLst>
            <a:ext uri="{FF2B5EF4-FFF2-40B4-BE49-F238E27FC236}">
              <a16:creationId xmlns:a16="http://schemas.microsoft.com/office/drawing/2014/main" id="{B21F5EE9-F292-F3F9-6D6F-8D93DF3FE08C}"/>
            </a:ext>
          </a:extLst>
        </xdr:cNvPr>
        <xdr:cNvSpPr/>
      </xdr:nvSpPr>
      <xdr:spPr>
        <a:xfrm>
          <a:off x="14312900" y="1289050"/>
          <a:ext cx="2051050" cy="1428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TOTAL NO OF BRAND</a:t>
          </a:r>
        </a:p>
      </xdr:txBody>
    </xdr:sp>
    <xdr:clientData/>
  </xdr:twoCellAnchor>
  <xdr:twoCellAnchor>
    <xdr:from>
      <xdr:col>23</xdr:col>
      <xdr:colOff>571500</xdr:colOff>
      <xdr:row>9</xdr:row>
      <xdr:rowOff>158750</xdr:rowOff>
    </xdr:from>
    <xdr:to>
      <xdr:col>26</xdr:col>
      <xdr:colOff>241300</xdr:colOff>
      <xdr:row>12</xdr:row>
      <xdr:rowOff>133350</xdr:rowOff>
    </xdr:to>
    <xdr:sp macro="" textlink="'Smart Devices'!U206">
      <xdr:nvSpPr>
        <xdr:cNvPr id="21" name="TextBox 20">
          <a:extLst>
            <a:ext uri="{FF2B5EF4-FFF2-40B4-BE49-F238E27FC236}">
              <a16:creationId xmlns:a16="http://schemas.microsoft.com/office/drawing/2014/main" id="{6FF04A1D-8754-4A35-AF72-D15D3A03BAFC}"/>
            </a:ext>
          </a:extLst>
        </xdr:cNvPr>
        <xdr:cNvSpPr txBox="1"/>
      </xdr:nvSpPr>
      <xdr:spPr>
        <a:xfrm>
          <a:off x="14592300" y="1816100"/>
          <a:ext cx="1498600" cy="527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FF546-A0D9-46D0-8857-41AB25FF3F00}" type="TxLink">
            <a:rPr lang="en-US" sz="1800" b="1" i="0" u="none" strike="noStrike">
              <a:solidFill>
                <a:srgbClr val="000000"/>
              </a:solidFill>
              <a:latin typeface="Calibri"/>
              <a:ea typeface="Calibri"/>
              <a:cs typeface="Calibri"/>
            </a:rPr>
            <a:pPr algn="ctr"/>
            <a:t>10</a:t>
          </a:fld>
          <a:endParaRPr lang="en-IN" sz="1800" b="1"/>
        </a:p>
      </xdr:txBody>
    </xdr:sp>
    <xdr:clientData/>
  </xdr:twoCellAnchor>
  <xdr:twoCellAnchor>
    <xdr:from>
      <xdr:col>22</xdr:col>
      <xdr:colOff>266700</xdr:colOff>
      <xdr:row>14</xdr:row>
      <xdr:rowOff>161636</xdr:rowOff>
    </xdr:from>
    <xdr:to>
      <xdr:col>26</xdr:col>
      <xdr:colOff>496454</xdr:colOff>
      <xdr:row>27</xdr:row>
      <xdr:rowOff>34637</xdr:rowOff>
    </xdr:to>
    <xdr:graphicFrame macro="">
      <xdr:nvGraphicFramePr>
        <xdr:cNvPr id="8" name="Chart 7">
          <a:extLst>
            <a:ext uri="{FF2B5EF4-FFF2-40B4-BE49-F238E27FC236}">
              <a16:creationId xmlns:a16="http://schemas.microsoft.com/office/drawing/2014/main" id="{6C6A0C92-9DF8-48D9-B5CC-9765745F9A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turkar" refreshedDate="46088.567913657411" createdVersion="8" refreshedVersion="8" minRefreshableVersion="3" recordCount="2375" xr:uid="{F59CD41A-087D-4CF2-981A-026F4DFEB88C}">
  <cacheSource type="worksheet">
    <worksheetSource ref="A1:Q2375" sheet="Smart Devices"/>
  </cacheSource>
  <cacheFields count="17">
    <cacheField name="Test_Date" numFmtId="14">
      <sharedItems containsSemiMixedTypes="0" containsNonDate="0" containsDate="1" containsString="0" minDate="2025-06-01T00:00:00" maxDate="2025-06-26T00:00:00" count="25">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sharedItems>
    </cacheField>
    <cacheField name="Device_Name" numFmtId="0">
      <sharedItems count="29">
        <s v="Fitbit Inspire 4"/>
        <s v="Apple Watch SE 3"/>
        <s v="Fitbit Versa 4"/>
        <s v="Polar Vantage V3"/>
        <s v="Samsung Galaxy Watch FE"/>
        <s v="Garmin Forerunner 965"/>
        <s v="Withings ScanWatch 2"/>
        <s v="Garmin Fenix 8"/>
        <s v="Samsung Galaxy Watch Ultra"/>
        <s v="WHOOP 4.0"/>
        <s v="Oura Ring Gen 4"/>
        <s v="Apple Watch Ultra 2"/>
        <s v="Huawei Watch Ultimate"/>
        <s v="Fitbit Charge 6"/>
        <s v="Amazfit GTR 4"/>
        <s v="Huawei Watch GT 5"/>
        <s v="Garmin Venu 3"/>
        <s v="Samsung Galaxy Watch 7"/>
        <s v="Garmin Instinct 2X"/>
        <s v="Amazfit Band 7"/>
        <s v="Fitbit Sense 2"/>
        <s v="Apple Watch Series 10"/>
        <s v="Huawei Watch 5"/>
        <s v="Huawei Band 9"/>
        <s v="Polar Pacer Pro"/>
        <s v="Withings Steel HR"/>
        <s v="Amazfit T-Rex 3"/>
        <s v="Amazfit GTS 4"/>
        <s v="Garmin Enduro 3"/>
      </sharedItems>
    </cacheField>
    <cacheField name="Brand" numFmtId="0">
      <sharedItems count="10">
        <s v="Fitbit"/>
        <s v="Apple"/>
        <s v="Polar"/>
        <s v="Samsung"/>
        <s v="Garmin"/>
        <s v="Withings"/>
        <s v="WHOOP"/>
        <s v="Oura"/>
        <s v="Huawei"/>
        <s v="Amazfit"/>
      </sharedItems>
    </cacheField>
    <cacheField name="Model" numFmtId="0">
      <sharedItems containsMixedTypes="1" containsNumber="1" containsInteger="1" minValue="4" maxValue="4" count="29">
        <s v="Inspire 4"/>
        <s v="Watch SE 3"/>
        <s v="Versa 4"/>
        <s v="Vantage V3"/>
        <s v="Galaxy Watch FE"/>
        <s v="Forerunner 965"/>
        <s v="ScanWatch 2"/>
        <s v="Fenix 8"/>
        <s v="Galaxy Watch Ultra"/>
        <n v="4"/>
        <s v="Ring Gen 4"/>
        <s v="Watch Ultra 2"/>
        <s v="Watch Ultimate"/>
        <s v="Charge 6"/>
        <s v="GTR 4"/>
        <s v="Watch GT 5"/>
        <s v="Venu 3"/>
        <s v="Galaxy Watch 7"/>
        <s v="Instinct 2X"/>
        <s v="Band 7"/>
        <s v="Sense 2"/>
        <s v="Watch Series 10"/>
        <s v="Watch 5"/>
        <s v="Band 9"/>
        <s v="Pacer Pro"/>
        <s v="Steel HR"/>
        <s v="T-Rex 3"/>
        <s v="GTS 4"/>
        <s v="Enduro 3"/>
      </sharedItems>
    </cacheField>
    <cacheField name="Category" numFmtId="0">
      <sharedItems count="5">
        <s v="Fitness Tracker"/>
        <s v="Smartwatch"/>
        <s v="Sports Watch"/>
        <s v="Fitness Band"/>
        <s v="Smart Ring"/>
      </sharedItems>
    </cacheField>
    <cacheField name="Price_USD" numFmtId="0">
      <sharedItems containsSemiMixedTypes="0" containsString="0" containsNumber="1" minValue="30" maxValue="989.48" count="2111">
        <n v="141.74"/>
        <n v="834.64"/>
        <n v="145.34"/>
        <n v="349.53"/>
        <n v="502.43"/>
        <n v="402.32"/>
        <n v="235.64"/>
        <n v="897.85"/>
        <n v="318.18"/>
        <n v="30"/>
        <n v="415.05"/>
        <n v="298.29000000000002"/>
        <n v="756.15"/>
        <n v="715.35"/>
        <n v="185.56"/>
        <n v="87.52"/>
        <n v="755.34"/>
        <n v="314.67"/>
        <n v="703.92"/>
        <n v="363.27"/>
        <n v="129.97999999999999"/>
        <n v="611"/>
        <n v="379.85"/>
        <n v="458.01"/>
        <n v="345.3"/>
        <n v="476.23"/>
        <n v="70.61"/>
        <n v="821.15"/>
        <n v="322.69"/>
        <n v="181.53"/>
        <n v="849.32"/>
        <n v="268.04000000000002"/>
        <n v="433.15"/>
        <n v="293.02"/>
        <n v="161.99"/>
        <n v="626.27"/>
        <n v="636.17999999999995"/>
        <n v="338.81"/>
        <n v="343.6"/>
        <n v="523.45000000000005"/>
        <n v="642.69000000000005"/>
        <n v="645.67999999999995"/>
        <n v="433.83"/>
        <n v="124.76"/>
        <n v="247.9"/>
        <n v="390.1"/>
        <n v="295.29000000000002"/>
        <n v="120.14"/>
        <n v="477.07"/>
        <n v="354.08"/>
        <n v="204.63"/>
        <n v="329.82"/>
        <n v="446.11"/>
        <n v="498.98"/>
        <n v="161.11000000000001"/>
        <n v="539.39"/>
        <n v="445.47"/>
        <n v="251.31"/>
        <n v="402.35"/>
        <n v="163.95"/>
        <n v="908.41"/>
        <n v="240.97"/>
        <n v="262.36"/>
        <n v="74.11"/>
        <n v="292.77"/>
        <n v="114.77"/>
        <n v="289.07"/>
        <n v="861.58"/>
        <n v="105.27"/>
        <n v="414.49"/>
        <n v="347.12"/>
        <n v="211.12"/>
        <n v="462.18"/>
        <n v="100.81"/>
        <n v="282.52999999999997"/>
        <n v="203.46"/>
        <n v="219.31"/>
        <n v="291.19"/>
        <n v="778.54"/>
        <n v="344.52"/>
        <n v="317"/>
        <n v="155.47999999999999"/>
        <n v="288.37"/>
        <n v="244.18"/>
        <n v="258.76"/>
        <n v="396.21"/>
        <n v="78.790000000000006"/>
        <n v="903.67"/>
        <n v="484.36"/>
        <n v="671.53"/>
        <n v="159.47"/>
        <n v="173.18"/>
        <n v="472.8"/>
        <n v="677.77"/>
        <n v="107.55"/>
        <n v="348.89"/>
        <n v="108.14"/>
        <n v="424.32"/>
        <n v="407.86"/>
        <n v="557.70000000000005"/>
        <n v="366.9"/>
        <n v="882.33"/>
        <n v="239.48"/>
        <n v="362.36"/>
        <n v="524.96"/>
        <n v="329.51"/>
        <n v="264.8"/>
        <n v="246.38"/>
        <n v="288.19"/>
        <n v="664.96"/>
        <n v="400.51"/>
        <n v="393.66"/>
        <n v="211.63"/>
        <n v="512.29999999999995"/>
        <n v="114.74"/>
        <n v="118.91"/>
        <n v="201.36"/>
        <n v="442.53"/>
        <n v="485.84"/>
        <n v="299.54000000000002"/>
        <n v="388.05"/>
        <n v="225.1"/>
        <n v="373.65"/>
        <n v="211.7"/>
        <n v="357.63"/>
        <n v="216.93"/>
        <n v="474.19"/>
        <n v="400.31"/>
        <n v="476.7"/>
        <n v="366.49"/>
        <n v="560.95000000000005"/>
        <n v="221.52"/>
        <n v="281.20999999999998"/>
        <n v="382.8"/>
        <n v="382.49"/>
        <n v="421.25"/>
        <n v="515.74"/>
        <n v="181.82"/>
        <n v="633.17999999999995"/>
        <n v="481.08"/>
        <n v="305.66000000000003"/>
        <n v="238.48"/>
        <n v="532.22"/>
        <n v="395.48"/>
        <n v="465.63"/>
        <n v="327.37"/>
        <n v="225.71"/>
        <n v="275.42"/>
        <n v="229.06"/>
        <n v="80.17"/>
        <n v="106.18"/>
        <n v="463.88"/>
        <n v="264.86"/>
        <n v="711.12"/>
        <n v="270.41000000000003"/>
        <n v="263.54000000000002"/>
        <n v="389.47"/>
        <n v="349.79"/>
        <n v="176.98"/>
        <n v="542.30999999999995"/>
        <n v="219.96"/>
        <n v="377.63"/>
        <n v="264.72000000000003"/>
        <n v="388.1"/>
        <n v="777.71"/>
        <n v="502.37"/>
        <n v="219.21"/>
        <n v="399.45"/>
        <n v="177.32"/>
        <n v="487.63"/>
        <n v="485.51"/>
        <n v="96.53"/>
        <n v="553.04"/>
        <n v="115.08"/>
        <n v="274.45"/>
        <n v="294.13"/>
        <n v="154.36000000000001"/>
        <n v="461.66"/>
        <n v="590.25"/>
        <n v="948.59"/>
        <n v="504.43"/>
        <n v="496.11"/>
        <n v="710.85"/>
        <n v="826.19"/>
        <n v="203.18"/>
        <n v="263.12"/>
        <n v="437.43"/>
        <n v="518.62"/>
        <n v="426.66"/>
        <n v="255.71"/>
        <n v="312.52"/>
        <n v="739.32"/>
        <n v="488.34"/>
        <n v="502.51"/>
        <n v="559.22"/>
        <n v="304.74"/>
        <n v="205.3"/>
        <n v="313.44"/>
        <n v="426.17"/>
        <n v="395.7"/>
        <n v="389.55"/>
        <n v="459.39"/>
        <n v="319.06"/>
        <n v="775.49"/>
        <n v="301.52"/>
        <n v="554.82000000000005"/>
        <n v="529.79"/>
        <n v="452.83"/>
        <n v="137.66"/>
        <n v="635.29999999999995"/>
        <n v="238.04"/>
        <n v="547.87"/>
        <n v="153.94"/>
        <n v="126.73"/>
        <n v="88.64"/>
        <n v="292.66000000000003"/>
        <n v="234.69"/>
        <n v="277.20999999999998"/>
        <n v="356.28"/>
        <n v="93"/>
        <n v="278.77999999999997"/>
        <n v="449.33"/>
        <n v="488.42"/>
        <n v="465.74"/>
        <n v="198.88"/>
        <n v="616.55999999999995"/>
        <n v="280.10000000000002"/>
        <n v="509.77"/>
        <n v="152.26"/>
        <n v="322.67"/>
        <n v="396.22"/>
        <n v="389.99"/>
        <n v="390.7"/>
        <n v="285.27"/>
        <n v="694.31"/>
        <n v="275.51"/>
        <n v="311.02"/>
        <n v="467.85"/>
        <n v="376.4"/>
        <n v="325.42"/>
        <n v="476.11"/>
        <n v="872.33"/>
        <n v="448.32"/>
        <n v="806.25"/>
        <n v="707.12"/>
        <n v="208.94"/>
        <n v="629.54999999999995"/>
        <n v="635.26"/>
        <n v="102.41"/>
        <n v="619.71"/>
        <n v="855.64"/>
        <n v="373.6"/>
        <n v="184.05"/>
        <n v="608.57000000000005"/>
        <n v="599.24"/>
        <n v="407.54"/>
        <n v="387.73"/>
        <n v="252.04"/>
        <n v="156.69999999999999"/>
        <n v="229.28"/>
        <n v="220.23"/>
        <n v="362.03"/>
        <n v="280.22000000000003"/>
        <n v="734.41"/>
        <n v="295.02"/>
        <n v="506.47"/>
        <n v="82.1"/>
        <n v="345.24"/>
        <n v="274"/>
        <n v="247.23"/>
        <n v="961.93"/>
        <n v="235.59"/>
        <n v="230.71"/>
        <n v="424.83"/>
        <n v="460.23"/>
        <n v="971.39"/>
        <n v="298.35000000000002"/>
        <n v="541.67999999999995"/>
        <n v="797.46"/>
        <n v="945.8"/>
        <n v="411.97"/>
        <n v="392.62"/>
        <n v="334.37"/>
        <n v="409.97"/>
        <n v="397.77"/>
        <n v="265.64"/>
        <n v="498.83"/>
        <n v="686.91"/>
        <n v="426.55"/>
        <n v="290.72000000000003"/>
        <n v="322.10000000000002"/>
        <n v="492.8"/>
        <n v="412.61"/>
        <n v="219.02"/>
        <n v="260.07"/>
        <n v="384.74"/>
        <n v="567.5"/>
        <n v="802.75"/>
        <n v="337.27"/>
        <n v="689.46"/>
        <n v="205.48"/>
        <n v="798.79"/>
        <n v="195.78"/>
        <n v="495.5"/>
        <n v="369.36"/>
        <n v="99"/>
        <n v="223.24"/>
        <n v="265.89"/>
        <n v="244.4"/>
        <n v="273.75"/>
        <n v="222.68"/>
        <n v="449.35"/>
        <n v="391.09"/>
        <n v="552.20000000000005"/>
        <n v="499.39"/>
        <n v="546.09"/>
        <n v="573.08000000000004"/>
        <n v="70.11"/>
        <n v="554.32000000000005"/>
        <n v="274.51"/>
        <n v="621.48"/>
        <n v="149.38999999999999"/>
        <n v="449.23"/>
        <n v="269.56"/>
        <n v="295.64"/>
        <n v="398.74"/>
        <n v="216.13"/>
        <n v="256.95"/>
        <n v="685.51"/>
        <n v="673.35"/>
        <n v="414.69"/>
        <n v="182.24"/>
        <n v="500.13"/>
        <n v="247.79"/>
        <n v="380.29"/>
        <n v="394.74"/>
        <n v="253.44"/>
        <n v="402.04"/>
        <n v="326.66000000000003"/>
        <n v="143.41"/>
        <n v="200.3"/>
        <n v="127.11"/>
        <n v="333.26"/>
        <n v="366.45"/>
        <n v="486.59"/>
        <n v="358.52"/>
        <n v="228.78"/>
        <n v="289.39"/>
        <n v="272.2"/>
        <n v="282.8"/>
        <n v="287.23"/>
        <n v="350.74"/>
        <n v="94.64"/>
        <n v="721.8"/>
        <n v="309.36"/>
        <n v="923.73"/>
        <n v="231.52"/>
        <n v="608.78"/>
        <n v="152.94999999999999"/>
        <n v="656.05"/>
        <n v="739.26"/>
        <n v="298.08"/>
        <n v="280"/>
        <n v="336.05"/>
        <n v="267.83999999999997"/>
        <n v="295.87"/>
        <n v="293.24"/>
        <n v="141.9"/>
        <n v="521.24"/>
        <n v="667.1"/>
        <n v="148.53"/>
        <n v="399.68"/>
        <n v="661.03"/>
        <n v="340.17"/>
        <n v="280.29000000000002"/>
        <n v="429.84"/>
        <n v="177.09"/>
        <n v="185.52"/>
        <n v="449.14"/>
        <n v="471.02"/>
        <n v="173.35"/>
        <n v="293.33999999999997"/>
        <n v="66.069999999999993"/>
        <n v="97.18"/>
        <n v="252.73"/>
        <n v="693.32"/>
        <n v="449.19"/>
        <n v="264.82"/>
        <n v="382.96"/>
        <n v="841.21"/>
        <n v="435.87"/>
        <n v="358.8"/>
        <n v="529.15"/>
        <n v="407.91"/>
        <n v="325.97000000000003"/>
        <n v="816.17"/>
        <n v="491.54"/>
        <n v="609.88"/>
        <n v="234.74"/>
        <n v="351.57"/>
        <n v="307"/>
        <n v="190.57"/>
        <n v="250.65"/>
        <n v="412.92"/>
        <n v="480.17"/>
        <n v="475.04"/>
        <n v="250.88"/>
        <n v="99.82"/>
        <n v="281.48"/>
        <n v="289.52999999999997"/>
        <n v="225.13"/>
        <n v="361.74"/>
        <n v="97.67"/>
        <n v="367.69"/>
        <n v="676.45"/>
        <n v="409.47"/>
        <n v="802.78"/>
        <n v="415.83"/>
        <n v="162.46"/>
        <n v="799.7"/>
        <n v="346.19"/>
        <n v="396.25"/>
        <n v="259.08"/>
        <n v="534.03"/>
        <n v="545.1"/>
        <n v="228.1"/>
        <n v="347.13"/>
        <n v="337.36"/>
        <n v="52.27"/>
        <n v="356.53"/>
        <n v="253.08"/>
        <n v="192.02"/>
        <n v="332.84"/>
        <n v="623.25"/>
        <n v="225.83"/>
        <n v="345.04"/>
        <n v="310.77"/>
        <n v="221.67"/>
        <n v="408.62"/>
        <n v="275.89"/>
        <n v="328.06"/>
        <n v="487.92"/>
        <n v="206.17"/>
        <n v="143.97"/>
        <n v="644.80999999999995"/>
        <n v="738.16"/>
        <n v="253.63"/>
        <n v="825.69"/>
        <n v="334.7"/>
        <n v="300.23"/>
        <n v="670.58"/>
        <n v="754.22"/>
        <n v="259.20999999999998"/>
        <n v="241.83"/>
        <n v="250.45"/>
        <n v="577.99"/>
        <n v="423.51"/>
        <n v="275.10000000000002"/>
        <n v="685.97"/>
        <n v="826.15"/>
        <n v="273.79000000000002"/>
        <n v="825.44"/>
        <n v="234.39"/>
        <n v="243.26"/>
        <n v="430.02"/>
        <n v="50.23"/>
        <n v="318.92"/>
        <n v="680.39"/>
        <n v="639.07000000000005"/>
        <n v="822.04"/>
        <n v="321.63"/>
        <n v="331.77"/>
        <n v="417.04"/>
        <n v="491.2"/>
        <n v="126.79"/>
        <n v="820.93"/>
        <n v="277.74"/>
        <n v="731.51"/>
        <n v="117.75"/>
        <n v="378.73"/>
        <n v="527.48"/>
        <n v="102.44"/>
        <n v="408.51"/>
        <n v="892.57"/>
        <n v="372.89"/>
        <n v="187.58"/>
        <n v="964.83"/>
        <n v="359.36"/>
        <n v="615.73"/>
        <n v="421.16"/>
        <n v="462.11"/>
        <n v="164.14"/>
        <n v="930.61"/>
        <n v="407.74"/>
        <n v="537.38"/>
        <n v="363.46"/>
        <n v="280.26"/>
        <n v="479.8"/>
        <n v="492.87"/>
        <n v="497.98"/>
        <n v="191.3"/>
        <n v="426.94"/>
        <n v="756.68"/>
        <n v="465.57"/>
        <n v="438.6"/>
        <n v="380.16"/>
        <n v="102.32"/>
        <n v="101.98"/>
        <n v="278.37"/>
        <n v="237.06"/>
        <n v="370.53"/>
        <n v="145.97"/>
        <n v="399.39"/>
        <n v="277.95"/>
        <n v="210.46"/>
        <n v="418.15"/>
        <n v="121.24"/>
        <n v="81.239999999999995"/>
        <n v="328.8"/>
        <n v="546.32000000000005"/>
        <n v="527.1"/>
        <n v="666.64"/>
        <n v="328.35"/>
        <n v="413.85"/>
        <n v="322.23"/>
        <n v="551.54"/>
        <n v="287.17"/>
        <n v="354.59"/>
        <n v="200.41"/>
        <n v="127.15"/>
        <n v="209.14"/>
        <n v="566.91999999999996"/>
        <n v="321.20999999999998"/>
        <n v="378.19"/>
        <n v="409.49"/>
        <n v="324.10000000000002"/>
        <n v="474.94"/>
        <n v="407.26"/>
        <n v="293.61"/>
        <n v="490.8"/>
        <n v="502.95"/>
        <n v="250.06"/>
        <n v="301.7"/>
        <n v="255.94"/>
        <n v="499.92"/>
        <n v="148.38999999999999"/>
        <n v="258.41000000000003"/>
        <n v="341.17"/>
        <n v="207.29"/>
        <n v="368.51"/>
        <n v="498.76"/>
        <n v="447.92"/>
        <n v="231.36"/>
        <n v="321.37"/>
        <n v="593.76"/>
        <n v="657.84"/>
        <n v="284.16000000000003"/>
        <n v="303.08"/>
        <n v="305.72000000000003"/>
        <n v="261.19"/>
        <n v="500.46"/>
        <n v="411.28"/>
        <n v="841.02"/>
        <n v="428.55"/>
        <n v="373.83"/>
        <n v="327.38"/>
        <n v="439.12"/>
        <n v="357.72"/>
        <n v="369.69"/>
        <n v="539.64"/>
        <n v="667.77"/>
        <n v="311.05"/>
        <n v="797.08"/>
        <n v="528.29"/>
        <n v="531.87"/>
        <n v="223.13"/>
        <n v="444.06"/>
        <n v="212.37"/>
        <n v="258.56"/>
        <n v="324.82"/>
        <n v="249.78"/>
        <n v="452.71"/>
        <n v="300.72000000000003"/>
        <n v="429.64"/>
        <n v="396"/>
        <n v="466.42"/>
        <n v="488.97"/>
        <n v="221.58"/>
        <n v="611.28"/>
        <n v="410.55"/>
        <n v="174.36"/>
        <n v="599.11"/>
        <n v="53.38"/>
        <n v="304.61"/>
        <n v="273.82"/>
        <n v="632.44000000000005"/>
        <n v="772.07"/>
        <n v="232.9"/>
        <n v="608.80999999999995"/>
        <n v="126.53"/>
        <n v="525.91999999999996"/>
        <n v="170.98"/>
        <n v="271.33"/>
        <n v="783.94"/>
        <n v="436.16"/>
        <n v="332.72"/>
        <n v="750.45"/>
        <n v="427.12"/>
        <n v="302.61"/>
        <n v="352.31"/>
        <n v="361.26"/>
        <n v="317.72000000000003"/>
        <n v="359.37"/>
        <n v="370.9"/>
        <n v="586.66"/>
        <n v="989.48"/>
        <n v="491.17"/>
        <n v="337.06"/>
        <n v="400.86"/>
        <n v="392"/>
        <n v="423.9"/>
        <n v="641.39"/>
        <n v="429.75"/>
        <n v="660.12"/>
        <n v="688.17"/>
        <n v="228.84"/>
        <n v="243.67"/>
        <n v="338.08"/>
        <n v="759.99"/>
        <n v="426.97"/>
        <n v="476.81"/>
        <n v="98.68"/>
        <n v="426.09"/>
        <n v="418.76"/>
        <n v="570.20000000000005"/>
        <n v="272.99"/>
        <n v="448.14"/>
        <n v="235.26"/>
        <n v="171.88"/>
        <n v="163.05000000000001"/>
        <n v="498.44"/>
        <n v="225.9"/>
        <n v="159.97"/>
        <n v="201.56"/>
        <n v="199.59"/>
        <n v="285.95"/>
        <n v="566.21"/>
        <n v="933.78"/>
        <n v="159.91999999999999"/>
        <n v="242.32"/>
        <n v="322.92"/>
        <n v="220.64"/>
        <n v="496.21"/>
        <n v="243.79"/>
        <n v="79.78"/>
        <n v="832.71"/>
        <n v="572.95000000000005"/>
        <n v="483.55"/>
        <n v="174.34"/>
        <n v="532.05999999999995"/>
        <n v="376.16"/>
        <n v="122.79"/>
        <n v="423.12"/>
        <n v="533.05999999999995"/>
        <n v="77.91"/>
        <n v="59.96"/>
        <n v="911.39"/>
        <n v="400.67"/>
        <n v="194.93"/>
        <n v="224.56"/>
        <n v="464.98"/>
        <n v="230.92"/>
        <n v="473.54"/>
        <n v="213.07"/>
        <n v="157.35"/>
        <n v="170.56"/>
        <n v="240.16"/>
        <n v="518.29999999999995"/>
        <n v="283.63"/>
        <n v="444.23"/>
        <n v="442.56"/>
        <n v="494.89"/>
        <n v="289.81"/>
        <n v="330.71"/>
        <n v="258.22000000000003"/>
        <n v="357.79"/>
        <n v="201.14"/>
        <n v="99.77"/>
        <n v="366.28"/>
        <n v="578.76"/>
        <n v="334.15"/>
        <n v="689.84"/>
        <n v="508.09"/>
        <n v="83.72"/>
        <n v="437.92"/>
        <n v="196.53"/>
        <n v="659.77"/>
        <n v="373.95"/>
        <n v="612.72"/>
        <n v="256.73"/>
        <n v="276.39"/>
        <n v="809.24"/>
        <n v="723.05"/>
        <n v="349.03"/>
        <n v="317.92"/>
        <n v="451.43"/>
        <n v="398.33"/>
        <n v="567.36"/>
        <n v="235.63"/>
        <n v="317.12"/>
        <n v="671.21"/>
        <n v="304.29000000000002"/>
        <n v="280.87"/>
        <n v="703.58"/>
        <n v="191.75"/>
        <n v="558.07000000000005"/>
        <n v="220.49"/>
        <n v="460.41"/>
        <n v="566.59"/>
        <n v="719.41"/>
        <n v="887.65"/>
        <n v="332.87"/>
        <n v="415.73"/>
        <n v="238.94"/>
        <n v="471.69"/>
        <n v="222.35"/>
        <n v="458.7"/>
        <n v="159.08000000000001"/>
        <n v="207.69"/>
        <n v="203.06"/>
        <n v="476.74"/>
        <n v="225.44"/>
        <n v="295.19"/>
        <n v="285.51"/>
        <n v="826.47"/>
        <n v="486"/>
        <n v="480.51"/>
        <n v="208.8"/>
        <n v="373.64"/>
        <n v="705.4"/>
        <n v="311.52"/>
        <n v="354.58"/>
        <n v="60.68"/>
        <n v="132.78"/>
        <n v="167.63"/>
        <n v="307.48"/>
        <n v="431.93"/>
        <n v="294.08"/>
        <n v="118.56"/>
        <n v="571.13"/>
        <n v="360.84"/>
        <n v="273.87"/>
        <n v="511.38"/>
        <n v="974.38"/>
        <n v="392.66"/>
        <n v="655.64"/>
        <n v="200.11"/>
        <n v="342.29"/>
        <n v="265.39999999999998"/>
        <n v="91.81"/>
        <n v="387.48"/>
        <n v="458.43"/>
        <n v="558.51"/>
        <n v="419.92"/>
        <n v="280.23"/>
        <n v="126.59"/>
        <n v="374.93"/>
        <n v="787.79"/>
        <n v="205.24"/>
        <n v="453.23"/>
        <n v="517.54999999999995"/>
        <n v="587.13"/>
        <n v="92.49"/>
        <n v="272.68"/>
        <n v="810.66"/>
        <n v="212.65"/>
        <n v="445.88"/>
        <n v="415.64"/>
        <n v="774.1"/>
        <n v="815.33"/>
        <n v="773.52"/>
        <n v="320.82"/>
        <n v="174.05"/>
        <n v="327.35000000000002"/>
        <n v="127.03"/>
        <n v="166.12"/>
        <n v="180.01"/>
        <n v="449.83"/>
        <n v="797"/>
        <n v="685.57"/>
        <n v="459.06"/>
        <n v="353.31"/>
        <n v="363.63"/>
        <n v="560.63"/>
        <n v="279.83"/>
        <n v="587.41"/>
        <n v="782.88"/>
        <n v="369.82"/>
        <n v="277.68"/>
        <n v="688.74"/>
        <n v="463.61"/>
        <n v="609.97"/>
        <n v="485.31"/>
        <n v="221.8"/>
        <n v="273.04000000000002"/>
        <n v="334.47"/>
        <n v="386.87"/>
        <n v="135.69"/>
        <n v="560.1"/>
        <n v="416.67"/>
        <n v="286.38"/>
        <n v="692.48"/>
        <n v="221.09"/>
        <n v="931.88"/>
        <n v="304.2"/>
        <n v="531.26"/>
        <n v="490.15"/>
        <n v="488.14"/>
        <n v="674.65"/>
        <n v="199.12"/>
        <n v="323.22000000000003"/>
        <n v="283.42"/>
        <n v="440.39"/>
        <n v="477.96"/>
        <n v="321.41000000000003"/>
        <n v="250.52"/>
        <n v="267.37"/>
        <n v="212.48"/>
        <n v="353.75"/>
        <n v="827.74"/>
        <n v="444.7"/>
        <n v="498.61"/>
        <n v="505.15"/>
        <n v="347.19"/>
        <n v="179.83"/>
        <n v="807.56"/>
        <n v="237.36"/>
        <n v="602.73"/>
        <n v="152.4"/>
        <n v="176.25"/>
        <n v="429.68"/>
        <n v="318.24"/>
        <n v="611.91"/>
        <n v="795.15"/>
        <n v="445.01"/>
        <n v="104.75"/>
        <n v="297.33"/>
        <n v="430.71"/>
        <n v="231.28"/>
        <n v="330.35"/>
        <n v="835.95"/>
        <n v="363.95"/>
        <n v="535.76"/>
        <n v="331.65"/>
        <n v="198.91"/>
        <n v="457.83"/>
        <n v="365.22"/>
        <n v="658.07"/>
        <n v="293.45999999999998"/>
        <n v="488.72"/>
        <n v="391.14"/>
        <n v="424.57"/>
        <n v="348.58"/>
        <n v="326.76"/>
        <n v="530.47"/>
        <n v="798.05"/>
        <n v="838.83"/>
        <n v="527.58000000000004"/>
        <n v="469.51"/>
        <n v="300.87"/>
        <n v="768.29"/>
        <n v="492.67"/>
        <n v="658.01"/>
        <n v="172.07"/>
        <n v="127.54"/>
        <n v="238.97"/>
        <n v="576.19000000000005"/>
        <n v="723.16"/>
        <n v="241.26"/>
        <n v="201.89"/>
        <n v="497.96"/>
        <n v="541.01"/>
        <n v="720.05"/>
        <n v="258.72000000000003"/>
        <n v="428.84"/>
        <n v="690.37"/>
        <n v="649.02"/>
        <n v="390.02"/>
        <n v="193.87"/>
        <n v="526.52"/>
        <n v="363.51"/>
        <n v="357.45"/>
        <n v="409.14"/>
        <n v="272.49"/>
        <n v="250.58"/>
        <n v="714.73"/>
        <n v="125.28"/>
        <n v="156.76"/>
        <n v="117.64"/>
        <n v="165.83"/>
        <n v="315.44"/>
        <n v="143.68"/>
        <n v="359.01"/>
        <n v="198.3"/>
        <n v="206.08"/>
        <n v="649.91"/>
        <n v="212.51"/>
        <n v="295.76"/>
        <n v="460.93"/>
        <n v="841.11"/>
        <n v="773.37"/>
        <n v="178.72"/>
        <n v="224.14"/>
        <n v="201.81"/>
        <n v="71.489999999999995"/>
        <n v="460.51"/>
        <n v="345.12"/>
        <n v="337.15"/>
        <n v="477.76"/>
        <n v="429.98"/>
        <n v="263.32"/>
        <n v="231.15"/>
        <n v="493.29"/>
        <n v="254.48"/>
        <n v="289.94"/>
        <n v="464.38"/>
        <n v="95.42"/>
        <n v="226.89"/>
        <n v="624.25"/>
        <n v="480.68"/>
        <n v="342.17"/>
        <n v="257.81"/>
        <n v="266.88"/>
        <n v="336.26"/>
        <n v="261.77999999999997"/>
        <n v="879.72"/>
        <n v="259.51"/>
        <n v="230.14"/>
        <n v="676.87"/>
        <n v="381.97"/>
        <n v="350.69"/>
        <n v="251.83"/>
        <n v="463.91"/>
        <n v="318.68"/>
        <n v="112.87"/>
        <n v="207.11"/>
        <n v="631.84"/>
        <n v="286.02"/>
        <n v="766.93"/>
        <n v="280.63"/>
        <n v="269.62"/>
        <n v="217.61"/>
        <n v="127.43"/>
        <n v="131.85"/>
        <n v="315.67"/>
        <n v="448.47"/>
        <n v="488.1"/>
        <n v="616.11"/>
        <n v="843.78"/>
        <n v="535.99"/>
        <n v="374.17"/>
        <n v="956.74"/>
        <n v="238.75"/>
        <n v="292.89999999999998"/>
        <n v="262.64"/>
        <n v="329.67"/>
        <n v="624.64"/>
        <n v="662.93"/>
        <n v="223.89"/>
        <n v="287.45999999999998"/>
        <n v="677.08"/>
        <n v="384.27"/>
        <n v="263.39"/>
        <n v="624.74"/>
        <n v="472.23"/>
        <n v="722.06"/>
        <n v="249.24"/>
        <n v="298.25"/>
        <n v="81.69"/>
        <n v="601.12"/>
        <n v="435.4"/>
        <n v="716.45"/>
        <n v="734.47"/>
        <n v="487.56"/>
        <n v="312.20999999999998"/>
        <n v="277.36"/>
        <n v="380.05"/>
        <n v="175.65"/>
        <n v="492.1"/>
        <n v="925.51"/>
        <n v="320.47000000000003"/>
        <n v="523.51"/>
        <n v="199.29"/>
        <n v="228.57"/>
        <n v="351"/>
        <n v="389.46"/>
        <n v="314.11"/>
        <n v="886.29"/>
        <n v="776.63"/>
        <n v="755.85"/>
        <n v="370.43"/>
        <n v="299.08999999999997"/>
        <n v="459.87"/>
        <n v="400.04"/>
        <n v="286.91000000000003"/>
        <n v="153.47"/>
        <n v="108.2"/>
        <n v="72.38"/>
        <n v="479.67"/>
        <n v="289.13"/>
        <n v="555.39"/>
        <n v="71.59"/>
        <n v="220.9"/>
        <n v="429.97"/>
        <n v="141.68"/>
        <n v="211.27"/>
        <n v="457.11"/>
        <n v="237.44"/>
        <n v="379.28"/>
        <n v="409.27"/>
        <n v="426.27"/>
        <n v="227.6"/>
        <n v="419.29"/>
        <n v="374.59"/>
        <n v="596.57000000000005"/>
        <n v="274.97000000000003"/>
        <n v="279.45999999999998"/>
        <n v="346.76"/>
        <n v="401.32"/>
        <n v="451.7"/>
        <n v="319.44"/>
        <n v="397.51"/>
        <n v="186.92"/>
        <n v="552.64"/>
        <n v="391.46"/>
        <n v="286.88"/>
        <n v="241.11"/>
        <n v="258.43"/>
        <n v="531.48"/>
        <n v="297.73"/>
        <n v="378.1"/>
        <n v="643.88"/>
        <n v="204.02"/>
        <n v="440.78"/>
        <n v="321.81"/>
        <n v="374.29"/>
        <n v="194.69"/>
        <n v="560.79"/>
        <n v="586.36"/>
        <n v="387.98"/>
        <n v="795.6"/>
        <n v="215.34"/>
        <n v="242"/>
        <n v="274.01"/>
        <n v="363.38"/>
        <n v="919.95"/>
        <n v="798.48"/>
        <n v="494.48"/>
        <n v="269.92"/>
        <n v="126.88"/>
        <n v="238.51"/>
        <n v="505.75"/>
        <n v="591.01"/>
        <n v="221.32"/>
        <n v="345.11"/>
        <n v="247.78"/>
        <n v="343.05"/>
        <n v="221.54"/>
        <n v="373.45"/>
        <n v="177.89"/>
        <n v="722.96"/>
        <n v="307.8"/>
        <n v="243.45"/>
        <n v="459.82"/>
        <n v="356.22"/>
        <n v="429.8"/>
        <n v="320.77"/>
        <n v="355.13"/>
        <n v="447.05"/>
        <n v="404.73"/>
        <n v="383.67"/>
        <n v="231.82"/>
        <n v="210.06"/>
        <n v="220.57"/>
        <n v="484.31"/>
        <n v="224.55"/>
        <n v="361.52"/>
        <n v="459.59"/>
        <n v="496.96"/>
        <n v="139.04"/>
        <n v="580.62"/>
        <n v="247.26"/>
        <n v="457.41"/>
        <n v="490.21"/>
        <n v="245.11"/>
        <n v="212.87"/>
        <n v="716.35"/>
        <n v="360.14"/>
        <n v="656.84"/>
        <n v="292.14"/>
        <n v="273.54000000000002"/>
        <n v="243.57"/>
        <n v="372.98"/>
        <n v="149.63999999999999"/>
        <n v="576.38"/>
        <n v="271.10000000000002"/>
        <n v="370.01"/>
        <n v="382.78"/>
        <n v="508.74"/>
        <n v="435.05"/>
        <n v="311.11"/>
        <n v="470.78"/>
        <n v="539.83000000000004"/>
        <n v="182.72"/>
        <n v="479.78"/>
        <n v="705.37"/>
        <n v="619.99"/>
        <n v="306.73"/>
        <n v="311.91000000000003"/>
        <n v="661.47"/>
        <n v="332.86"/>
        <n v="293.69"/>
        <n v="776.89"/>
        <n v="121.04"/>
        <n v="432.5"/>
        <n v="377.84"/>
        <n v="309.29000000000002"/>
        <n v="351.35"/>
        <n v="364.91"/>
        <n v="363.94"/>
        <n v="116.18"/>
        <n v="276.31"/>
        <n v="278.02"/>
        <n v="327.22000000000003"/>
        <n v="399.58"/>
        <n v="519.02"/>
        <n v="467.2"/>
        <n v="392.24"/>
        <n v="158.53"/>
        <n v="475.72"/>
        <n v="166.22"/>
        <n v="160.5"/>
        <n v="345.14"/>
        <n v="962.37"/>
        <n v="333.44"/>
        <n v="718.96"/>
        <n v="786.1"/>
        <n v="458.09"/>
        <n v="160.9"/>
        <n v="334.66"/>
        <n v="288.33999999999997"/>
        <n v="355.09"/>
        <n v="414.39"/>
        <n v="679.47"/>
        <n v="536.34"/>
        <n v="132.11000000000001"/>
        <n v="280.86"/>
        <n v="641.08000000000004"/>
        <n v="367.23"/>
        <n v="228.66"/>
        <n v="218.82"/>
        <n v="468.29"/>
        <n v="74.319999999999993"/>
        <n v="768.75"/>
        <n v="435.9"/>
        <n v="241.88"/>
        <n v="118.71"/>
        <n v="300.69"/>
        <n v="934.12"/>
        <n v="440.63"/>
        <n v="850.69"/>
        <n v="166.09"/>
        <n v="556.14"/>
        <n v="385.75"/>
        <n v="409.95"/>
        <n v="316.76"/>
        <n v="395.09"/>
        <n v="327.58999999999997"/>
        <n v="73.89"/>
        <n v="524.44000000000005"/>
        <n v="639.05999999999995"/>
        <n v="231.92"/>
        <n v="246.19"/>
        <n v="645.33000000000004"/>
        <n v="321.19"/>
        <n v="306.89999999999998"/>
        <n v="394.9"/>
        <n v="630"/>
        <n v="393.38"/>
        <n v="129.75"/>
        <n v="341.43"/>
        <n v="319.14"/>
        <n v="471.46"/>
        <n v="106.85"/>
        <n v="303.38"/>
        <n v="228.31"/>
        <n v="285.37"/>
        <n v="790.13"/>
        <n v="292.64"/>
        <n v="809.95"/>
        <n v="357.25"/>
        <n v="259.36"/>
        <n v="647.4"/>
        <n v="405.84"/>
        <n v="82.88"/>
        <n v="586.04"/>
        <n v="351.3"/>
        <n v="395.86"/>
        <n v="195.55"/>
        <n v="216.51"/>
        <n v="428.97"/>
        <n v="656.77"/>
        <n v="433.23"/>
        <n v="267.14"/>
        <n v="308.07"/>
        <n v="243.71"/>
        <n v="130.06"/>
        <n v="528.61"/>
        <n v="209.08"/>
        <n v="341.03"/>
        <n v="760.88"/>
        <n v="462.91"/>
        <n v="416.37"/>
        <n v="163.57"/>
        <n v="367.16"/>
        <n v="300.18"/>
        <n v="218.06"/>
        <n v="468.86"/>
        <n v="343.5"/>
        <n v="509.33"/>
        <n v="287.61"/>
        <n v="329.04"/>
        <n v="600.82000000000005"/>
        <n v="191.59"/>
        <n v="168.67"/>
        <n v="438.49"/>
        <n v="537.72"/>
        <n v="144.13999999999999"/>
        <n v="484.23"/>
        <n v="476.95"/>
        <n v="370.22"/>
        <n v="266.95999999999998"/>
        <n v="217.38"/>
        <n v="536.29"/>
        <n v="432.64"/>
        <n v="161.34"/>
        <n v="488.49"/>
        <n v="218.61"/>
        <n v="425.58"/>
        <n v="404.92"/>
        <n v="275.58"/>
        <n v="644.91"/>
        <n v="486.76"/>
        <n v="237.47"/>
        <n v="200.91"/>
        <n v="208.23"/>
        <n v="222.98"/>
        <n v="313.77"/>
        <n v="305.83999999999997"/>
        <n v="592.28"/>
        <n v="549.09"/>
        <n v="79.349999999999994"/>
        <n v="285.77"/>
        <n v="487.94"/>
        <n v="385.24"/>
        <n v="242.43"/>
        <n v="717.08"/>
        <n v="635.76"/>
        <n v="553.05999999999995"/>
        <n v="631.13"/>
        <n v="79.75"/>
        <n v="717.87"/>
        <n v="235.04"/>
        <n v="201.68"/>
        <n v="273.83"/>
        <n v="727.16"/>
        <n v="105.37"/>
        <n v="271.42"/>
        <n v="464.76"/>
        <n v="234.67"/>
        <n v="725.76"/>
        <n v="699.76"/>
        <n v="212.05"/>
        <n v="403.55"/>
        <n v="770.62"/>
        <n v="465.4"/>
        <n v="104.14"/>
        <n v="315.14999999999998"/>
        <n v="184"/>
        <n v="449.47"/>
        <n v="98.56"/>
        <n v="215.77"/>
        <n v="468.28"/>
        <n v="433.22"/>
        <n v="243.5"/>
        <n v="491.77"/>
        <n v="495.82"/>
        <n v="607.54999999999995"/>
        <n v="408.5"/>
        <n v="371.75"/>
        <n v="387.09"/>
        <n v="522.53"/>
        <n v="211.62"/>
        <n v="121.59"/>
        <n v="803.6"/>
        <n v="255.97"/>
        <n v="581.21"/>
        <n v="119.23"/>
        <n v="539.26"/>
        <n v="660.04"/>
        <n v="115.9"/>
        <n v="316.57"/>
        <n v="282.23"/>
        <n v="960.41"/>
        <n v="87.94"/>
        <n v="506.84"/>
        <n v="486.26"/>
        <n v="554.29"/>
        <n v="201.52"/>
        <n v="304.20999999999998"/>
        <n v="412.3"/>
        <n v="269.61"/>
        <n v="207.84"/>
        <n v="190.36"/>
        <n v="546.51"/>
        <n v="623.79"/>
        <n v="703.17"/>
        <n v="274.18"/>
        <n v="757.64"/>
        <n v="200.79"/>
        <n v="256.48"/>
        <n v="416.54"/>
        <n v="268.38"/>
        <n v="55.18"/>
        <n v="477.63"/>
        <n v="516.42999999999995"/>
        <n v="254.82"/>
        <n v="112.34"/>
        <n v="211.54"/>
        <n v="480.16"/>
        <n v="543.72"/>
        <n v="312.88"/>
        <n v="340.44"/>
        <n v="673.27"/>
        <n v="227.96"/>
        <n v="518.57000000000005"/>
        <n v="724.76"/>
        <n v="227.7"/>
        <n v="392.64"/>
        <n v="286.07"/>
        <n v="220.66"/>
        <n v="266.33"/>
        <n v="928.79"/>
        <n v="209.33"/>
        <n v="439.04"/>
        <n v="340.91"/>
        <n v="337.78"/>
        <n v="325.26"/>
        <n v="740.91"/>
        <n v="317.56"/>
        <n v="683.97"/>
        <n v="351.67"/>
        <n v="250.84"/>
        <n v="629.08000000000004"/>
        <n v="289.52"/>
        <n v="233.58"/>
        <n v="359.58"/>
        <n v="466.16"/>
        <n v="852.09"/>
        <n v="147.24"/>
        <n v="221.13"/>
        <n v="689.53"/>
        <n v="262.45999999999998"/>
        <n v="309.05"/>
        <n v="379.68"/>
        <n v="256.82"/>
        <n v="582.1"/>
        <n v="411.81"/>
        <n v="73.72"/>
        <n v="126.02"/>
        <n v="569.54"/>
        <n v="358.59"/>
        <n v="161.65"/>
        <n v="111.54"/>
        <n v="312.22000000000003"/>
        <n v="400.2"/>
        <n v="378.74"/>
        <n v="143.13999999999999"/>
        <n v="119.17"/>
        <n v="387.02"/>
        <n v="405.15"/>
        <n v="688.54"/>
        <n v="408.61"/>
        <n v="133.86000000000001"/>
        <n v="492.5"/>
        <n v="414.31"/>
        <n v="124.49"/>
        <n v="73.22"/>
        <n v="489.05"/>
        <n v="335.41"/>
        <n v="467.16"/>
        <n v="516.4"/>
        <n v="341.06"/>
        <n v="673.87"/>
        <n v="536.35"/>
        <n v="718.34"/>
        <n v="205.53"/>
        <n v="342.32"/>
        <n v="246.72"/>
        <n v="385.87"/>
        <n v="569.6"/>
        <n v="236.57"/>
        <n v="156.32"/>
        <n v="666.51"/>
        <n v="323.48"/>
        <n v="80.069999999999993"/>
        <n v="283.94"/>
        <n v="607.70000000000005"/>
        <n v="386.03"/>
        <n v="449.49"/>
        <n v="567.87"/>
        <n v="68.36"/>
        <n v="693.78"/>
        <n v="349.9"/>
        <n v="366.92"/>
        <n v="504.61"/>
        <n v="409.41"/>
        <n v="344.84"/>
        <n v="687.42"/>
        <n v="203.79"/>
        <n v="410.78"/>
        <n v="191.88"/>
        <n v="296.75"/>
        <n v="269.88"/>
        <n v="348.97"/>
        <n v="362.62"/>
        <n v="249.92"/>
        <n v="443.67"/>
        <n v="335.32"/>
        <n v="584.44000000000005"/>
        <n v="234.02"/>
        <n v="314.66000000000003"/>
        <n v="272.51"/>
        <n v="601.1"/>
        <n v="159.76"/>
        <n v="206.12"/>
        <n v="336.33"/>
        <n v="241.42"/>
        <n v="345.02"/>
        <n v="360.26"/>
        <n v="80.55"/>
        <n v="939.94"/>
        <n v="541.36"/>
        <n v="249.57"/>
        <n v="330.48"/>
        <n v="390.78"/>
        <n v="766.53"/>
        <n v="185.29"/>
        <n v="495.68"/>
        <n v="772.76"/>
        <n v="457.77"/>
        <n v="162.97"/>
        <n v="739.01"/>
        <n v="278.20999999999998"/>
        <n v="821.41"/>
        <n v="461.19"/>
        <n v="180.06"/>
        <n v="293.39"/>
        <n v="816.25"/>
        <n v="129.76"/>
        <n v="361.18"/>
        <n v="221.85"/>
        <n v="531.20000000000005"/>
        <n v="90.67"/>
        <n v="549.52"/>
        <n v="475.89"/>
        <n v="460.16"/>
        <n v="565.92999999999995"/>
        <n v="260.29000000000002"/>
        <n v="544.84"/>
        <n v="371.78"/>
        <n v="330.3"/>
        <n v="237.3"/>
        <n v="215.73"/>
        <n v="402.26"/>
        <n v="834.56"/>
        <n v="80.09"/>
        <n v="143.66"/>
        <n v="185.67"/>
        <n v="498.59"/>
        <n v="331.68"/>
        <n v="329.8"/>
        <n v="702.95"/>
        <n v="197.59"/>
        <n v="670.9"/>
        <n v="881.01"/>
        <n v="477.18"/>
        <n v="393.49"/>
        <n v="311.64999999999998"/>
        <n v="366.51"/>
        <n v="435.62"/>
        <n v="543.26"/>
        <n v="383.72"/>
        <n v="493.69"/>
        <n v="516.37"/>
        <n v="685.21"/>
        <n v="238.59"/>
        <n v="369.05"/>
        <n v="333.85"/>
        <n v="124.25"/>
        <n v="149.68"/>
        <n v="195.07"/>
        <n v="416.96"/>
        <n v="223.14"/>
        <n v="530.38"/>
        <n v="333.61"/>
        <n v="231.4"/>
        <n v="521.64"/>
        <n v="759.29"/>
        <n v="88.61"/>
        <n v="374.65"/>
        <n v="506.19"/>
        <n v="257.19"/>
        <n v="977.73"/>
        <n v="482.65"/>
        <n v="366.61"/>
        <n v="615.98"/>
        <n v="390.31"/>
        <n v="323.11"/>
        <n v="184.16"/>
        <n v="528.64"/>
        <n v="597.27"/>
        <n v="444.2"/>
        <n v="467.6"/>
        <n v="342.25"/>
        <n v="616.91999999999996"/>
        <n v="134.76"/>
        <n v="225.7"/>
        <n v="608.73"/>
        <n v="621.9"/>
        <n v="302.89"/>
        <n v="205.68"/>
        <n v="351.63"/>
        <n v="684.2"/>
        <n v="226.24"/>
        <n v="960.9"/>
        <n v="721.87"/>
        <n v="292.33"/>
        <n v="596.4"/>
        <n v="512.04"/>
        <n v="467.08"/>
        <n v="475.12"/>
        <n v="378.64"/>
        <n v="396.03"/>
        <n v="461.8"/>
        <n v="252.09"/>
        <n v="199.69"/>
        <n v="542.87"/>
        <n v="397.22"/>
        <n v="341.75"/>
        <n v="503.33"/>
        <n v="585.13"/>
        <n v="174.27"/>
        <n v="566.9"/>
        <n v="438.9"/>
        <n v="403.56"/>
        <n v="179.25"/>
        <n v="550.83000000000004"/>
        <n v="385.47"/>
        <n v="325.06"/>
        <n v="222.84"/>
        <n v="482.01"/>
        <n v="546.69000000000005"/>
        <n v="732.92"/>
        <n v="254.22"/>
        <n v="252.59"/>
        <n v="146.78"/>
        <n v="201.51"/>
        <n v="326.56"/>
        <n v="361.96"/>
        <n v="181.46"/>
        <n v="362.91"/>
        <n v="131.06"/>
        <n v="464.99"/>
        <n v="267.5"/>
        <n v="342.16"/>
        <n v="578.30999999999995"/>
        <n v="706.68"/>
        <n v="76.099999999999994"/>
        <n v="182.77"/>
        <n v="130.79"/>
        <n v="249.12"/>
        <n v="203.55"/>
        <n v="661.81"/>
        <n v="449.59"/>
        <n v="273.27"/>
        <n v="346.13"/>
        <n v="733.26"/>
        <n v="762.14"/>
        <n v="82.12"/>
        <n v="253.15"/>
        <n v="181.74"/>
        <n v="93.79"/>
        <n v="261.38"/>
        <n v="587.75"/>
        <n v="82.93"/>
        <n v="390.67"/>
        <n v="431.29"/>
        <n v="494.59"/>
        <n v="382.51"/>
        <n v="475.24"/>
        <n v="811.67"/>
        <n v="403.35"/>
        <n v="403.24"/>
        <n v="187.47"/>
        <n v="376.18"/>
        <n v="520.04999999999995"/>
        <n v="372.12"/>
        <n v="314.98"/>
        <n v="234.32"/>
        <n v="564.14"/>
        <n v="248.05"/>
        <n v="284.88"/>
        <n v="247.09"/>
        <n v="269.69"/>
        <n v="291.72000000000003"/>
        <n v="651.16999999999996"/>
        <n v="504.79"/>
        <n v="370.78"/>
        <n v="446.25"/>
        <n v="687.38"/>
        <n v="823.01"/>
        <n v="329.65"/>
        <n v="463.77"/>
        <n v="234.91"/>
        <n v="540.79"/>
        <n v="549.4"/>
        <n v="675.24"/>
        <n v="241.41"/>
        <n v="365.55"/>
        <n v="496.63"/>
        <n v="256.31"/>
        <n v="145.97999999999999"/>
        <n v="548.65"/>
        <n v="101.61"/>
        <n v="305.3"/>
        <n v="101.09"/>
        <n v="443.43"/>
        <n v="641.55999999999995"/>
        <n v="520.13"/>
        <n v="616.82000000000005"/>
        <n v="191.56"/>
        <n v="280.14999999999998"/>
        <n v="404.39"/>
        <n v="481.16"/>
        <n v="272.25"/>
        <n v="371.44"/>
        <n v="439.62"/>
        <n v="175.56"/>
        <n v="216.61"/>
        <n v="516.88"/>
        <n v="508.03"/>
        <n v="521.25"/>
        <n v="373.55"/>
        <n v="235.34"/>
        <n v="246.25"/>
        <n v="686.6"/>
        <n v="692.85"/>
        <n v="168.57"/>
        <n v="497.63"/>
        <n v="246.59"/>
        <n v="226.74"/>
        <n v="542.39"/>
        <n v="490.7"/>
        <n v="170.88"/>
        <n v="271.04000000000002"/>
        <n v="598.86"/>
        <n v="617.23"/>
        <n v="264.94"/>
        <n v="428.41"/>
        <n v="581.91999999999996"/>
        <n v="346.06"/>
        <n v="195.92"/>
        <n v="227.27"/>
        <n v="149.11000000000001"/>
        <n v="148.25"/>
        <n v="492.18"/>
        <n v="285.64999999999998"/>
        <n v="315.70999999999998"/>
        <n v="599.59"/>
        <n v="486.51"/>
        <n v="279.81"/>
        <n v="291.73"/>
        <n v="754.49"/>
        <n v="406.68"/>
        <n v="134.88999999999999"/>
        <n v="440.45"/>
        <n v="265.2"/>
        <n v="142.56"/>
        <n v="247.89"/>
        <n v="362.82"/>
        <n v="495.73"/>
        <n v="109.19"/>
        <n v="117.61"/>
        <n v="178.34"/>
        <n v="225.55"/>
        <n v="475.17"/>
        <n v="738.66"/>
        <n v="111.6"/>
        <n v="217.63"/>
        <n v="761.96"/>
        <n v="387.04"/>
        <n v="638.25"/>
        <n v="470.16"/>
        <n v="914.2"/>
        <n v="683.22"/>
        <n v="434.53"/>
        <n v="129.19"/>
        <n v="324.25"/>
        <n v="395.36"/>
        <n v="568.79"/>
        <n v="638.23"/>
        <n v="232.78"/>
        <n v="676.89"/>
        <n v="800.62"/>
        <n v="719.02"/>
        <n v="199.6"/>
        <n v="109.69"/>
        <n v="166.87"/>
        <n v="413.29"/>
        <n v="761.23"/>
        <n v="455.89"/>
        <n v="581.15"/>
        <n v="165.56"/>
        <n v="205.14"/>
        <n v="418.87"/>
        <n v="91.21"/>
        <n v="245.79"/>
        <n v="591.29"/>
        <n v="414.41"/>
        <n v="237.4"/>
        <n v="514.54999999999995"/>
        <n v="252.75"/>
        <n v="238.07"/>
        <n v="112.5"/>
        <n v="447.87"/>
        <n v="766.94"/>
        <n v="201.22"/>
        <n v="957.7"/>
        <n v="253.21"/>
        <n v="262.32"/>
        <n v="228.6"/>
        <n v="797.76"/>
        <n v="670.91"/>
        <n v="286.14999999999998"/>
        <n v="286.45999999999998"/>
        <n v="162.18"/>
        <n v="692.31"/>
        <n v="515.42999999999995"/>
        <n v="238.76"/>
        <n v="706.54"/>
        <n v="806.61"/>
        <n v="531.25"/>
        <n v="669.6"/>
        <n v="593.16999999999996"/>
        <n v="491.36"/>
        <n v="234.5"/>
        <n v="667.36"/>
        <n v="251.07"/>
        <n v="120.07"/>
        <n v="330.99"/>
        <n v="247.39"/>
        <n v="659.04"/>
        <n v="260.77999999999997"/>
        <n v="305.81"/>
        <n v="164.39"/>
        <n v="356.03"/>
        <n v="106.76"/>
        <n v="261.74"/>
        <n v="638.98"/>
        <n v="513.21"/>
        <n v="447.47"/>
        <n v="553.79999999999995"/>
        <n v="771.63"/>
        <n v="207.22"/>
        <n v="962.55"/>
        <n v="500.15"/>
        <n v="419.54"/>
        <n v="119.08"/>
        <n v="176.27"/>
        <n v="514.58000000000004"/>
        <n v="496.05"/>
        <n v="470.12"/>
        <n v="288.64999999999998"/>
        <n v="407.12"/>
        <n v="616.73"/>
        <n v="430.08"/>
        <n v="798.16"/>
        <n v="405.76"/>
        <n v="157.37"/>
        <n v="405.89"/>
        <n v="207.53"/>
        <n v="467.68"/>
        <n v="326.10000000000002"/>
        <n v="654.79999999999995"/>
        <n v="288.75"/>
        <n v="202.76"/>
        <n v="735.65"/>
        <n v="436.79"/>
        <n v="809.38"/>
        <n v="201.5"/>
        <n v="431.63"/>
        <n v="805.78"/>
        <n v="565.85"/>
        <n v="404.41"/>
        <n v="702.21"/>
        <n v="247.31"/>
        <n v="734.56"/>
        <n v="481.68"/>
        <n v="437.48"/>
        <n v="308.17"/>
        <n v="664.19"/>
        <n v="236.43"/>
        <n v="464.4"/>
        <n v="225.6"/>
        <n v="194.7"/>
        <n v="489.15"/>
        <n v="330.78"/>
        <n v="811.29"/>
        <n v="353.06"/>
        <n v="113.47"/>
        <n v="601.46"/>
        <n v="129.63999999999999"/>
        <n v="344.8"/>
        <n v="966.34"/>
        <n v="162.13"/>
        <n v="310.31"/>
        <n v="326.77999999999997"/>
        <n v="307.77999999999997"/>
        <n v="270.38"/>
        <n v="280.55"/>
        <n v="851.72"/>
        <n v="411.21"/>
        <n v="367.8"/>
        <n v="374.51"/>
        <n v="258.54000000000002"/>
        <n v="542.75"/>
        <n v="199.22"/>
        <n v="587.16999999999996"/>
        <n v="558.29999999999995"/>
        <n v="468.24"/>
        <n v="250.89"/>
        <n v="355.18"/>
        <n v="245.72"/>
        <n v="423.6"/>
        <n v="394.1"/>
        <n v="365.3"/>
        <n v="290.02999999999997"/>
        <n v="284.01"/>
        <n v="204.84"/>
        <n v="263.82"/>
        <n v="208.78"/>
        <n v="273.31"/>
        <n v="541.07000000000005"/>
        <n v="471.03"/>
        <n v="570.91999999999996"/>
        <n v="390.94"/>
        <n v="742.53"/>
        <n v="374.05"/>
        <n v="203.84"/>
        <n v="444.87"/>
        <n v="245.5"/>
        <n v="331.76"/>
        <n v="456.79"/>
        <n v="348.49"/>
        <n v="453.87"/>
        <n v="719.68"/>
        <n v="221.11"/>
        <n v="715.83"/>
        <n v="318.95999999999998"/>
        <n v="254.75"/>
        <n v="302.60000000000002"/>
        <n v="500.6"/>
        <n v="505.29"/>
        <n v="517.17999999999995"/>
        <n v="418.16"/>
        <n v="336.89"/>
        <n v="402.9"/>
        <n v="415.51"/>
        <n v="486.07"/>
        <n v="152.33000000000001"/>
        <n v="80.02"/>
        <n v="186.36"/>
        <n v="791.37"/>
        <n v="861.85"/>
        <n v="357.89"/>
        <n v="318.38"/>
        <n v="221.66"/>
        <n v="436.53"/>
        <n v="646.92999999999995"/>
        <n v="241.9"/>
        <n v="109.5"/>
        <n v="836.19"/>
        <n v="288.66000000000003"/>
        <n v="417.73"/>
        <n v="155.71"/>
        <n v="818.34"/>
        <n v="273.95999999999998"/>
        <n v="447.81"/>
        <n v="298.14999999999998"/>
        <n v="644.79"/>
        <n v="519.91999999999996"/>
        <n v="303.12"/>
        <n v="805.15"/>
        <n v="456.27"/>
        <n v="971.28"/>
        <n v="206.36"/>
        <n v="96.15"/>
        <n v="358.75"/>
        <n v="176.64"/>
        <n v="433.4"/>
        <n v="293.72000000000003"/>
        <n v="443.36"/>
        <n v="124.88"/>
        <n v="334.06"/>
        <n v="549.77"/>
        <n v="500.96"/>
        <n v="205.04"/>
        <n v="720.88"/>
        <n v="403.27"/>
        <n v="738.79"/>
        <n v="313.22000000000003"/>
        <n v="411.84"/>
        <n v="204.49"/>
        <n v="298.13"/>
        <n v="942.75"/>
        <n v="489.02"/>
        <n v="621.21"/>
        <n v="151.19999999999999"/>
        <n v="387.31"/>
        <n v="374.46"/>
        <n v="360.06"/>
        <n v="488.93"/>
        <n v="569.78"/>
        <n v="419.5"/>
        <n v="933.02"/>
        <n v="282.58"/>
        <n v="760.35"/>
        <n v="118.6"/>
        <n v="263.16000000000003"/>
        <n v="208.87"/>
        <n v="96.45"/>
        <n v="404.68"/>
        <n v="285.42"/>
        <n v="579.83000000000004"/>
        <n v="406.26"/>
        <n v="281.58999999999997"/>
        <n v="404.76"/>
        <n v="784.38"/>
        <n v="240.58"/>
        <n v="251.57"/>
        <n v="96.87"/>
        <n v="306.45"/>
        <n v="722.14"/>
        <n v="288.44"/>
        <n v="322.27"/>
        <n v="240.24"/>
        <n v="330.52"/>
        <n v="645.20000000000005"/>
        <n v="224.26"/>
        <n v="240.05"/>
        <n v="271.60000000000002"/>
        <n v="781.73"/>
        <n v="408.16"/>
        <n v="283.85000000000002"/>
        <n v="85.39"/>
        <n v="500.23"/>
        <n v="314.89999999999998"/>
        <n v="583.94000000000005"/>
        <n v="300.64999999999998"/>
        <n v="467.98"/>
        <n v="503.14"/>
        <n v="492.91"/>
        <n v="397.86"/>
        <n v="491.19"/>
        <n v="288.22000000000003"/>
        <n v="421.09"/>
        <n v="458.47"/>
        <n v="467.52"/>
        <n v="433.39"/>
        <n v="752.71"/>
        <n v="263.83999999999997"/>
        <n v="864.33"/>
        <n v="407.46"/>
        <n v="225.58"/>
        <n v="199.9"/>
        <n v="479.64"/>
        <n v="89.17"/>
        <n v="373.63"/>
        <n v="292.81"/>
        <n v="765.59"/>
        <n v="179.02"/>
        <n v="362"/>
        <n v="154.08000000000001"/>
        <n v="293.20999999999998"/>
        <n v="267.23"/>
        <n v="489.57"/>
        <n v="729.36"/>
        <n v="267.43"/>
        <n v="263.35000000000002"/>
        <n v="460.7"/>
        <n v="113.24"/>
        <n v="977.35"/>
        <n v="398.6"/>
        <n v="472.21"/>
        <n v="298.95999999999998"/>
        <n v="305.14999999999998"/>
        <n v="243.06"/>
        <n v="491.07"/>
        <n v="323.73"/>
        <n v="521.42999999999995"/>
        <n v="244.24"/>
        <n v="363.08"/>
        <n v="447.86"/>
        <n v="696.51"/>
        <n v="392.15"/>
        <n v="433.07"/>
        <n v="226.84"/>
        <n v="536.73"/>
        <n v="455.26"/>
        <n v="446.1"/>
        <n v="85.94"/>
        <n v="455.67"/>
        <n v="771.59"/>
        <n v="579.15"/>
        <n v="312.69"/>
        <n v="376.65"/>
        <n v="178.73"/>
        <n v="381.38"/>
        <n v="226.96"/>
        <n v="211.11"/>
        <n v="405.73"/>
        <n v="197.32"/>
        <n v="439.06"/>
        <n v="451.03"/>
        <n v="431.85"/>
        <n v="626.29999999999995"/>
        <n v="309.17"/>
        <n v="312.44"/>
        <n v="491.22"/>
        <n v="511.29"/>
        <n v="490.69"/>
        <n v="545.91"/>
        <n v="454.81"/>
        <n v="332.99"/>
        <n v="307.35000000000002"/>
        <n v="526.37"/>
        <n v="898.51"/>
        <n v="376.69"/>
        <n v="323.77999999999997"/>
        <n v="237.74"/>
        <n v="779.12"/>
        <n v="562.05999999999995"/>
        <n v="231.73"/>
        <n v="476.51"/>
        <n v="370.57"/>
        <n v="198.34"/>
        <n v="531.24"/>
        <n v="430.97"/>
        <n v="156.52000000000001"/>
        <n v="493.14"/>
        <n v="697.25"/>
        <n v="318.58"/>
        <n v="467.48"/>
        <n v="107.29"/>
        <n v="203.21"/>
        <n v="359.99"/>
        <n v="187.06"/>
        <n v="224.61"/>
        <n v="334.26"/>
        <n v="429.37"/>
        <n v="307.5"/>
        <n v="197.99"/>
        <n v="235.14"/>
        <n v="218.96"/>
        <n v="140.77000000000001"/>
        <n v="214.6"/>
        <n v="539.25"/>
        <n v="377.3"/>
        <n v="303.05"/>
        <n v="175.4"/>
        <n v="537.04999999999995"/>
        <n v="412.96"/>
        <n v="199.4"/>
        <n v="917.5"/>
        <n v="528.5"/>
        <n v="130.12"/>
        <n v="287.77999999999997"/>
        <n v="330.56"/>
        <n v="620.75"/>
        <n v="135.08000000000001"/>
        <n v="291.95999999999998"/>
        <n v="882.32"/>
        <n v="287.93"/>
        <n v="398.05"/>
        <n v="644.1"/>
        <n v="582.28"/>
        <n v="156.47999999999999"/>
        <n v="282.45"/>
        <n v="724.99"/>
        <n v="198.06"/>
      </sharedItems>
    </cacheField>
    <cacheField name="Battery_Life_Hours" numFmtId="0">
      <sharedItems containsSemiMixedTypes="0" containsString="0" containsNumber="1" minValue="18" maxValue="2118.1"/>
    </cacheField>
    <cacheField name="Heart_Rate_Accuracy_Percent" numFmtId="0">
      <sharedItems containsSemiMixedTypes="0" containsString="0" containsNumber="1" minValue="85.01" maxValue="98"/>
    </cacheField>
    <cacheField name="Step_Count_Accuracy_Percent" numFmtId="0">
      <sharedItems containsSemiMixedTypes="0" containsString="0" containsNumber="1" minValue="93" maxValue="99.5"/>
    </cacheField>
    <cacheField name="Sleep_Tracking_Accuracy_Percent" numFmtId="0">
      <sharedItems containsSemiMixedTypes="0" containsString="0" containsNumber="1" minValue="70" maxValue="91.97"/>
    </cacheField>
    <cacheField name="Water_Resistance_Rating" numFmtId="0">
      <sharedItems/>
    </cacheField>
    <cacheField name="User_Satisfaction_Rating" numFmtId="0">
      <sharedItems containsSemiMixedTypes="0" containsString="0" containsNumber="1" minValue="6" maxValue="9.5"/>
    </cacheField>
    <cacheField name="GPS_Accuracy_Meters" numFmtId="0">
      <sharedItems containsString="0" containsBlank="1" containsNumber="1" minValue="1.5" maxValue="5"/>
    </cacheField>
    <cacheField name="Connectivity_Features" numFmtId="0">
      <sharedItems count="4">
        <s v="Bluetooth, WiFi"/>
        <s v="WiFi, Bluetooth, NFC"/>
        <s v="Bluetooth"/>
        <s v="WiFi, Bluetooth, NFC, LTE"/>
      </sharedItems>
    </cacheField>
    <cacheField name="Health_Sensors_Count" numFmtId="0">
      <sharedItems containsSemiMixedTypes="0" containsString="0" containsNumber="1" containsInteger="1" minValue="2" maxValue="15" count="14">
        <n v="5"/>
        <n v="8"/>
        <n v="7"/>
        <n v="12"/>
        <n v="14"/>
        <n v="11"/>
        <n v="9"/>
        <n v="15"/>
        <n v="3"/>
        <n v="13"/>
        <n v="10"/>
        <n v="4"/>
        <n v="6"/>
        <n v="2"/>
      </sharedItems>
    </cacheField>
    <cacheField name="App_Ecosystem_Support" numFmtId="0">
      <sharedItems count="3">
        <s v="Cross-platform"/>
        <s v="iOS"/>
        <s v="Android/iOS"/>
      </sharedItems>
    </cacheField>
    <cacheField name="Performance_Score" numFmtId="0">
      <sharedItems containsSemiMixedTypes="0" containsString="0" containsNumber="1" minValue="55.1" maxValue="78.3"/>
    </cacheField>
  </cacheFields>
  <extLst>
    <ext xmlns:x14="http://schemas.microsoft.com/office/spreadsheetml/2009/9/main" uri="{725AE2AE-9491-48be-B2B4-4EB974FC3084}">
      <x14:pivotCacheDefinition pivotCacheId="11394255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75">
  <r>
    <x v="0"/>
    <x v="0"/>
    <x v="0"/>
    <x v="0"/>
    <x v="0"/>
    <x v="0"/>
    <n v="129.9"/>
    <n v="89.69"/>
    <n v="93.03"/>
    <n v="78.91"/>
    <s v="3ATM"/>
    <n v="6.5"/>
    <m/>
    <x v="0"/>
    <x v="0"/>
    <x v="0"/>
    <n v="68.400000000000006"/>
  </r>
  <r>
    <x v="0"/>
    <x v="1"/>
    <x v="1"/>
    <x v="1"/>
    <x v="1"/>
    <x v="1"/>
    <n v="26.5"/>
    <n v="95.92"/>
    <n v="98.2"/>
    <n v="79.760000000000005"/>
    <s v="IP68"/>
    <n v="8.3000000000000007"/>
    <n v="4.9000000000000004"/>
    <x v="1"/>
    <x v="1"/>
    <x v="1"/>
    <n v="60.1"/>
  </r>
  <r>
    <x v="0"/>
    <x v="2"/>
    <x v="0"/>
    <x v="2"/>
    <x v="2"/>
    <x v="2"/>
    <n v="161.19999999999999"/>
    <n v="92.24"/>
    <n v="96.81"/>
    <n v="74.489999999999995"/>
    <s v="IPX8"/>
    <n v="6"/>
    <n v="1.7"/>
    <x v="2"/>
    <x v="2"/>
    <x v="0"/>
    <n v="59.3"/>
  </r>
  <r>
    <x v="0"/>
    <x v="3"/>
    <x v="2"/>
    <x v="3"/>
    <x v="1"/>
    <x v="3"/>
    <n v="69.400000000000006"/>
    <n v="96.77"/>
    <n v="95.56"/>
    <n v="78.06"/>
    <s v="IP68"/>
    <n v="8"/>
    <n v="3.2"/>
    <x v="3"/>
    <x v="3"/>
    <x v="0"/>
    <n v="61"/>
  </r>
  <r>
    <x v="0"/>
    <x v="4"/>
    <x v="3"/>
    <x v="4"/>
    <x v="1"/>
    <x v="4"/>
    <n v="39.700000000000003"/>
    <n v="92.27"/>
    <n v="98.15"/>
    <n v="75.23"/>
    <s v="IPX8"/>
    <n v="8.3000000000000007"/>
    <n v="1.6"/>
    <x v="3"/>
    <x v="4"/>
    <x v="2"/>
    <n v="61.2"/>
  </r>
  <r>
    <x v="0"/>
    <x v="5"/>
    <x v="4"/>
    <x v="5"/>
    <x v="1"/>
    <x v="5"/>
    <n v="287.39999999999998"/>
    <n v="92.85"/>
    <n v="99.34"/>
    <n v="77.58"/>
    <s v="5ATM"/>
    <n v="8.1"/>
    <n v="2.2999999999999998"/>
    <x v="3"/>
    <x v="5"/>
    <x v="0"/>
    <n v="63.6"/>
  </r>
  <r>
    <x v="0"/>
    <x v="6"/>
    <x v="5"/>
    <x v="6"/>
    <x v="2"/>
    <x v="6"/>
    <n v="219.2"/>
    <n v="96.41"/>
    <n v="94.22"/>
    <n v="79.069999999999993"/>
    <s v="5ATM"/>
    <n v="7.2"/>
    <n v="3.4"/>
    <x v="2"/>
    <x v="6"/>
    <x v="0"/>
    <n v="61.3"/>
  </r>
  <r>
    <x v="0"/>
    <x v="7"/>
    <x v="4"/>
    <x v="7"/>
    <x v="1"/>
    <x v="7"/>
    <n v="589.9"/>
    <n v="93.65"/>
    <n v="99.27"/>
    <n v="75.23"/>
    <s v="5ATM"/>
    <n v="9"/>
    <n v="4.5999999999999996"/>
    <x v="1"/>
    <x v="4"/>
    <x v="0"/>
    <n v="63.3"/>
  </r>
  <r>
    <x v="0"/>
    <x v="8"/>
    <x v="3"/>
    <x v="8"/>
    <x v="1"/>
    <x v="8"/>
    <n v="36.4"/>
    <n v="92.33"/>
    <n v="96.83"/>
    <n v="82.94"/>
    <s v="5ATM"/>
    <n v="8.1999999999999993"/>
    <n v="3.7"/>
    <x v="3"/>
    <x v="7"/>
    <x v="2"/>
    <n v="60.6"/>
  </r>
  <r>
    <x v="0"/>
    <x v="9"/>
    <x v="6"/>
    <x v="9"/>
    <x v="3"/>
    <x v="9"/>
    <n v="120.7"/>
    <n v="91.48"/>
    <n v="94.79"/>
    <n v="73.709999999999994"/>
    <s v="IPX4"/>
    <n v="6.1"/>
    <m/>
    <x v="2"/>
    <x v="8"/>
    <x v="2"/>
    <n v="67.099999999999994"/>
  </r>
  <r>
    <x v="0"/>
    <x v="10"/>
    <x v="7"/>
    <x v="10"/>
    <x v="4"/>
    <x v="10"/>
    <n v="178.3"/>
    <n v="89.34"/>
    <n v="93.41"/>
    <n v="89.56"/>
    <s v="IPX7"/>
    <n v="8.6999999999999993"/>
    <m/>
    <x v="2"/>
    <x v="0"/>
    <x v="2"/>
    <n v="75.900000000000006"/>
  </r>
  <r>
    <x v="0"/>
    <x v="2"/>
    <x v="0"/>
    <x v="2"/>
    <x v="1"/>
    <x v="11"/>
    <n v="52.5"/>
    <n v="93.18"/>
    <n v="94.83"/>
    <n v="83.07"/>
    <s v="IP68"/>
    <n v="7.2"/>
    <n v="3"/>
    <x v="3"/>
    <x v="1"/>
    <x v="0"/>
    <n v="59.6"/>
  </r>
  <r>
    <x v="0"/>
    <x v="11"/>
    <x v="1"/>
    <x v="11"/>
    <x v="1"/>
    <x v="12"/>
    <n v="26.1"/>
    <n v="92.68"/>
    <n v="96.44"/>
    <n v="81.790000000000006"/>
    <s v="IP68"/>
    <n v="9.1999999999999993"/>
    <n v="3.6"/>
    <x v="3"/>
    <x v="5"/>
    <x v="1"/>
    <n v="61.9"/>
  </r>
  <r>
    <x v="0"/>
    <x v="12"/>
    <x v="8"/>
    <x v="12"/>
    <x v="1"/>
    <x v="13"/>
    <n v="27.2"/>
    <n v="93.9"/>
    <n v="94.6"/>
    <n v="82.61"/>
    <s v="5ATM"/>
    <n v="8.4"/>
    <n v="4.2"/>
    <x v="1"/>
    <x v="5"/>
    <x v="0"/>
    <n v="60.3"/>
  </r>
  <r>
    <x v="0"/>
    <x v="13"/>
    <x v="0"/>
    <x v="13"/>
    <x v="0"/>
    <x v="14"/>
    <n v="150.5"/>
    <n v="89.15"/>
    <n v="93.79"/>
    <n v="74.239999999999995"/>
    <s v="3ATM"/>
    <n v="6.5"/>
    <m/>
    <x v="2"/>
    <x v="1"/>
    <x v="0"/>
    <n v="68"/>
  </r>
  <r>
    <x v="0"/>
    <x v="14"/>
    <x v="9"/>
    <x v="14"/>
    <x v="2"/>
    <x v="15"/>
    <n v="185.8"/>
    <n v="95.77"/>
    <n v="94.36"/>
    <n v="78.72"/>
    <s v="5ATM"/>
    <n v="6.4"/>
    <n v="2.6"/>
    <x v="2"/>
    <x v="6"/>
    <x v="0"/>
    <n v="60.4"/>
  </r>
  <r>
    <x v="0"/>
    <x v="11"/>
    <x v="1"/>
    <x v="11"/>
    <x v="1"/>
    <x v="16"/>
    <n v="25.7"/>
    <n v="94.87"/>
    <n v="97.52"/>
    <n v="82.51"/>
    <s v="IPX8"/>
    <n v="8.4"/>
    <n v="4.0999999999999996"/>
    <x v="1"/>
    <x v="9"/>
    <x v="1"/>
    <n v="60.9"/>
  </r>
  <r>
    <x v="0"/>
    <x v="5"/>
    <x v="4"/>
    <x v="5"/>
    <x v="1"/>
    <x v="17"/>
    <n v="459.6"/>
    <n v="93.1"/>
    <n v="98.61"/>
    <n v="81.56"/>
    <s v="5ATM"/>
    <n v="7.5"/>
    <n v="3.8"/>
    <x v="3"/>
    <x v="4"/>
    <x v="0"/>
    <n v="62.2"/>
  </r>
  <r>
    <x v="0"/>
    <x v="15"/>
    <x v="8"/>
    <x v="15"/>
    <x v="1"/>
    <x v="18"/>
    <n v="71.7"/>
    <n v="93.48"/>
    <n v="96.28"/>
    <n v="76.98"/>
    <s v="IP68"/>
    <n v="9.1999999999999993"/>
    <n v="1.9"/>
    <x v="3"/>
    <x v="10"/>
    <x v="2"/>
    <n v="63.3"/>
  </r>
  <r>
    <x v="0"/>
    <x v="6"/>
    <x v="5"/>
    <x v="6"/>
    <x v="2"/>
    <x v="19"/>
    <n v="82"/>
    <n v="93.27"/>
    <n v="95.67"/>
    <n v="71.92"/>
    <s v="IP68"/>
    <n v="7.4"/>
    <n v="2"/>
    <x v="0"/>
    <x v="1"/>
    <x v="0"/>
    <n v="59.4"/>
  </r>
  <r>
    <x v="0"/>
    <x v="2"/>
    <x v="0"/>
    <x v="2"/>
    <x v="2"/>
    <x v="20"/>
    <n v="177.8"/>
    <n v="97.15"/>
    <n v="94.58"/>
    <n v="74.459999999999994"/>
    <s v="IP68"/>
    <n v="7.5"/>
    <n v="2.8"/>
    <x v="0"/>
    <x v="0"/>
    <x v="0"/>
    <n v="61.7"/>
  </r>
  <r>
    <x v="0"/>
    <x v="16"/>
    <x v="4"/>
    <x v="16"/>
    <x v="1"/>
    <x v="21"/>
    <n v="368.4"/>
    <n v="95.26"/>
    <n v="98.03"/>
    <n v="75.45"/>
    <s v="IP68"/>
    <n v="8.4"/>
    <n v="3.3"/>
    <x v="3"/>
    <x v="10"/>
    <x v="0"/>
    <n v="63.3"/>
  </r>
  <r>
    <x v="0"/>
    <x v="9"/>
    <x v="6"/>
    <x v="9"/>
    <x v="3"/>
    <x v="9"/>
    <n v="145.9"/>
    <n v="88.45"/>
    <n v="95.14"/>
    <n v="72.3"/>
    <s v="IPX4"/>
    <n v="7.2"/>
    <m/>
    <x v="2"/>
    <x v="0"/>
    <x v="2"/>
    <n v="69.099999999999994"/>
  </r>
  <r>
    <x v="0"/>
    <x v="17"/>
    <x v="3"/>
    <x v="17"/>
    <x v="1"/>
    <x v="22"/>
    <n v="29"/>
    <n v="97.1"/>
    <n v="96.91"/>
    <n v="79.739999999999995"/>
    <s v="5ATM"/>
    <n v="8.4"/>
    <n v="1.7"/>
    <x v="1"/>
    <x v="10"/>
    <x v="2"/>
    <n v="62.4"/>
  </r>
  <r>
    <x v="0"/>
    <x v="10"/>
    <x v="7"/>
    <x v="10"/>
    <x v="4"/>
    <x v="23"/>
    <n v="189.4"/>
    <n v="87.3"/>
    <n v="96.78"/>
    <n v="91.48"/>
    <s v="IPX8"/>
    <n v="8.6"/>
    <m/>
    <x v="2"/>
    <x v="8"/>
    <x v="2"/>
    <n v="76.3"/>
  </r>
  <r>
    <x v="0"/>
    <x v="18"/>
    <x v="4"/>
    <x v="18"/>
    <x v="1"/>
    <x v="24"/>
    <n v="644.70000000000005"/>
    <n v="94.51"/>
    <n v="99.21"/>
    <n v="76.790000000000006"/>
    <s v="5ATM"/>
    <n v="8.3000000000000007"/>
    <n v="2"/>
    <x v="1"/>
    <x v="10"/>
    <x v="0"/>
    <n v="64.3"/>
  </r>
  <r>
    <x v="0"/>
    <x v="9"/>
    <x v="6"/>
    <x v="9"/>
    <x v="3"/>
    <x v="9"/>
    <n v="167.4"/>
    <n v="88.86"/>
    <n v="95.57"/>
    <n v="71.45"/>
    <s v="IPX7"/>
    <n v="7.4"/>
    <m/>
    <x v="2"/>
    <x v="11"/>
    <x v="2"/>
    <n v="70"/>
  </r>
  <r>
    <x v="0"/>
    <x v="4"/>
    <x v="3"/>
    <x v="4"/>
    <x v="1"/>
    <x v="25"/>
    <n v="36.299999999999997"/>
    <n v="94.19"/>
    <n v="96.6"/>
    <n v="83.18"/>
    <s v="5ATM"/>
    <n v="9.1999999999999993"/>
    <n v="1.6"/>
    <x v="1"/>
    <x v="7"/>
    <x v="2"/>
    <n v="64"/>
  </r>
  <r>
    <x v="0"/>
    <x v="19"/>
    <x v="9"/>
    <x v="19"/>
    <x v="0"/>
    <x v="26"/>
    <n v="114.5"/>
    <n v="88.96"/>
    <n v="96.7"/>
    <n v="76.45"/>
    <s v="IPX7"/>
    <n v="7.5"/>
    <m/>
    <x v="0"/>
    <x v="12"/>
    <x v="2"/>
    <n v="70.099999999999994"/>
  </r>
  <r>
    <x v="0"/>
    <x v="5"/>
    <x v="4"/>
    <x v="5"/>
    <x v="2"/>
    <x v="27"/>
    <n v="512.5"/>
    <n v="96.54"/>
    <n v="98.26"/>
    <n v="78.56"/>
    <s v="IPX8"/>
    <n v="9.1999999999999993"/>
    <n v="3.3"/>
    <x v="2"/>
    <x v="10"/>
    <x v="0"/>
    <n v="65.400000000000006"/>
  </r>
  <r>
    <x v="0"/>
    <x v="2"/>
    <x v="0"/>
    <x v="2"/>
    <x v="2"/>
    <x v="28"/>
    <n v="223.1"/>
    <n v="92.67"/>
    <n v="94.77"/>
    <n v="75.42"/>
    <s v="IPX8"/>
    <n v="7"/>
    <n v="1.5"/>
    <x v="2"/>
    <x v="1"/>
    <x v="0"/>
    <n v="61.1"/>
  </r>
  <r>
    <x v="0"/>
    <x v="14"/>
    <x v="9"/>
    <x v="14"/>
    <x v="2"/>
    <x v="29"/>
    <n v="190.6"/>
    <n v="92.14"/>
    <n v="96.69"/>
    <n v="75.58"/>
    <s v="IP68"/>
    <n v="7.7"/>
    <n v="3.1"/>
    <x v="0"/>
    <x v="1"/>
    <x v="2"/>
    <n v="61.5"/>
  </r>
  <r>
    <x v="0"/>
    <x v="9"/>
    <x v="6"/>
    <x v="9"/>
    <x v="3"/>
    <x v="9"/>
    <n v="138.4"/>
    <n v="88.4"/>
    <n v="95.44"/>
    <n v="70.37"/>
    <s v="IPX7"/>
    <n v="6.8"/>
    <m/>
    <x v="2"/>
    <x v="0"/>
    <x v="2"/>
    <n v="67.7"/>
  </r>
  <r>
    <x v="0"/>
    <x v="5"/>
    <x v="4"/>
    <x v="5"/>
    <x v="1"/>
    <x v="30"/>
    <n v="537.9"/>
    <n v="97.43"/>
    <n v="98.67"/>
    <n v="84.31"/>
    <s v="5ATM"/>
    <n v="9.1999999999999993"/>
    <n v="2.9"/>
    <x v="3"/>
    <x v="9"/>
    <x v="0"/>
    <n v="66.8"/>
  </r>
  <r>
    <x v="0"/>
    <x v="20"/>
    <x v="0"/>
    <x v="20"/>
    <x v="2"/>
    <x v="31"/>
    <n v="134.4"/>
    <n v="97.36"/>
    <n v="93.33"/>
    <n v="73.180000000000007"/>
    <s v="IPX8"/>
    <n v="7.6"/>
    <n v="4.7"/>
    <x v="2"/>
    <x v="6"/>
    <x v="0"/>
    <n v="59.5"/>
  </r>
  <r>
    <x v="0"/>
    <x v="3"/>
    <x v="2"/>
    <x v="3"/>
    <x v="1"/>
    <x v="32"/>
    <n v="46.3"/>
    <n v="95.41"/>
    <n v="93.69"/>
    <n v="83.75"/>
    <s v="5ATM"/>
    <n v="9.3000000000000007"/>
    <n v="2.4"/>
    <x v="1"/>
    <x v="9"/>
    <x v="0"/>
    <n v="63.6"/>
  </r>
  <r>
    <x v="0"/>
    <x v="0"/>
    <x v="0"/>
    <x v="0"/>
    <x v="0"/>
    <x v="33"/>
    <n v="229.7"/>
    <n v="94.79"/>
    <n v="95.9"/>
    <n v="70.7"/>
    <s v="IPX4"/>
    <n v="7.2"/>
    <m/>
    <x v="2"/>
    <x v="6"/>
    <x v="0"/>
    <n v="70.7"/>
  </r>
  <r>
    <x v="0"/>
    <x v="0"/>
    <x v="0"/>
    <x v="0"/>
    <x v="0"/>
    <x v="34"/>
    <n v="200.9"/>
    <n v="92.2"/>
    <n v="95.87"/>
    <n v="73.63"/>
    <s v="IPX7"/>
    <n v="6.2"/>
    <m/>
    <x v="0"/>
    <x v="12"/>
    <x v="0"/>
    <n v="68.7"/>
  </r>
  <r>
    <x v="0"/>
    <x v="8"/>
    <x v="3"/>
    <x v="8"/>
    <x v="1"/>
    <x v="35"/>
    <n v="57.8"/>
    <n v="92.41"/>
    <n v="96.87"/>
    <n v="82.39"/>
    <s v="IP68"/>
    <n v="8.4"/>
    <n v="3"/>
    <x v="1"/>
    <x v="7"/>
    <x v="2"/>
    <n v="61.8"/>
  </r>
  <r>
    <x v="0"/>
    <x v="21"/>
    <x v="1"/>
    <x v="21"/>
    <x v="1"/>
    <x v="36"/>
    <n v="48"/>
    <n v="92.84"/>
    <n v="97.91"/>
    <n v="80.31"/>
    <s v="IPX8"/>
    <n v="9"/>
    <n v="2.8"/>
    <x v="3"/>
    <x v="1"/>
    <x v="1"/>
    <n v="62.6"/>
  </r>
  <r>
    <x v="0"/>
    <x v="7"/>
    <x v="4"/>
    <x v="7"/>
    <x v="2"/>
    <x v="37"/>
    <n v="610.6"/>
    <n v="96.4"/>
    <n v="98.44"/>
    <n v="74.650000000000006"/>
    <s v="10ATM"/>
    <n v="7.6"/>
    <n v="3.3"/>
    <x v="2"/>
    <x v="6"/>
    <x v="0"/>
    <n v="62"/>
  </r>
  <r>
    <x v="0"/>
    <x v="18"/>
    <x v="4"/>
    <x v="18"/>
    <x v="1"/>
    <x v="38"/>
    <n v="282.89999999999998"/>
    <n v="96.84"/>
    <n v="98.15"/>
    <n v="78.680000000000007"/>
    <s v="IPX8"/>
    <n v="7.2"/>
    <n v="4.2"/>
    <x v="3"/>
    <x v="10"/>
    <x v="0"/>
    <n v="61.5"/>
  </r>
  <r>
    <x v="0"/>
    <x v="22"/>
    <x v="8"/>
    <x v="22"/>
    <x v="1"/>
    <x v="39"/>
    <n v="28.5"/>
    <n v="97.58"/>
    <n v="95.3"/>
    <n v="77.61"/>
    <s v="IPX8"/>
    <n v="8.8000000000000007"/>
    <n v="3.5"/>
    <x v="3"/>
    <x v="9"/>
    <x v="2"/>
    <n v="61.3"/>
  </r>
  <r>
    <x v="0"/>
    <x v="15"/>
    <x v="8"/>
    <x v="15"/>
    <x v="1"/>
    <x v="40"/>
    <n v="40.200000000000003"/>
    <n v="93.43"/>
    <n v="95.97"/>
    <n v="81.55"/>
    <s v="IP68"/>
    <n v="8.5"/>
    <n v="1.5"/>
    <x v="1"/>
    <x v="6"/>
    <x v="0"/>
    <n v="62.5"/>
  </r>
  <r>
    <x v="0"/>
    <x v="23"/>
    <x v="8"/>
    <x v="23"/>
    <x v="1"/>
    <x v="41"/>
    <n v="68.7"/>
    <n v="96.49"/>
    <n v="95.08"/>
    <n v="79.5"/>
    <s v="5ATM"/>
    <n v="8.3000000000000007"/>
    <n v="1.6"/>
    <x v="3"/>
    <x v="3"/>
    <x v="2"/>
    <n v="62.6"/>
  </r>
  <r>
    <x v="0"/>
    <x v="7"/>
    <x v="4"/>
    <x v="7"/>
    <x v="2"/>
    <x v="42"/>
    <n v="700.4"/>
    <n v="97.96"/>
    <n v="98.36"/>
    <n v="79.73"/>
    <s v="10ATM"/>
    <n v="8.9"/>
    <n v="2.9"/>
    <x v="2"/>
    <x v="6"/>
    <x v="0"/>
    <n v="65.599999999999994"/>
  </r>
  <r>
    <x v="0"/>
    <x v="2"/>
    <x v="0"/>
    <x v="2"/>
    <x v="1"/>
    <x v="43"/>
    <n v="55.4"/>
    <n v="95.06"/>
    <n v="94.67"/>
    <n v="76.38"/>
    <s v="IPX8"/>
    <n v="6.8"/>
    <n v="3.2"/>
    <x v="3"/>
    <x v="10"/>
    <x v="0"/>
    <n v="58"/>
  </r>
  <r>
    <x v="0"/>
    <x v="24"/>
    <x v="2"/>
    <x v="24"/>
    <x v="2"/>
    <x v="44"/>
    <n v="139.1"/>
    <n v="93.12"/>
    <n v="93.48"/>
    <n v="75.94"/>
    <s v="IPX8"/>
    <n v="7"/>
    <n v="5"/>
    <x v="0"/>
    <x v="10"/>
    <x v="0"/>
    <n v="58.2"/>
  </r>
  <r>
    <x v="0"/>
    <x v="4"/>
    <x v="3"/>
    <x v="4"/>
    <x v="1"/>
    <x v="45"/>
    <n v="69.900000000000006"/>
    <n v="95.67"/>
    <n v="97.56"/>
    <n v="77.27"/>
    <s v="5ATM"/>
    <n v="7.9"/>
    <n v="3"/>
    <x v="1"/>
    <x v="9"/>
    <x v="2"/>
    <n v="61"/>
  </r>
  <r>
    <x v="0"/>
    <x v="2"/>
    <x v="0"/>
    <x v="2"/>
    <x v="2"/>
    <x v="46"/>
    <n v="139.19999999999999"/>
    <n v="95.09"/>
    <n v="95.84"/>
    <n v="74.510000000000005"/>
    <s v="5ATM"/>
    <n v="7.6"/>
    <n v="4.2"/>
    <x v="2"/>
    <x v="0"/>
    <x v="0"/>
    <n v="60.2"/>
  </r>
  <r>
    <x v="0"/>
    <x v="22"/>
    <x v="8"/>
    <x v="22"/>
    <x v="1"/>
    <x v="47"/>
    <n v="56.8"/>
    <n v="95.55"/>
    <n v="95.75"/>
    <n v="81.650000000000006"/>
    <s v="5ATM"/>
    <n v="7.3"/>
    <n v="2.2999999999999998"/>
    <x v="1"/>
    <x v="1"/>
    <x v="2"/>
    <n v="60.6"/>
  </r>
  <r>
    <x v="0"/>
    <x v="8"/>
    <x v="3"/>
    <x v="8"/>
    <x v="1"/>
    <x v="48"/>
    <n v="21.8"/>
    <n v="93.81"/>
    <n v="97.15"/>
    <n v="80.91"/>
    <s v="5ATM"/>
    <n v="8.9"/>
    <n v="3.4"/>
    <x v="3"/>
    <x v="4"/>
    <x v="2"/>
    <n v="61.6"/>
  </r>
  <r>
    <x v="0"/>
    <x v="3"/>
    <x v="2"/>
    <x v="3"/>
    <x v="2"/>
    <x v="49"/>
    <n v="159.9"/>
    <n v="95.66"/>
    <n v="93.98"/>
    <n v="76.31"/>
    <s v="IP68"/>
    <n v="8.4"/>
    <n v="1.8"/>
    <x v="2"/>
    <x v="6"/>
    <x v="0"/>
    <n v="63.6"/>
  </r>
  <r>
    <x v="0"/>
    <x v="25"/>
    <x v="5"/>
    <x v="25"/>
    <x v="2"/>
    <x v="50"/>
    <n v="155.6"/>
    <n v="95.92"/>
    <n v="93"/>
    <n v="70.38"/>
    <s v="IPX8"/>
    <n v="7.4"/>
    <n v="4"/>
    <x v="0"/>
    <x v="6"/>
    <x v="2"/>
    <n v="59.3"/>
  </r>
  <r>
    <x v="0"/>
    <x v="3"/>
    <x v="2"/>
    <x v="3"/>
    <x v="2"/>
    <x v="51"/>
    <n v="213.8"/>
    <n v="96.69"/>
    <n v="96.14"/>
    <n v="75.400000000000006"/>
    <s v="5ATM"/>
    <n v="7.6"/>
    <n v="3.9"/>
    <x v="0"/>
    <x v="0"/>
    <x v="0"/>
    <n v="61.4"/>
  </r>
  <r>
    <x v="0"/>
    <x v="10"/>
    <x v="7"/>
    <x v="10"/>
    <x v="4"/>
    <x v="52"/>
    <n v="177.7"/>
    <n v="90.95"/>
    <n v="94.15"/>
    <n v="89.27"/>
    <s v="IPX7"/>
    <n v="8.5"/>
    <m/>
    <x v="2"/>
    <x v="0"/>
    <x v="0"/>
    <n v="75.900000000000006"/>
  </r>
  <r>
    <x v="0"/>
    <x v="10"/>
    <x v="7"/>
    <x v="10"/>
    <x v="4"/>
    <x v="53"/>
    <n v="190.7"/>
    <n v="90.66"/>
    <n v="96.76"/>
    <n v="85.46"/>
    <s v="IPX8"/>
    <n v="8.1"/>
    <m/>
    <x v="2"/>
    <x v="12"/>
    <x v="2"/>
    <n v="74.8"/>
  </r>
  <r>
    <x v="0"/>
    <x v="14"/>
    <x v="9"/>
    <x v="14"/>
    <x v="2"/>
    <x v="54"/>
    <n v="235.9"/>
    <n v="95.2"/>
    <n v="93.49"/>
    <n v="70.25"/>
    <s v="IPX8"/>
    <n v="7.5"/>
    <n v="4.8"/>
    <x v="0"/>
    <x v="12"/>
    <x v="2"/>
    <n v="59.1"/>
  </r>
  <r>
    <x v="0"/>
    <x v="10"/>
    <x v="7"/>
    <x v="10"/>
    <x v="4"/>
    <x v="55"/>
    <n v="188.1"/>
    <n v="86.2"/>
    <n v="93.44"/>
    <n v="91.22"/>
    <s v="IPX7"/>
    <n v="8.1"/>
    <m/>
    <x v="2"/>
    <x v="12"/>
    <x v="2"/>
    <n v="74.400000000000006"/>
  </r>
  <r>
    <x v="0"/>
    <x v="18"/>
    <x v="4"/>
    <x v="18"/>
    <x v="1"/>
    <x v="56"/>
    <n v="712.4"/>
    <n v="96.57"/>
    <n v="98.45"/>
    <n v="79.59"/>
    <s v="IP68"/>
    <n v="9.5"/>
    <n v="4.2"/>
    <x v="3"/>
    <x v="9"/>
    <x v="0"/>
    <n v="65.5"/>
  </r>
  <r>
    <x v="0"/>
    <x v="13"/>
    <x v="0"/>
    <x v="13"/>
    <x v="0"/>
    <x v="57"/>
    <n v="132.19999999999999"/>
    <n v="88.94"/>
    <n v="96.59"/>
    <n v="74.849999999999994"/>
    <s v="IPX7"/>
    <n v="7.8"/>
    <m/>
    <x v="2"/>
    <x v="1"/>
    <x v="0"/>
    <n v="70.8"/>
  </r>
  <r>
    <x v="0"/>
    <x v="10"/>
    <x v="7"/>
    <x v="10"/>
    <x v="4"/>
    <x v="58"/>
    <n v="185.6"/>
    <n v="91.72"/>
    <n v="96.17"/>
    <n v="88.6"/>
    <s v="IPX7"/>
    <n v="9.5"/>
    <m/>
    <x v="2"/>
    <x v="11"/>
    <x v="0"/>
    <n v="78.3"/>
  </r>
  <r>
    <x v="0"/>
    <x v="2"/>
    <x v="0"/>
    <x v="2"/>
    <x v="1"/>
    <x v="59"/>
    <n v="47.9"/>
    <n v="93.07"/>
    <n v="93.09"/>
    <n v="83.43"/>
    <s v="5ATM"/>
    <n v="6"/>
    <n v="3.9"/>
    <x v="1"/>
    <x v="6"/>
    <x v="0"/>
    <n v="56.6"/>
  </r>
  <r>
    <x v="0"/>
    <x v="18"/>
    <x v="4"/>
    <x v="18"/>
    <x v="2"/>
    <x v="60"/>
    <n v="241"/>
    <n v="95.8"/>
    <n v="98.42"/>
    <n v="77.209999999999994"/>
    <s v="5ATM"/>
    <n v="9.4"/>
    <n v="3.1"/>
    <x v="2"/>
    <x v="10"/>
    <x v="0"/>
    <n v="65.5"/>
  </r>
  <r>
    <x v="0"/>
    <x v="0"/>
    <x v="0"/>
    <x v="0"/>
    <x v="0"/>
    <x v="61"/>
    <n v="108.3"/>
    <n v="88.09"/>
    <n v="93.97"/>
    <n v="70.209999999999994"/>
    <s v="3ATM"/>
    <n v="7.7"/>
    <m/>
    <x v="2"/>
    <x v="6"/>
    <x v="0"/>
    <n v="68.400000000000006"/>
  </r>
  <r>
    <x v="0"/>
    <x v="9"/>
    <x v="6"/>
    <x v="9"/>
    <x v="3"/>
    <x v="9"/>
    <n v="137.5"/>
    <n v="91.48"/>
    <n v="93.94"/>
    <n v="75.400000000000006"/>
    <s v="IPX4"/>
    <n v="7.9"/>
    <m/>
    <x v="2"/>
    <x v="8"/>
    <x v="0"/>
    <n v="71.2"/>
  </r>
  <r>
    <x v="0"/>
    <x v="11"/>
    <x v="1"/>
    <x v="11"/>
    <x v="1"/>
    <x v="62"/>
    <n v="47.4"/>
    <n v="97.9"/>
    <n v="96.49"/>
    <n v="81.14"/>
    <s v="5ATM"/>
    <n v="7.5"/>
    <n v="3.9"/>
    <x v="3"/>
    <x v="10"/>
    <x v="1"/>
    <n v="60.1"/>
  </r>
  <r>
    <x v="0"/>
    <x v="26"/>
    <x v="9"/>
    <x v="26"/>
    <x v="2"/>
    <x v="63"/>
    <n v="190.5"/>
    <n v="95.13"/>
    <n v="93.76"/>
    <n v="75.58"/>
    <s v="IP68"/>
    <n v="6.1"/>
    <n v="3.7"/>
    <x v="2"/>
    <x v="12"/>
    <x v="0"/>
    <n v="58.4"/>
  </r>
  <r>
    <x v="0"/>
    <x v="27"/>
    <x v="9"/>
    <x v="27"/>
    <x v="2"/>
    <x v="64"/>
    <n v="222.8"/>
    <n v="94.25"/>
    <n v="96.77"/>
    <n v="72.94"/>
    <s v="5ATM"/>
    <n v="7.2"/>
    <n v="1.7"/>
    <x v="0"/>
    <x v="6"/>
    <x v="2"/>
    <n v="61.5"/>
  </r>
  <r>
    <x v="0"/>
    <x v="22"/>
    <x v="8"/>
    <x v="22"/>
    <x v="1"/>
    <x v="65"/>
    <n v="64.8"/>
    <n v="94.53"/>
    <n v="94.42"/>
    <n v="78.08"/>
    <s v="IPX8"/>
    <n v="6.7"/>
    <n v="2.5"/>
    <x v="1"/>
    <x v="7"/>
    <x v="2"/>
    <n v="58.6"/>
  </r>
  <r>
    <x v="0"/>
    <x v="3"/>
    <x v="2"/>
    <x v="3"/>
    <x v="2"/>
    <x v="66"/>
    <n v="206.6"/>
    <n v="93.05"/>
    <n v="95.82"/>
    <n v="70.25"/>
    <s v="IP68"/>
    <n v="7.7"/>
    <n v="2.7"/>
    <x v="0"/>
    <x v="10"/>
    <x v="0"/>
    <n v="60.9"/>
  </r>
  <r>
    <x v="0"/>
    <x v="18"/>
    <x v="4"/>
    <x v="18"/>
    <x v="2"/>
    <x v="67"/>
    <n v="667"/>
    <n v="94.62"/>
    <n v="98.22"/>
    <n v="73.53"/>
    <s v="5ATM"/>
    <n v="8.8000000000000007"/>
    <n v="4.4000000000000004"/>
    <x v="2"/>
    <x v="1"/>
    <x v="0"/>
    <n v="62.8"/>
  </r>
  <r>
    <x v="0"/>
    <x v="19"/>
    <x v="9"/>
    <x v="19"/>
    <x v="0"/>
    <x v="68"/>
    <n v="139.9"/>
    <n v="93.3"/>
    <n v="94.15"/>
    <n v="79.25"/>
    <s v="IPX4"/>
    <n v="7.8"/>
    <m/>
    <x v="2"/>
    <x v="2"/>
    <x v="2"/>
    <n v="72.3"/>
  </r>
  <r>
    <x v="0"/>
    <x v="25"/>
    <x v="5"/>
    <x v="25"/>
    <x v="2"/>
    <x v="69"/>
    <n v="78.7"/>
    <n v="95.88"/>
    <n v="94.76"/>
    <n v="74.61"/>
    <s v="IP68"/>
    <n v="8.1"/>
    <n v="2.9"/>
    <x v="0"/>
    <x v="10"/>
    <x v="0"/>
    <n v="60.7"/>
  </r>
  <r>
    <x v="0"/>
    <x v="17"/>
    <x v="3"/>
    <x v="17"/>
    <x v="1"/>
    <x v="70"/>
    <n v="37.5"/>
    <n v="93.81"/>
    <n v="97.77"/>
    <n v="76.27"/>
    <s v="5ATM"/>
    <n v="8.5"/>
    <n v="3.4"/>
    <x v="3"/>
    <x v="10"/>
    <x v="2"/>
    <n v="60.6"/>
  </r>
  <r>
    <x v="0"/>
    <x v="4"/>
    <x v="3"/>
    <x v="4"/>
    <x v="1"/>
    <x v="71"/>
    <n v="69.8"/>
    <n v="92.58"/>
    <n v="96.08"/>
    <n v="76.41"/>
    <s v="5ATM"/>
    <n v="7.5"/>
    <n v="2.9"/>
    <x v="3"/>
    <x v="6"/>
    <x v="2"/>
    <n v="59.5"/>
  </r>
  <r>
    <x v="0"/>
    <x v="25"/>
    <x v="5"/>
    <x v="25"/>
    <x v="2"/>
    <x v="72"/>
    <n v="123.4"/>
    <n v="96.12"/>
    <n v="95.77"/>
    <n v="74.22"/>
    <s v="IP68"/>
    <n v="8.1"/>
    <n v="4.2"/>
    <x v="2"/>
    <x v="0"/>
    <x v="2"/>
    <n v="60.8"/>
  </r>
  <r>
    <x v="0"/>
    <x v="19"/>
    <x v="9"/>
    <x v="19"/>
    <x v="0"/>
    <x v="73"/>
    <n v="123"/>
    <n v="94.48"/>
    <n v="93.36"/>
    <n v="70.489999999999995"/>
    <s v="3ATM"/>
    <n v="7.3"/>
    <m/>
    <x v="2"/>
    <x v="12"/>
    <x v="2"/>
    <n v="69.2"/>
  </r>
  <r>
    <x v="0"/>
    <x v="3"/>
    <x v="2"/>
    <x v="3"/>
    <x v="1"/>
    <x v="74"/>
    <n v="69.8"/>
    <n v="97.69"/>
    <n v="94.19"/>
    <n v="84.01"/>
    <s v="IPX8"/>
    <n v="8.3000000000000007"/>
    <n v="3.1"/>
    <x v="1"/>
    <x v="3"/>
    <x v="0"/>
    <n v="62.5"/>
  </r>
  <r>
    <x v="0"/>
    <x v="20"/>
    <x v="0"/>
    <x v="20"/>
    <x v="2"/>
    <x v="75"/>
    <n v="113.1"/>
    <n v="96.45"/>
    <n v="96.89"/>
    <n v="73.59"/>
    <s v="IP68"/>
    <n v="7.1"/>
    <n v="4.7"/>
    <x v="2"/>
    <x v="0"/>
    <x v="0"/>
    <n v="58.8"/>
  </r>
  <r>
    <x v="0"/>
    <x v="13"/>
    <x v="0"/>
    <x v="13"/>
    <x v="0"/>
    <x v="76"/>
    <n v="192.3"/>
    <n v="92.91"/>
    <n v="94.68"/>
    <n v="74.489999999999995"/>
    <s v="IPX7"/>
    <n v="8.1999999999999993"/>
    <m/>
    <x v="2"/>
    <x v="12"/>
    <x v="0"/>
    <n v="72.8"/>
  </r>
  <r>
    <x v="1"/>
    <x v="8"/>
    <x v="3"/>
    <x v="8"/>
    <x v="1"/>
    <x v="77"/>
    <n v="39.5"/>
    <n v="94.97"/>
    <n v="96.19"/>
    <n v="79.22"/>
    <s v="5ATM"/>
    <n v="8.3000000000000007"/>
    <n v="3.1"/>
    <x v="3"/>
    <x v="1"/>
    <x v="2"/>
    <n v="60.9"/>
  </r>
  <r>
    <x v="1"/>
    <x v="15"/>
    <x v="8"/>
    <x v="15"/>
    <x v="1"/>
    <x v="78"/>
    <n v="65.400000000000006"/>
    <n v="96.58"/>
    <n v="96.6"/>
    <n v="80.069999999999993"/>
    <s v="IPX8"/>
    <n v="8.6"/>
    <n v="2.4"/>
    <x v="3"/>
    <x v="1"/>
    <x v="2"/>
    <n v="62.9"/>
  </r>
  <r>
    <x v="1"/>
    <x v="16"/>
    <x v="4"/>
    <x v="16"/>
    <x v="2"/>
    <x v="79"/>
    <n v="513.5"/>
    <n v="93.47"/>
    <n v="98.83"/>
    <n v="79.430000000000007"/>
    <s v="IPX8"/>
    <n v="7.4"/>
    <n v="4.4000000000000004"/>
    <x v="0"/>
    <x v="10"/>
    <x v="0"/>
    <n v="61.4"/>
  </r>
  <r>
    <x v="1"/>
    <x v="16"/>
    <x v="4"/>
    <x v="16"/>
    <x v="1"/>
    <x v="80"/>
    <n v="381.6"/>
    <n v="92.37"/>
    <n v="98.67"/>
    <n v="81.19"/>
    <s v="5ATM"/>
    <n v="7.2"/>
    <n v="4.7"/>
    <x v="1"/>
    <x v="3"/>
    <x v="0"/>
    <n v="60.9"/>
  </r>
  <r>
    <x v="1"/>
    <x v="26"/>
    <x v="9"/>
    <x v="26"/>
    <x v="2"/>
    <x v="81"/>
    <n v="117.3"/>
    <n v="97.68"/>
    <n v="95.17"/>
    <n v="77.94"/>
    <s v="IP68"/>
    <n v="6.2"/>
    <n v="4.5999999999999996"/>
    <x v="0"/>
    <x v="0"/>
    <x v="0"/>
    <n v="58.1"/>
  </r>
  <r>
    <x v="1"/>
    <x v="11"/>
    <x v="1"/>
    <x v="11"/>
    <x v="1"/>
    <x v="82"/>
    <n v="52.1"/>
    <n v="92.41"/>
    <n v="96.38"/>
    <n v="77.19"/>
    <s v="IPX8"/>
    <n v="7.6"/>
    <n v="3.7"/>
    <x v="3"/>
    <x v="7"/>
    <x v="1"/>
    <n v="58.9"/>
  </r>
  <r>
    <x v="1"/>
    <x v="27"/>
    <x v="9"/>
    <x v="27"/>
    <x v="1"/>
    <x v="83"/>
    <n v="33"/>
    <n v="92.37"/>
    <n v="94.55"/>
    <n v="84.96"/>
    <s v="IPX8"/>
    <n v="8.4"/>
    <n v="2.4"/>
    <x v="1"/>
    <x v="7"/>
    <x v="2"/>
    <n v="61.7"/>
  </r>
  <r>
    <x v="1"/>
    <x v="1"/>
    <x v="1"/>
    <x v="1"/>
    <x v="1"/>
    <x v="84"/>
    <n v="68.7"/>
    <n v="95.94"/>
    <n v="98.09"/>
    <n v="84.5"/>
    <s v="IP68"/>
    <n v="7.2"/>
    <n v="4.9000000000000004"/>
    <x v="1"/>
    <x v="10"/>
    <x v="1"/>
    <n v="59.9"/>
  </r>
  <r>
    <x v="1"/>
    <x v="6"/>
    <x v="5"/>
    <x v="6"/>
    <x v="2"/>
    <x v="85"/>
    <n v="167"/>
    <n v="93.9"/>
    <n v="94.04"/>
    <n v="76.7"/>
    <s v="IPX8"/>
    <n v="7.4"/>
    <n v="2.9"/>
    <x v="2"/>
    <x v="2"/>
    <x v="0"/>
    <n v="61.2"/>
  </r>
  <r>
    <x v="1"/>
    <x v="27"/>
    <x v="9"/>
    <x v="27"/>
    <x v="2"/>
    <x v="86"/>
    <n v="119.9"/>
    <n v="92.17"/>
    <n v="95.41"/>
    <n v="76.510000000000005"/>
    <s v="IP68"/>
    <n v="7.5"/>
    <n v="2.2000000000000002"/>
    <x v="2"/>
    <x v="1"/>
    <x v="2"/>
    <n v="60.8"/>
  </r>
  <r>
    <x v="1"/>
    <x v="9"/>
    <x v="6"/>
    <x v="9"/>
    <x v="3"/>
    <x v="9"/>
    <n v="130.30000000000001"/>
    <n v="85.39"/>
    <n v="95.26"/>
    <n v="77.290000000000006"/>
    <s v="IPX4"/>
    <n v="7.3"/>
    <m/>
    <x v="2"/>
    <x v="0"/>
    <x v="0"/>
    <n v="69.3"/>
  </r>
  <r>
    <x v="1"/>
    <x v="18"/>
    <x v="4"/>
    <x v="18"/>
    <x v="2"/>
    <x v="87"/>
    <n v="468.2"/>
    <n v="95.45"/>
    <n v="98.42"/>
    <n v="70.81"/>
    <s v="5ATM"/>
    <n v="9.1999999999999993"/>
    <n v="3.1"/>
    <x v="2"/>
    <x v="1"/>
    <x v="0"/>
    <n v="64"/>
  </r>
  <r>
    <x v="1"/>
    <x v="10"/>
    <x v="7"/>
    <x v="10"/>
    <x v="4"/>
    <x v="88"/>
    <n v="185"/>
    <n v="86.66"/>
    <n v="96.2"/>
    <n v="87.28"/>
    <s v="IPX8"/>
    <n v="8.1999999999999993"/>
    <m/>
    <x v="2"/>
    <x v="11"/>
    <x v="2"/>
    <n v="74.400000000000006"/>
  </r>
  <r>
    <x v="1"/>
    <x v="17"/>
    <x v="3"/>
    <x v="17"/>
    <x v="1"/>
    <x v="89"/>
    <n v="55.3"/>
    <n v="92.89"/>
    <n v="96.09"/>
    <n v="78.69"/>
    <s v="IP68"/>
    <n v="8.1999999999999993"/>
    <n v="1.9"/>
    <x v="1"/>
    <x v="1"/>
    <x v="2"/>
    <n v="61.4"/>
  </r>
  <r>
    <x v="1"/>
    <x v="12"/>
    <x v="8"/>
    <x v="12"/>
    <x v="1"/>
    <x v="90"/>
    <n v="42.7"/>
    <n v="94.21"/>
    <n v="94.17"/>
    <n v="82.85"/>
    <s v="IP68"/>
    <n v="7.2"/>
    <n v="3.1"/>
    <x v="3"/>
    <x v="7"/>
    <x v="2"/>
    <n v="59.3"/>
  </r>
  <r>
    <x v="1"/>
    <x v="18"/>
    <x v="4"/>
    <x v="18"/>
    <x v="1"/>
    <x v="91"/>
    <n v="607.1"/>
    <n v="94.96"/>
    <n v="99.46"/>
    <n v="80.989999999999995"/>
    <s v="IPX8"/>
    <n v="7.2"/>
    <n v="3.5"/>
    <x v="3"/>
    <x v="7"/>
    <x v="0"/>
    <n v="62.2"/>
  </r>
  <r>
    <x v="1"/>
    <x v="3"/>
    <x v="2"/>
    <x v="3"/>
    <x v="2"/>
    <x v="92"/>
    <n v="156.4"/>
    <n v="94.33"/>
    <n v="93.72"/>
    <n v="73.19"/>
    <s v="5ATM"/>
    <n v="8"/>
    <n v="4.3"/>
    <x v="2"/>
    <x v="1"/>
    <x v="0"/>
    <n v="60.4"/>
  </r>
  <r>
    <x v="1"/>
    <x v="21"/>
    <x v="1"/>
    <x v="21"/>
    <x v="1"/>
    <x v="93"/>
    <n v="35.9"/>
    <n v="97.58"/>
    <n v="98.01"/>
    <n v="83.64"/>
    <s v="5ATM"/>
    <n v="8.4"/>
    <n v="4.3"/>
    <x v="1"/>
    <x v="1"/>
    <x v="1"/>
    <n v="61.7"/>
  </r>
  <r>
    <x v="1"/>
    <x v="26"/>
    <x v="9"/>
    <x v="26"/>
    <x v="1"/>
    <x v="94"/>
    <n v="38.1"/>
    <n v="95.38"/>
    <n v="95.03"/>
    <n v="78.41"/>
    <s v="IPX8"/>
    <n v="6.3"/>
    <n v="4.5"/>
    <x v="3"/>
    <x v="7"/>
    <x v="2"/>
    <n v="56.4"/>
  </r>
  <r>
    <x v="1"/>
    <x v="10"/>
    <x v="7"/>
    <x v="10"/>
    <x v="4"/>
    <x v="95"/>
    <n v="190"/>
    <n v="87.45"/>
    <n v="96.28"/>
    <n v="91.1"/>
    <s v="IPX7"/>
    <n v="7"/>
    <m/>
    <x v="2"/>
    <x v="11"/>
    <x v="0"/>
    <n v="73"/>
  </r>
  <r>
    <x v="1"/>
    <x v="9"/>
    <x v="6"/>
    <x v="9"/>
    <x v="3"/>
    <x v="9"/>
    <n v="160.9"/>
    <n v="85.32"/>
    <n v="96.84"/>
    <n v="72.66"/>
    <s v="IPX4"/>
    <n v="7.4"/>
    <m/>
    <x v="2"/>
    <x v="13"/>
    <x v="0"/>
    <n v="69.599999999999994"/>
  </r>
  <r>
    <x v="1"/>
    <x v="14"/>
    <x v="9"/>
    <x v="14"/>
    <x v="1"/>
    <x v="96"/>
    <n v="35.200000000000003"/>
    <n v="96.43"/>
    <n v="94.44"/>
    <n v="80.92"/>
    <s v="IP68"/>
    <n v="7.4"/>
    <n v="4.8"/>
    <x v="3"/>
    <x v="5"/>
    <x v="0"/>
    <n v="58.5"/>
  </r>
  <r>
    <x v="1"/>
    <x v="1"/>
    <x v="1"/>
    <x v="1"/>
    <x v="1"/>
    <x v="97"/>
    <n v="65.900000000000006"/>
    <n v="94.98"/>
    <n v="97.72"/>
    <n v="84.05"/>
    <s v="IPX8"/>
    <n v="8.3000000000000007"/>
    <n v="4.7"/>
    <x v="3"/>
    <x v="5"/>
    <x v="1"/>
    <n v="61.5"/>
  </r>
  <r>
    <x v="1"/>
    <x v="28"/>
    <x v="4"/>
    <x v="28"/>
    <x v="1"/>
    <x v="98"/>
    <n v="1604.7"/>
    <n v="92.71"/>
    <n v="98.12"/>
    <n v="81.93"/>
    <s v="5ATM"/>
    <n v="8"/>
    <n v="4.8"/>
    <x v="1"/>
    <x v="1"/>
    <x v="0"/>
    <n v="62.3"/>
  </r>
  <r>
    <x v="1"/>
    <x v="23"/>
    <x v="8"/>
    <x v="23"/>
    <x v="1"/>
    <x v="99"/>
    <n v="63.8"/>
    <n v="92.63"/>
    <n v="93.52"/>
    <n v="84.17"/>
    <s v="IPX8"/>
    <n v="9.5"/>
    <n v="4.5"/>
    <x v="3"/>
    <x v="4"/>
    <x v="2"/>
    <n v="62.5"/>
  </r>
  <r>
    <x v="1"/>
    <x v="25"/>
    <x v="5"/>
    <x v="25"/>
    <x v="1"/>
    <x v="100"/>
    <n v="30.5"/>
    <n v="92.88"/>
    <n v="93.53"/>
    <n v="82.01"/>
    <s v="5ATM"/>
    <n v="7.6"/>
    <n v="3.3"/>
    <x v="1"/>
    <x v="3"/>
    <x v="2"/>
    <n v="59.1"/>
  </r>
  <r>
    <x v="1"/>
    <x v="9"/>
    <x v="6"/>
    <x v="9"/>
    <x v="3"/>
    <x v="9"/>
    <n v="163.30000000000001"/>
    <n v="86.84"/>
    <n v="96.32"/>
    <n v="79.27"/>
    <s v="3ATM"/>
    <n v="6.6"/>
    <m/>
    <x v="2"/>
    <x v="8"/>
    <x v="0"/>
    <n v="69.599999999999994"/>
  </r>
  <r>
    <x v="1"/>
    <x v="18"/>
    <x v="4"/>
    <x v="18"/>
    <x v="1"/>
    <x v="101"/>
    <n v="692.2"/>
    <n v="93.95"/>
    <n v="98.93"/>
    <n v="80.11"/>
    <s v="IP68"/>
    <n v="9.1"/>
    <n v="2.8"/>
    <x v="3"/>
    <x v="5"/>
    <x v="0"/>
    <n v="65.5"/>
  </r>
  <r>
    <x v="1"/>
    <x v="24"/>
    <x v="2"/>
    <x v="24"/>
    <x v="2"/>
    <x v="102"/>
    <n v="80.099999999999994"/>
    <n v="92.94"/>
    <n v="93.53"/>
    <n v="78.62"/>
    <s v="IPX8"/>
    <n v="7.9"/>
    <n v="2.5"/>
    <x v="2"/>
    <x v="12"/>
    <x v="0"/>
    <n v="60.6"/>
  </r>
  <r>
    <x v="1"/>
    <x v="21"/>
    <x v="1"/>
    <x v="21"/>
    <x v="1"/>
    <x v="103"/>
    <n v="48"/>
    <n v="93.87"/>
    <n v="98.31"/>
    <n v="81.13"/>
    <s v="5ATM"/>
    <n v="7.1"/>
    <n v="2.9"/>
    <x v="1"/>
    <x v="10"/>
    <x v="1"/>
    <n v="59.7"/>
  </r>
  <r>
    <x v="1"/>
    <x v="4"/>
    <x v="3"/>
    <x v="4"/>
    <x v="1"/>
    <x v="104"/>
    <n v="60.7"/>
    <n v="95.71"/>
    <n v="97.06"/>
    <n v="78.349999999999994"/>
    <s v="IPX8"/>
    <n v="8.9"/>
    <n v="2.7"/>
    <x v="1"/>
    <x v="9"/>
    <x v="2"/>
    <n v="62.8"/>
  </r>
  <r>
    <x v="1"/>
    <x v="10"/>
    <x v="7"/>
    <x v="10"/>
    <x v="4"/>
    <x v="105"/>
    <n v="188.6"/>
    <n v="87.3"/>
    <n v="94.66"/>
    <n v="86.47"/>
    <s v="IPX7"/>
    <n v="7.9"/>
    <m/>
    <x v="2"/>
    <x v="8"/>
    <x v="2"/>
    <n v="73.5"/>
  </r>
  <r>
    <x v="1"/>
    <x v="13"/>
    <x v="0"/>
    <x v="13"/>
    <x v="0"/>
    <x v="106"/>
    <n v="192.5"/>
    <n v="89.98"/>
    <n v="95.46"/>
    <n v="72.5"/>
    <s v="IPX7"/>
    <n v="7.3"/>
    <m/>
    <x v="2"/>
    <x v="2"/>
    <x v="0"/>
    <n v="70.2"/>
  </r>
  <r>
    <x v="1"/>
    <x v="6"/>
    <x v="5"/>
    <x v="6"/>
    <x v="2"/>
    <x v="107"/>
    <n v="153.5"/>
    <n v="97.71"/>
    <n v="95.4"/>
    <n v="78.290000000000006"/>
    <s v="5ATM"/>
    <n v="7.5"/>
    <n v="2.9"/>
    <x v="2"/>
    <x v="12"/>
    <x v="2"/>
    <n v="62.2"/>
  </r>
  <r>
    <x v="1"/>
    <x v="9"/>
    <x v="6"/>
    <x v="9"/>
    <x v="3"/>
    <x v="9"/>
    <n v="131"/>
    <n v="90.09"/>
    <n v="93.52"/>
    <n v="77.34"/>
    <s v="3ATM"/>
    <n v="7"/>
    <m/>
    <x v="2"/>
    <x v="13"/>
    <x v="0"/>
    <n v="69.3"/>
  </r>
  <r>
    <x v="1"/>
    <x v="1"/>
    <x v="1"/>
    <x v="1"/>
    <x v="1"/>
    <x v="108"/>
    <n v="18.600000000000001"/>
    <n v="94.98"/>
    <n v="96.87"/>
    <n v="80.17"/>
    <s v="IP68"/>
    <n v="7.4"/>
    <n v="2.8"/>
    <x v="3"/>
    <x v="3"/>
    <x v="1"/>
    <n v="59.5"/>
  </r>
  <r>
    <x v="1"/>
    <x v="11"/>
    <x v="1"/>
    <x v="11"/>
    <x v="1"/>
    <x v="109"/>
    <n v="20"/>
    <n v="92.44"/>
    <n v="96.44"/>
    <n v="77.52"/>
    <s v="5ATM"/>
    <n v="8.9"/>
    <n v="2.2999999999999998"/>
    <x v="1"/>
    <x v="4"/>
    <x v="1"/>
    <n v="61.4"/>
  </r>
  <r>
    <x v="1"/>
    <x v="24"/>
    <x v="2"/>
    <x v="24"/>
    <x v="2"/>
    <x v="110"/>
    <n v="114.1"/>
    <n v="93.18"/>
    <n v="95.32"/>
    <n v="79.52"/>
    <s v="IPX8"/>
    <n v="8.1999999999999993"/>
    <n v="3.8"/>
    <x v="2"/>
    <x v="6"/>
    <x v="0"/>
    <n v="61.4"/>
  </r>
  <r>
    <x v="1"/>
    <x v="24"/>
    <x v="2"/>
    <x v="24"/>
    <x v="1"/>
    <x v="111"/>
    <n v="44.4"/>
    <n v="97.49"/>
    <n v="94.55"/>
    <n v="82.6"/>
    <s v="IP68"/>
    <n v="7.1"/>
    <n v="1.9"/>
    <x v="1"/>
    <x v="10"/>
    <x v="0"/>
    <n v="60.6"/>
  </r>
  <r>
    <x v="1"/>
    <x v="9"/>
    <x v="6"/>
    <x v="9"/>
    <x v="3"/>
    <x v="9"/>
    <n v="127.2"/>
    <n v="89.16"/>
    <n v="95.73"/>
    <n v="71.8"/>
    <s v="3ATM"/>
    <n v="7.6"/>
    <m/>
    <x v="2"/>
    <x v="13"/>
    <x v="0"/>
    <n v="69.599999999999994"/>
  </r>
  <r>
    <x v="1"/>
    <x v="3"/>
    <x v="2"/>
    <x v="3"/>
    <x v="2"/>
    <x v="112"/>
    <n v="90.1"/>
    <n v="97.03"/>
    <n v="95.57"/>
    <n v="70.989999999999995"/>
    <s v="5ATM"/>
    <n v="7.2"/>
    <n v="4.2"/>
    <x v="2"/>
    <x v="10"/>
    <x v="0"/>
    <n v="58.3"/>
  </r>
  <r>
    <x v="1"/>
    <x v="11"/>
    <x v="1"/>
    <x v="11"/>
    <x v="1"/>
    <x v="113"/>
    <n v="49.8"/>
    <n v="95.99"/>
    <n v="97.12"/>
    <n v="83.82"/>
    <s v="IP68"/>
    <n v="8.9"/>
    <n v="2.2999999999999998"/>
    <x v="1"/>
    <x v="9"/>
    <x v="1"/>
    <n v="63.8"/>
  </r>
  <r>
    <x v="1"/>
    <x v="9"/>
    <x v="6"/>
    <x v="9"/>
    <x v="3"/>
    <x v="9"/>
    <n v="162.5"/>
    <n v="85.97"/>
    <n v="95.37"/>
    <n v="78.849999999999994"/>
    <s v="IPX4"/>
    <n v="7.6"/>
    <m/>
    <x v="2"/>
    <x v="8"/>
    <x v="0"/>
    <n v="71.099999999999994"/>
  </r>
  <r>
    <x v="1"/>
    <x v="20"/>
    <x v="0"/>
    <x v="20"/>
    <x v="1"/>
    <x v="114"/>
    <n v="19.8"/>
    <n v="96.77"/>
    <n v="93.65"/>
    <n v="78.23"/>
    <s v="IP68"/>
    <n v="7"/>
    <n v="4.5"/>
    <x v="1"/>
    <x v="4"/>
    <x v="0"/>
    <n v="57.2"/>
  </r>
  <r>
    <x v="1"/>
    <x v="19"/>
    <x v="9"/>
    <x v="19"/>
    <x v="0"/>
    <x v="115"/>
    <n v="102.2"/>
    <n v="88.92"/>
    <n v="95.3"/>
    <n v="72.290000000000006"/>
    <s v="IPX4"/>
    <n v="7.4"/>
    <m/>
    <x v="0"/>
    <x v="6"/>
    <x v="0"/>
    <n v="68.5"/>
  </r>
  <r>
    <x v="1"/>
    <x v="0"/>
    <x v="0"/>
    <x v="0"/>
    <x v="0"/>
    <x v="116"/>
    <n v="169"/>
    <n v="89.88"/>
    <n v="94.66"/>
    <n v="74.52"/>
    <s v="3ATM"/>
    <n v="8.1999999999999993"/>
    <m/>
    <x v="0"/>
    <x v="1"/>
    <x v="0"/>
    <n v="72.2"/>
  </r>
  <r>
    <x v="1"/>
    <x v="4"/>
    <x v="3"/>
    <x v="4"/>
    <x v="1"/>
    <x v="117"/>
    <n v="58"/>
    <n v="97.54"/>
    <n v="97.52"/>
    <n v="79.25"/>
    <s v="IPX8"/>
    <n v="8"/>
    <n v="1.5"/>
    <x v="1"/>
    <x v="10"/>
    <x v="2"/>
    <n v="62.5"/>
  </r>
  <r>
    <x v="1"/>
    <x v="9"/>
    <x v="6"/>
    <x v="9"/>
    <x v="3"/>
    <x v="9"/>
    <n v="136.19999999999999"/>
    <n v="90.51"/>
    <n v="94.66"/>
    <n v="75.31"/>
    <s v="IPX4"/>
    <n v="6.6"/>
    <m/>
    <x v="2"/>
    <x v="13"/>
    <x v="0"/>
    <n v="68.5"/>
  </r>
  <r>
    <x v="1"/>
    <x v="8"/>
    <x v="3"/>
    <x v="8"/>
    <x v="1"/>
    <x v="118"/>
    <n v="32.4"/>
    <n v="95.57"/>
    <n v="97.61"/>
    <n v="77.09"/>
    <s v="IP68"/>
    <n v="9.4"/>
    <n v="4.9000000000000004"/>
    <x v="3"/>
    <x v="7"/>
    <x v="2"/>
    <n v="61.4"/>
  </r>
  <r>
    <x v="1"/>
    <x v="0"/>
    <x v="0"/>
    <x v="0"/>
    <x v="0"/>
    <x v="119"/>
    <n v="145.4"/>
    <n v="89.75"/>
    <n v="95.86"/>
    <n v="76.459999999999994"/>
    <s v="IPX7"/>
    <n v="7.3"/>
    <m/>
    <x v="2"/>
    <x v="10"/>
    <x v="0"/>
    <n v="70.5"/>
  </r>
  <r>
    <x v="1"/>
    <x v="25"/>
    <x v="5"/>
    <x v="25"/>
    <x v="1"/>
    <x v="120"/>
    <n v="22.6"/>
    <n v="96.94"/>
    <n v="95.56"/>
    <n v="82.91"/>
    <s v="IPX8"/>
    <n v="8.1"/>
    <n v="2"/>
    <x v="1"/>
    <x v="1"/>
    <x v="0"/>
    <n v="61.9"/>
  </r>
  <r>
    <x v="1"/>
    <x v="3"/>
    <x v="2"/>
    <x v="3"/>
    <x v="2"/>
    <x v="121"/>
    <n v="187.2"/>
    <n v="96.23"/>
    <n v="94.16"/>
    <n v="75.27"/>
    <s v="IP68"/>
    <n v="8.3000000000000007"/>
    <n v="4.7"/>
    <x v="2"/>
    <x v="2"/>
    <x v="0"/>
    <n v="61.6"/>
  </r>
  <r>
    <x v="1"/>
    <x v="4"/>
    <x v="3"/>
    <x v="4"/>
    <x v="1"/>
    <x v="122"/>
    <n v="35.200000000000003"/>
    <n v="94.04"/>
    <n v="96.1"/>
    <n v="82.13"/>
    <s v="IPX8"/>
    <n v="8.4"/>
    <n v="2.8"/>
    <x v="3"/>
    <x v="1"/>
    <x v="2"/>
    <n v="61.5"/>
  </r>
  <r>
    <x v="1"/>
    <x v="8"/>
    <x v="3"/>
    <x v="8"/>
    <x v="1"/>
    <x v="123"/>
    <n v="50.9"/>
    <n v="94.33"/>
    <n v="96.05"/>
    <n v="79.599999999999994"/>
    <s v="IP68"/>
    <n v="8"/>
    <n v="3.8"/>
    <x v="1"/>
    <x v="6"/>
    <x v="2"/>
    <n v="60.1"/>
  </r>
  <r>
    <x v="1"/>
    <x v="8"/>
    <x v="3"/>
    <x v="8"/>
    <x v="1"/>
    <x v="124"/>
    <n v="36.799999999999997"/>
    <n v="96.05"/>
    <n v="97.95"/>
    <n v="75.56"/>
    <s v="IP68"/>
    <n v="8.4"/>
    <n v="3.9"/>
    <x v="1"/>
    <x v="7"/>
    <x v="2"/>
    <n v="60.4"/>
  </r>
  <r>
    <x v="1"/>
    <x v="25"/>
    <x v="5"/>
    <x v="25"/>
    <x v="1"/>
    <x v="125"/>
    <n v="52.8"/>
    <n v="96.21"/>
    <n v="96.17"/>
    <n v="76.260000000000005"/>
    <s v="5ATM"/>
    <n v="7.5"/>
    <n v="3.5"/>
    <x v="3"/>
    <x v="9"/>
    <x v="0"/>
    <n v="59.3"/>
  </r>
  <r>
    <x v="1"/>
    <x v="6"/>
    <x v="5"/>
    <x v="6"/>
    <x v="1"/>
    <x v="126"/>
    <n v="45.7"/>
    <n v="95.06"/>
    <n v="94.65"/>
    <n v="79.650000000000006"/>
    <s v="IP68"/>
    <n v="8.9"/>
    <n v="2.4"/>
    <x v="1"/>
    <x v="6"/>
    <x v="2"/>
    <n v="62.4"/>
  </r>
  <r>
    <x v="1"/>
    <x v="17"/>
    <x v="3"/>
    <x v="17"/>
    <x v="1"/>
    <x v="127"/>
    <n v="36.299999999999997"/>
    <n v="97.17"/>
    <n v="96.62"/>
    <n v="76.900000000000006"/>
    <s v="IPX8"/>
    <n v="8.1999999999999993"/>
    <n v="2.1"/>
    <x v="1"/>
    <x v="6"/>
    <x v="2"/>
    <n v="61.4"/>
  </r>
  <r>
    <x v="1"/>
    <x v="9"/>
    <x v="6"/>
    <x v="9"/>
    <x v="3"/>
    <x v="9"/>
    <n v="132.30000000000001"/>
    <n v="85.42"/>
    <n v="93.8"/>
    <n v="76.97"/>
    <s v="IPX7"/>
    <n v="6.1"/>
    <m/>
    <x v="2"/>
    <x v="13"/>
    <x v="2"/>
    <n v="66.599999999999994"/>
  </r>
  <r>
    <x v="1"/>
    <x v="15"/>
    <x v="8"/>
    <x v="15"/>
    <x v="1"/>
    <x v="128"/>
    <n v="71.2"/>
    <n v="97.97"/>
    <n v="93.99"/>
    <n v="84.23"/>
    <s v="IP68"/>
    <n v="8.8000000000000007"/>
    <n v="2.1"/>
    <x v="3"/>
    <x v="1"/>
    <x v="2"/>
    <n v="64"/>
  </r>
  <r>
    <x v="1"/>
    <x v="1"/>
    <x v="1"/>
    <x v="1"/>
    <x v="1"/>
    <x v="129"/>
    <n v="38.9"/>
    <n v="98"/>
    <n v="98.48"/>
    <n v="84.44"/>
    <s v="IPX8"/>
    <n v="7.3"/>
    <n v="2.7"/>
    <x v="1"/>
    <x v="10"/>
    <x v="1"/>
    <n v="61.3"/>
  </r>
  <r>
    <x v="1"/>
    <x v="8"/>
    <x v="3"/>
    <x v="8"/>
    <x v="1"/>
    <x v="130"/>
    <n v="32.9"/>
    <n v="92.9"/>
    <n v="96.94"/>
    <n v="76.23"/>
    <s v="IPX8"/>
    <n v="8.1999999999999993"/>
    <n v="2.4"/>
    <x v="1"/>
    <x v="9"/>
    <x v="2"/>
    <n v="60.4"/>
  </r>
  <r>
    <x v="1"/>
    <x v="13"/>
    <x v="0"/>
    <x v="13"/>
    <x v="0"/>
    <x v="131"/>
    <n v="161.4"/>
    <n v="92.18"/>
    <n v="93.67"/>
    <n v="79.790000000000006"/>
    <s v="IPX7"/>
    <n v="7.4"/>
    <m/>
    <x v="2"/>
    <x v="6"/>
    <x v="0"/>
    <n v="71.8"/>
  </r>
  <r>
    <x v="1"/>
    <x v="24"/>
    <x v="2"/>
    <x v="24"/>
    <x v="2"/>
    <x v="132"/>
    <n v="106"/>
    <n v="93.59"/>
    <n v="95.62"/>
    <n v="74.709999999999994"/>
    <s v="IPX8"/>
    <n v="7.6"/>
    <n v="2.2999999999999998"/>
    <x v="2"/>
    <x v="2"/>
    <x v="0"/>
    <n v="60.6"/>
  </r>
  <r>
    <x v="1"/>
    <x v="8"/>
    <x v="3"/>
    <x v="8"/>
    <x v="1"/>
    <x v="133"/>
    <n v="39.200000000000003"/>
    <n v="94.26"/>
    <n v="98.09"/>
    <n v="80.7"/>
    <s v="5ATM"/>
    <n v="8.4"/>
    <n v="4.7"/>
    <x v="3"/>
    <x v="5"/>
    <x v="2"/>
    <n v="60.5"/>
  </r>
  <r>
    <x v="1"/>
    <x v="3"/>
    <x v="2"/>
    <x v="3"/>
    <x v="1"/>
    <x v="134"/>
    <n v="37.1"/>
    <n v="96.98"/>
    <n v="93.55"/>
    <n v="79.48"/>
    <s v="IPX8"/>
    <n v="7.9"/>
    <n v="3.6"/>
    <x v="3"/>
    <x v="10"/>
    <x v="0"/>
    <n v="59.8"/>
  </r>
  <r>
    <x v="1"/>
    <x v="8"/>
    <x v="3"/>
    <x v="8"/>
    <x v="1"/>
    <x v="135"/>
    <n v="37"/>
    <n v="95.5"/>
    <n v="97.16"/>
    <n v="81.209999999999994"/>
    <s v="IPX8"/>
    <n v="8.6999999999999993"/>
    <n v="3"/>
    <x v="1"/>
    <x v="7"/>
    <x v="2"/>
    <n v="62.2"/>
  </r>
  <r>
    <x v="1"/>
    <x v="4"/>
    <x v="3"/>
    <x v="4"/>
    <x v="1"/>
    <x v="136"/>
    <n v="34.9"/>
    <n v="97.69"/>
    <n v="96.85"/>
    <n v="75.86"/>
    <s v="IP68"/>
    <n v="8.3000000000000007"/>
    <n v="2.6"/>
    <x v="1"/>
    <x v="1"/>
    <x v="2"/>
    <n v="61.2"/>
  </r>
  <r>
    <x v="1"/>
    <x v="0"/>
    <x v="0"/>
    <x v="0"/>
    <x v="0"/>
    <x v="137"/>
    <n v="200"/>
    <n v="88.85"/>
    <n v="94.47"/>
    <n v="77.55"/>
    <s v="3ATM"/>
    <n v="7.5"/>
    <m/>
    <x v="2"/>
    <x v="1"/>
    <x v="0"/>
    <n v="71.2"/>
  </r>
  <r>
    <x v="1"/>
    <x v="9"/>
    <x v="6"/>
    <x v="9"/>
    <x v="3"/>
    <x v="9"/>
    <n v="142.30000000000001"/>
    <n v="89.67"/>
    <n v="96.43"/>
    <n v="70.09"/>
    <s v="IPX7"/>
    <n v="6.4"/>
    <m/>
    <x v="2"/>
    <x v="11"/>
    <x v="0"/>
    <n v="67.400000000000006"/>
  </r>
  <r>
    <x v="1"/>
    <x v="15"/>
    <x v="8"/>
    <x v="15"/>
    <x v="1"/>
    <x v="138"/>
    <n v="32.700000000000003"/>
    <n v="97.43"/>
    <n v="93.59"/>
    <n v="79.37"/>
    <s v="5ATM"/>
    <n v="9.1999999999999993"/>
    <n v="4.5999999999999996"/>
    <x v="3"/>
    <x v="4"/>
    <x v="2"/>
    <n v="61.3"/>
  </r>
  <r>
    <x v="1"/>
    <x v="25"/>
    <x v="5"/>
    <x v="25"/>
    <x v="1"/>
    <x v="139"/>
    <n v="53.3"/>
    <n v="97.48"/>
    <n v="94.64"/>
    <n v="75.099999999999994"/>
    <s v="IPX8"/>
    <n v="8.6"/>
    <n v="4.4000000000000004"/>
    <x v="1"/>
    <x v="7"/>
    <x v="0"/>
    <n v="60.3"/>
  </r>
  <r>
    <x v="1"/>
    <x v="13"/>
    <x v="0"/>
    <x v="13"/>
    <x v="0"/>
    <x v="140"/>
    <n v="183.7"/>
    <n v="89.74"/>
    <n v="95.75"/>
    <n v="77.2"/>
    <s v="3ATM"/>
    <n v="8.3000000000000007"/>
    <m/>
    <x v="2"/>
    <x v="12"/>
    <x v="0"/>
    <n v="73.099999999999994"/>
  </r>
  <r>
    <x v="1"/>
    <x v="9"/>
    <x v="6"/>
    <x v="9"/>
    <x v="3"/>
    <x v="9"/>
    <n v="120.9"/>
    <n v="87.16"/>
    <n v="96.8"/>
    <n v="73.42"/>
    <s v="IPX7"/>
    <n v="6.4"/>
    <m/>
    <x v="2"/>
    <x v="8"/>
    <x v="2"/>
    <n v="67.2"/>
  </r>
  <r>
    <x v="1"/>
    <x v="9"/>
    <x v="6"/>
    <x v="9"/>
    <x v="3"/>
    <x v="9"/>
    <n v="165.1"/>
    <n v="91.79"/>
    <n v="94.49"/>
    <n v="74.900000000000006"/>
    <s v="3ATM"/>
    <n v="8"/>
    <m/>
    <x v="2"/>
    <x v="13"/>
    <x v="0"/>
    <n v="72.2"/>
  </r>
  <r>
    <x v="1"/>
    <x v="0"/>
    <x v="0"/>
    <x v="0"/>
    <x v="0"/>
    <x v="141"/>
    <n v="149.19999999999999"/>
    <n v="92.67"/>
    <n v="96.6"/>
    <n v="74.650000000000006"/>
    <s v="IPX7"/>
    <n v="8"/>
    <m/>
    <x v="2"/>
    <x v="1"/>
    <x v="0"/>
    <n v="72.3"/>
  </r>
  <r>
    <x v="1"/>
    <x v="10"/>
    <x v="7"/>
    <x v="10"/>
    <x v="4"/>
    <x v="142"/>
    <n v="187.5"/>
    <n v="89.98"/>
    <n v="93.31"/>
    <n v="85.02"/>
    <s v="IPX7"/>
    <n v="9.1999999999999993"/>
    <m/>
    <x v="2"/>
    <x v="11"/>
    <x v="0"/>
    <n v="76.099999999999994"/>
  </r>
  <r>
    <x v="1"/>
    <x v="6"/>
    <x v="5"/>
    <x v="6"/>
    <x v="2"/>
    <x v="143"/>
    <n v="212.1"/>
    <n v="95.69"/>
    <n v="96.76"/>
    <n v="72.8"/>
    <s v="IP68"/>
    <n v="7.6"/>
    <n v="3.1"/>
    <x v="0"/>
    <x v="2"/>
    <x v="2"/>
    <n v="61.5"/>
  </r>
  <r>
    <x v="1"/>
    <x v="10"/>
    <x v="7"/>
    <x v="10"/>
    <x v="4"/>
    <x v="144"/>
    <n v="171"/>
    <n v="86.77"/>
    <n v="93.08"/>
    <n v="89.59"/>
    <s v="IPX7"/>
    <n v="8.8000000000000007"/>
    <m/>
    <x v="2"/>
    <x v="8"/>
    <x v="0"/>
    <n v="75.5"/>
  </r>
  <r>
    <x v="1"/>
    <x v="6"/>
    <x v="5"/>
    <x v="6"/>
    <x v="2"/>
    <x v="145"/>
    <n v="228.5"/>
    <n v="97.59"/>
    <n v="96.95"/>
    <n v="78.569999999999993"/>
    <s v="5ATM"/>
    <n v="8.1"/>
    <n v="2.5"/>
    <x v="2"/>
    <x v="12"/>
    <x v="2"/>
    <n v="64"/>
  </r>
  <r>
    <x v="1"/>
    <x v="24"/>
    <x v="2"/>
    <x v="24"/>
    <x v="1"/>
    <x v="146"/>
    <n v="21"/>
    <n v="92.95"/>
    <n v="95.66"/>
    <n v="75.27"/>
    <s v="IP68"/>
    <n v="7.9"/>
    <n v="1.8"/>
    <x v="3"/>
    <x v="6"/>
    <x v="0"/>
    <n v="59.7"/>
  </r>
  <r>
    <x v="1"/>
    <x v="24"/>
    <x v="2"/>
    <x v="24"/>
    <x v="1"/>
    <x v="147"/>
    <n v="47.7"/>
    <n v="97.65"/>
    <n v="95.96"/>
    <n v="81.84"/>
    <s v="IPX8"/>
    <n v="7.7"/>
    <n v="2.6"/>
    <x v="3"/>
    <x v="9"/>
    <x v="0"/>
    <n v="61.3"/>
  </r>
  <r>
    <x v="1"/>
    <x v="0"/>
    <x v="0"/>
    <x v="0"/>
    <x v="0"/>
    <x v="148"/>
    <n v="150.30000000000001"/>
    <n v="91.57"/>
    <n v="95.83"/>
    <n v="76.48"/>
    <s v="IPX7"/>
    <n v="7.7"/>
    <m/>
    <x v="2"/>
    <x v="0"/>
    <x v="0"/>
    <n v="71.8"/>
  </r>
  <r>
    <x v="1"/>
    <x v="14"/>
    <x v="9"/>
    <x v="14"/>
    <x v="1"/>
    <x v="149"/>
    <n v="20.5"/>
    <n v="92.73"/>
    <n v="93.28"/>
    <n v="83.42"/>
    <s v="IPX8"/>
    <n v="7"/>
    <n v="2.8"/>
    <x v="3"/>
    <x v="7"/>
    <x v="0"/>
    <n v="58.4"/>
  </r>
  <r>
    <x v="1"/>
    <x v="9"/>
    <x v="6"/>
    <x v="9"/>
    <x v="3"/>
    <x v="9"/>
    <n v="167.3"/>
    <n v="86.51"/>
    <n v="94.81"/>
    <n v="75.38"/>
    <s v="3ATM"/>
    <n v="6.6"/>
    <m/>
    <x v="2"/>
    <x v="8"/>
    <x v="0"/>
    <n v="68.5"/>
  </r>
  <r>
    <x v="1"/>
    <x v="19"/>
    <x v="9"/>
    <x v="19"/>
    <x v="0"/>
    <x v="150"/>
    <n v="146.69999999999999"/>
    <n v="92.91"/>
    <n v="96.65"/>
    <n v="71.02"/>
    <s v="IPX4"/>
    <n v="6.3"/>
    <m/>
    <x v="0"/>
    <x v="6"/>
    <x v="2"/>
    <n v="68.2"/>
  </r>
  <r>
    <x v="1"/>
    <x v="25"/>
    <x v="5"/>
    <x v="25"/>
    <x v="1"/>
    <x v="151"/>
    <n v="71.599999999999994"/>
    <n v="93.67"/>
    <n v="96.04"/>
    <n v="75.17"/>
    <s v="IPX8"/>
    <n v="9.1999999999999993"/>
    <n v="2.9"/>
    <x v="3"/>
    <x v="5"/>
    <x v="0"/>
    <n v="62.3"/>
  </r>
  <r>
    <x v="1"/>
    <x v="6"/>
    <x v="5"/>
    <x v="6"/>
    <x v="1"/>
    <x v="152"/>
    <n v="29"/>
    <n v="97.18"/>
    <n v="94.58"/>
    <n v="78.06"/>
    <s v="IPX8"/>
    <n v="7.9"/>
    <n v="4.8"/>
    <x v="1"/>
    <x v="6"/>
    <x v="2"/>
    <n v="58.8"/>
  </r>
  <r>
    <x v="1"/>
    <x v="28"/>
    <x v="4"/>
    <x v="28"/>
    <x v="1"/>
    <x v="153"/>
    <n v="961.4"/>
    <n v="97.61"/>
    <n v="98.57"/>
    <n v="80.98"/>
    <s v="5ATM"/>
    <n v="8.1"/>
    <n v="4.7"/>
    <x v="1"/>
    <x v="10"/>
    <x v="0"/>
    <n v="63.2"/>
  </r>
  <r>
    <x v="1"/>
    <x v="23"/>
    <x v="8"/>
    <x v="23"/>
    <x v="1"/>
    <x v="154"/>
    <n v="61.6"/>
    <n v="94.44"/>
    <n v="94.81"/>
    <n v="81.89"/>
    <s v="5ATM"/>
    <n v="7.7"/>
    <n v="3.2"/>
    <x v="1"/>
    <x v="10"/>
    <x v="0"/>
    <n v="60.4"/>
  </r>
  <r>
    <x v="1"/>
    <x v="3"/>
    <x v="2"/>
    <x v="3"/>
    <x v="1"/>
    <x v="155"/>
    <n v="37.1"/>
    <n v="92.3"/>
    <n v="94.98"/>
    <n v="83.82"/>
    <s v="IP68"/>
    <n v="8"/>
    <n v="2.5"/>
    <x v="1"/>
    <x v="6"/>
    <x v="0"/>
    <n v="60.9"/>
  </r>
  <r>
    <x v="1"/>
    <x v="10"/>
    <x v="7"/>
    <x v="10"/>
    <x v="4"/>
    <x v="156"/>
    <n v="176.4"/>
    <n v="88.54"/>
    <n v="96.66"/>
    <n v="89.57"/>
    <s v="IPX7"/>
    <n v="7.7"/>
    <m/>
    <x v="2"/>
    <x v="12"/>
    <x v="2"/>
    <n v="74.400000000000006"/>
  </r>
  <r>
    <x v="1"/>
    <x v="6"/>
    <x v="5"/>
    <x v="6"/>
    <x v="2"/>
    <x v="157"/>
    <n v="75.099999999999994"/>
    <n v="95.95"/>
    <n v="95.13"/>
    <n v="79.62"/>
    <s v="IPX8"/>
    <n v="8.1999999999999993"/>
    <n v="2.4"/>
    <x v="0"/>
    <x v="6"/>
    <x v="0"/>
    <n v="62"/>
  </r>
  <r>
    <x v="1"/>
    <x v="0"/>
    <x v="0"/>
    <x v="0"/>
    <x v="0"/>
    <x v="158"/>
    <n v="89"/>
    <n v="93.14"/>
    <n v="96.52"/>
    <n v="72.680000000000007"/>
    <s v="IPX4"/>
    <n v="6.3"/>
    <m/>
    <x v="2"/>
    <x v="10"/>
    <x v="0"/>
    <n v="67.2"/>
  </r>
  <r>
    <x v="1"/>
    <x v="21"/>
    <x v="1"/>
    <x v="21"/>
    <x v="1"/>
    <x v="159"/>
    <n v="36.5"/>
    <n v="94.61"/>
    <n v="97.34"/>
    <n v="82.75"/>
    <s v="IP68"/>
    <n v="8.4"/>
    <n v="5"/>
    <x v="1"/>
    <x v="6"/>
    <x v="1"/>
    <n v="60.5"/>
  </r>
  <r>
    <x v="1"/>
    <x v="6"/>
    <x v="5"/>
    <x v="6"/>
    <x v="2"/>
    <x v="160"/>
    <n v="81.3"/>
    <n v="93.48"/>
    <n v="96.6"/>
    <n v="74.69"/>
    <s v="IP68"/>
    <n v="8.4"/>
    <n v="4"/>
    <x v="2"/>
    <x v="10"/>
    <x v="0"/>
    <n v="60.4"/>
  </r>
  <r>
    <x v="1"/>
    <x v="10"/>
    <x v="7"/>
    <x v="10"/>
    <x v="4"/>
    <x v="161"/>
    <n v="175.8"/>
    <n v="91.79"/>
    <n v="94.62"/>
    <n v="88.6"/>
    <s v="IPX7"/>
    <n v="8"/>
    <m/>
    <x v="2"/>
    <x v="12"/>
    <x v="0"/>
    <n v="75"/>
  </r>
  <r>
    <x v="1"/>
    <x v="3"/>
    <x v="2"/>
    <x v="3"/>
    <x v="2"/>
    <x v="162"/>
    <n v="131"/>
    <n v="94.45"/>
    <n v="96.01"/>
    <n v="71.06"/>
    <s v="IP68"/>
    <n v="8"/>
    <n v="2"/>
    <x v="2"/>
    <x v="12"/>
    <x v="0"/>
    <n v="61.5"/>
  </r>
  <r>
    <x v="1"/>
    <x v="10"/>
    <x v="7"/>
    <x v="10"/>
    <x v="4"/>
    <x v="163"/>
    <n v="175.2"/>
    <n v="90.64"/>
    <n v="95.28"/>
    <n v="86.4"/>
    <s v="IPX8"/>
    <n v="8.3000000000000007"/>
    <m/>
    <x v="2"/>
    <x v="11"/>
    <x v="2"/>
    <n v="75.099999999999994"/>
  </r>
  <r>
    <x v="1"/>
    <x v="21"/>
    <x v="1"/>
    <x v="21"/>
    <x v="1"/>
    <x v="164"/>
    <n v="47.2"/>
    <n v="93.55"/>
    <n v="98.08"/>
    <n v="78.040000000000006"/>
    <s v="IPX8"/>
    <n v="9.5"/>
    <n v="1.9"/>
    <x v="1"/>
    <x v="9"/>
    <x v="1"/>
    <n v="63.8"/>
  </r>
  <r>
    <x v="1"/>
    <x v="10"/>
    <x v="7"/>
    <x v="10"/>
    <x v="4"/>
    <x v="165"/>
    <n v="171.6"/>
    <n v="86.98"/>
    <n v="93.48"/>
    <n v="87.73"/>
    <s v="IPX8"/>
    <n v="8.1"/>
    <m/>
    <x v="2"/>
    <x v="12"/>
    <x v="2"/>
    <n v="73.8"/>
  </r>
  <r>
    <x v="1"/>
    <x v="21"/>
    <x v="1"/>
    <x v="21"/>
    <x v="1"/>
    <x v="166"/>
    <n v="24.5"/>
    <n v="93.11"/>
    <n v="97.94"/>
    <n v="75.709999999999994"/>
    <s v="IPX8"/>
    <n v="7.7"/>
    <n v="1.9"/>
    <x v="3"/>
    <x v="4"/>
    <x v="1"/>
    <n v="59.8"/>
  </r>
  <r>
    <x v="1"/>
    <x v="10"/>
    <x v="7"/>
    <x v="10"/>
    <x v="4"/>
    <x v="167"/>
    <n v="169.8"/>
    <n v="90.11"/>
    <n v="94.88"/>
    <n v="87.98"/>
    <s v="IPX7"/>
    <n v="7.8"/>
    <m/>
    <x v="2"/>
    <x v="12"/>
    <x v="0"/>
    <n v="74.2"/>
  </r>
  <r>
    <x v="1"/>
    <x v="26"/>
    <x v="9"/>
    <x v="26"/>
    <x v="1"/>
    <x v="168"/>
    <n v="51.4"/>
    <n v="96.13"/>
    <n v="96.07"/>
    <n v="82.1"/>
    <s v="5ATM"/>
    <n v="6.9"/>
    <n v="2.1"/>
    <x v="3"/>
    <x v="1"/>
    <x v="2"/>
    <n v="60.2"/>
  </r>
  <r>
    <x v="2"/>
    <x v="3"/>
    <x v="2"/>
    <x v="3"/>
    <x v="2"/>
    <x v="169"/>
    <n v="230.5"/>
    <n v="94.12"/>
    <n v="95.42"/>
    <n v="77.180000000000007"/>
    <s v="IP68"/>
    <n v="8.6"/>
    <n v="2.4"/>
    <x v="0"/>
    <x v="12"/>
    <x v="0"/>
    <n v="63.9"/>
  </r>
  <r>
    <x v="2"/>
    <x v="9"/>
    <x v="6"/>
    <x v="9"/>
    <x v="3"/>
    <x v="9"/>
    <n v="154.19999999999999"/>
    <n v="89.18"/>
    <n v="96.78"/>
    <n v="78.2"/>
    <s v="3ATM"/>
    <n v="7"/>
    <m/>
    <x v="2"/>
    <x v="13"/>
    <x v="2"/>
    <n v="70.5"/>
  </r>
  <r>
    <x v="2"/>
    <x v="12"/>
    <x v="8"/>
    <x v="12"/>
    <x v="1"/>
    <x v="170"/>
    <n v="27.2"/>
    <n v="92.27"/>
    <n v="93.95"/>
    <n v="75.39"/>
    <s v="5ATM"/>
    <n v="9.4"/>
    <n v="2.5"/>
    <x v="1"/>
    <x v="1"/>
    <x v="2"/>
    <n v="61.5"/>
  </r>
  <r>
    <x v="2"/>
    <x v="14"/>
    <x v="9"/>
    <x v="14"/>
    <x v="2"/>
    <x v="171"/>
    <n v="106.9"/>
    <n v="96.97"/>
    <n v="95"/>
    <n v="73.56"/>
    <s v="IP68"/>
    <n v="7.7"/>
    <n v="4.3"/>
    <x v="2"/>
    <x v="10"/>
    <x v="0"/>
    <n v="59.7"/>
  </r>
  <r>
    <x v="2"/>
    <x v="8"/>
    <x v="3"/>
    <x v="8"/>
    <x v="1"/>
    <x v="172"/>
    <n v="53.2"/>
    <n v="94.8"/>
    <n v="98.02"/>
    <n v="79.36"/>
    <s v="IPX8"/>
    <n v="9.4"/>
    <n v="2.4"/>
    <x v="1"/>
    <x v="3"/>
    <x v="2"/>
    <n v="63.8"/>
  </r>
  <r>
    <x v="2"/>
    <x v="0"/>
    <x v="0"/>
    <x v="0"/>
    <x v="0"/>
    <x v="173"/>
    <n v="109.4"/>
    <n v="91.28"/>
    <n v="93.73"/>
    <n v="77.45"/>
    <s v="IPX7"/>
    <n v="6.1"/>
    <m/>
    <x v="0"/>
    <x v="0"/>
    <x v="0"/>
    <n v="67.3"/>
  </r>
  <r>
    <x v="2"/>
    <x v="20"/>
    <x v="0"/>
    <x v="20"/>
    <x v="2"/>
    <x v="174"/>
    <n v="152"/>
    <n v="95.75"/>
    <n v="96.45"/>
    <n v="78.83"/>
    <s v="IPX8"/>
    <n v="7.7"/>
    <n v="2.8"/>
    <x v="2"/>
    <x v="10"/>
    <x v="0"/>
    <n v="62.5"/>
  </r>
  <r>
    <x v="2"/>
    <x v="3"/>
    <x v="2"/>
    <x v="3"/>
    <x v="2"/>
    <x v="175"/>
    <n v="224.7"/>
    <n v="97.6"/>
    <n v="93.3"/>
    <n v="79.290000000000006"/>
    <s v="5ATM"/>
    <n v="8.5"/>
    <n v="3.2"/>
    <x v="2"/>
    <x v="1"/>
    <x v="0"/>
    <n v="63.7"/>
  </r>
  <r>
    <x v="2"/>
    <x v="9"/>
    <x v="6"/>
    <x v="9"/>
    <x v="3"/>
    <x v="9"/>
    <n v="153.1"/>
    <n v="85.35"/>
    <n v="94.9"/>
    <n v="72.69"/>
    <s v="IPX7"/>
    <n v="6"/>
    <m/>
    <x v="2"/>
    <x v="11"/>
    <x v="0"/>
    <n v="66.2"/>
  </r>
  <r>
    <x v="2"/>
    <x v="22"/>
    <x v="8"/>
    <x v="22"/>
    <x v="1"/>
    <x v="176"/>
    <n v="36.5"/>
    <n v="94.22"/>
    <n v="95.14"/>
    <n v="84.08"/>
    <s v="IP68"/>
    <n v="6.7"/>
    <n v="4.4000000000000004"/>
    <x v="3"/>
    <x v="3"/>
    <x v="2"/>
    <n v="57.9"/>
  </r>
  <r>
    <x v="2"/>
    <x v="1"/>
    <x v="1"/>
    <x v="1"/>
    <x v="1"/>
    <x v="177"/>
    <n v="35.299999999999997"/>
    <n v="92.84"/>
    <n v="96.06"/>
    <n v="79.97"/>
    <s v="IPX8"/>
    <n v="8.4"/>
    <n v="3"/>
    <x v="1"/>
    <x v="1"/>
    <x v="1"/>
    <n v="60.8"/>
  </r>
  <r>
    <x v="2"/>
    <x v="1"/>
    <x v="1"/>
    <x v="1"/>
    <x v="1"/>
    <x v="178"/>
    <n v="63.6"/>
    <n v="96.68"/>
    <n v="97.35"/>
    <n v="84.55"/>
    <s v="IPX8"/>
    <n v="9.3000000000000007"/>
    <n v="4.7"/>
    <x v="3"/>
    <x v="5"/>
    <x v="1"/>
    <n v="63.4"/>
  </r>
  <r>
    <x v="2"/>
    <x v="16"/>
    <x v="4"/>
    <x v="16"/>
    <x v="1"/>
    <x v="179"/>
    <n v="595.5"/>
    <n v="94.15"/>
    <n v="99.49"/>
    <n v="79.150000000000006"/>
    <s v="5ATM"/>
    <n v="9.5"/>
    <n v="4.3"/>
    <x v="1"/>
    <x v="3"/>
    <x v="0"/>
    <n v="65.099999999999994"/>
  </r>
  <r>
    <x v="2"/>
    <x v="8"/>
    <x v="3"/>
    <x v="8"/>
    <x v="1"/>
    <x v="180"/>
    <n v="28.1"/>
    <n v="97.58"/>
    <n v="96.98"/>
    <n v="79.569999999999993"/>
    <s v="5ATM"/>
    <n v="9.1"/>
    <n v="1.9"/>
    <x v="1"/>
    <x v="6"/>
    <x v="2"/>
    <n v="63.5"/>
  </r>
  <r>
    <x v="2"/>
    <x v="25"/>
    <x v="5"/>
    <x v="25"/>
    <x v="2"/>
    <x v="181"/>
    <n v="141.4"/>
    <n v="94.32"/>
    <n v="95.05"/>
    <n v="74.97"/>
    <s v="5ATM"/>
    <n v="8.5"/>
    <n v="3.3"/>
    <x v="0"/>
    <x v="12"/>
    <x v="2"/>
    <n v="62.2"/>
  </r>
  <r>
    <x v="2"/>
    <x v="1"/>
    <x v="1"/>
    <x v="1"/>
    <x v="1"/>
    <x v="182"/>
    <n v="48.9"/>
    <n v="95.86"/>
    <n v="98.23"/>
    <n v="83.39"/>
    <s v="5ATM"/>
    <n v="8.5"/>
    <n v="1.5"/>
    <x v="3"/>
    <x v="4"/>
    <x v="1"/>
    <n v="63.7"/>
  </r>
  <r>
    <x v="2"/>
    <x v="1"/>
    <x v="1"/>
    <x v="1"/>
    <x v="1"/>
    <x v="183"/>
    <n v="38.1"/>
    <n v="96.21"/>
    <n v="97.66"/>
    <n v="75.739999999999995"/>
    <s v="IP68"/>
    <n v="9.3000000000000007"/>
    <n v="1.6"/>
    <x v="1"/>
    <x v="6"/>
    <x v="1"/>
    <n v="63.5"/>
  </r>
  <r>
    <x v="2"/>
    <x v="3"/>
    <x v="2"/>
    <x v="3"/>
    <x v="1"/>
    <x v="184"/>
    <n v="65.900000000000006"/>
    <n v="92.7"/>
    <n v="94.54"/>
    <n v="79.44"/>
    <s v="5ATM"/>
    <n v="7.9"/>
    <n v="1.5"/>
    <x v="3"/>
    <x v="9"/>
    <x v="0"/>
    <n v="61.3"/>
  </r>
  <r>
    <x v="2"/>
    <x v="21"/>
    <x v="1"/>
    <x v="21"/>
    <x v="1"/>
    <x v="185"/>
    <n v="69.3"/>
    <n v="97.35"/>
    <n v="97.78"/>
    <n v="75.73"/>
    <s v="5ATM"/>
    <n v="7.7"/>
    <n v="3.5"/>
    <x v="3"/>
    <x v="1"/>
    <x v="1"/>
    <n v="60.4"/>
  </r>
  <r>
    <x v="2"/>
    <x v="10"/>
    <x v="7"/>
    <x v="10"/>
    <x v="4"/>
    <x v="186"/>
    <n v="189.4"/>
    <n v="88.42"/>
    <n v="95.47"/>
    <n v="85.11"/>
    <s v="IPX8"/>
    <n v="9.3000000000000007"/>
    <m/>
    <x v="2"/>
    <x v="8"/>
    <x v="0"/>
    <n v="76.400000000000006"/>
  </r>
  <r>
    <x v="2"/>
    <x v="10"/>
    <x v="7"/>
    <x v="10"/>
    <x v="4"/>
    <x v="187"/>
    <n v="170.2"/>
    <n v="90.7"/>
    <n v="93.73"/>
    <n v="87.81"/>
    <s v="IPX8"/>
    <n v="8.4"/>
    <m/>
    <x v="2"/>
    <x v="12"/>
    <x v="0"/>
    <n v="75.2"/>
  </r>
  <r>
    <x v="2"/>
    <x v="16"/>
    <x v="4"/>
    <x v="16"/>
    <x v="1"/>
    <x v="188"/>
    <n v="633"/>
    <n v="94.92"/>
    <n v="98.13"/>
    <n v="84.47"/>
    <s v="IPX8"/>
    <n v="8.8000000000000007"/>
    <n v="3.2"/>
    <x v="3"/>
    <x v="3"/>
    <x v="0"/>
    <n v="65.5"/>
  </r>
  <r>
    <x v="2"/>
    <x v="24"/>
    <x v="2"/>
    <x v="24"/>
    <x v="1"/>
    <x v="189"/>
    <n v="55.8"/>
    <n v="93.01"/>
    <n v="95.59"/>
    <n v="81.08"/>
    <s v="IP68"/>
    <n v="7.3"/>
    <n v="2.7"/>
    <x v="3"/>
    <x v="6"/>
    <x v="0"/>
    <n v="59.8"/>
  </r>
  <r>
    <x v="2"/>
    <x v="10"/>
    <x v="7"/>
    <x v="10"/>
    <x v="4"/>
    <x v="190"/>
    <n v="188.8"/>
    <n v="91.67"/>
    <n v="95.73"/>
    <n v="86.89"/>
    <s v="IPX7"/>
    <n v="7.1"/>
    <m/>
    <x v="2"/>
    <x v="8"/>
    <x v="0"/>
    <n v="73.099999999999994"/>
  </r>
  <r>
    <x v="2"/>
    <x v="1"/>
    <x v="1"/>
    <x v="1"/>
    <x v="1"/>
    <x v="191"/>
    <n v="28.2"/>
    <n v="92.54"/>
    <n v="98.23"/>
    <n v="82.48"/>
    <s v="IP68"/>
    <n v="8.8000000000000007"/>
    <n v="3.7"/>
    <x v="3"/>
    <x v="1"/>
    <x v="1"/>
    <n v="61.6"/>
  </r>
  <r>
    <x v="2"/>
    <x v="25"/>
    <x v="5"/>
    <x v="25"/>
    <x v="2"/>
    <x v="192"/>
    <n v="227"/>
    <n v="97.71"/>
    <n v="96.1"/>
    <n v="76.62"/>
    <s v="IP68"/>
    <n v="9.1999999999999993"/>
    <n v="3.5"/>
    <x v="0"/>
    <x v="12"/>
    <x v="0"/>
    <n v="64.7"/>
  </r>
  <r>
    <x v="2"/>
    <x v="12"/>
    <x v="8"/>
    <x v="12"/>
    <x v="1"/>
    <x v="193"/>
    <n v="65.900000000000006"/>
    <n v="92.14"/>
    <n v="96.18"/>
    <n v="81.569999999999993"/>
    <s v="IP68"/>
    <n v="8.9"/>
    <n v="4.5"/>
    <x v="3"/>
    <x v="7"/>
    <x v="0"/>
    <n v="61.5"/>
  </r>
  <r>
    <x v="2"/>
    <x v="23"/>
    <x v="8"/>
    <x v="23"/>
    <x v="1"/>
    <x v="194"/>
    <n v="31.4"/>
    <n v="97.83"/>
    <n v="96.01"/>
    <n v="83.75"/>
    <s v="IPX8"/>
    <n v="9.1"/>
    <n v="2.6"/>
    <x v="1"/>
    <x v="6"/>
    <x v="0"/>
    <n v="63.7"/>
  </r>
  <r>
    <x v="2"/>
    <x v="9"/>
    <x v="6"/>
    <x v="9"/>
    <x v="3"/>
    <x v="9"/>
    <n v="164.3"/>
    <n v="86.52"/>
    <n v="95.25"/>
    <n v="78.09"/>
    <s v="IPX4"/>
    <n v="7.3"/>
    <m/>
    <x v="2"/>
    <x v="8"/>
    <x v="2"/>
    <n v="70.5"/>
  </r>
  <r>
    <x v="2"/>
    <x v="4"/>
    <x v="3"/>
    <x v="4"/>
    <x v="1"/>
    <x v="195"/>
    <n v="34.9"/>
    <n v="96.29"/>
    <n v="97.86"/>
    <n v="82.83"/>
    <s v="IP68"/>
    <n v="7.5"/>
    <n v="2.2999999999999998"/>
    <x v="3"/>
    <x v="1"/>
    <x v="2"/>
    <n v="61.2"/>
  </r>
  <r>
    <x v="2"/>
    <x v="24"/>
    <x v="2"/>
    <x v="24"/>
    <x v="1"/>
    <x v="196"/>
    <n v="29.5"/>
    <n v="92.49"/>
    <n v="95.91"/>
    <n v="78.98"/>
    <s v="IPX8"/>
    <n v="7.2"/>
    <n v="2.8"/>
    <x v="3"/>
    <x v="5"/>
    <x v="0"/>
    <n v="58.6"/>
  </r>
  <r>
    <x v="2"/>
    <x v="1"/>
    <x v="1"/>
    <x v="1"/>
    <x v="1"/>
    <x v="197"/>
    <n v="69"/>
    <n v="92.88"/>
    <n v="96.26"/>
    <n v="82.62"/>
    <s v="IPX8"/>
    <n v="8.1999999999999993"/>
    <n v="3.8"/>
    <x v="1"/>
    <x v="6"/>
    <x v="1"/>
    <n v="61.1"/>
  </r>
  <r>
    <x v="2"/>
    <x v="21"/>
    <x v="1"/>
    <x v="21"/>
    <x v="1"/>
    <x v="198"/>
    <n v="63.1"/>
    <n v="94.08"/>
    <n v="96.83"/>
    <n v="82.91"/>
    <s v="5ATM"/>
    <n v="9.1999999999999993"/>
    <n v="4"/>
    <x v="1"/>
    <x v="5"/>
    <x v="1"/>
    <n v="62.9"/>
  </r>
  <r>
    <x v="2"/>
    <x v="22"/>
    <x v="8"/>
    <x v="22"/>
    <x v="1"/>
    <x v="199"/>
    <n v="37.4"/>
    <n v="93.96"/>
    <n v="94.47"/>
    <n v="78.069999999999993"/>
    <s v="5ATM"/>
    <n v="7.3"/>
    <n v="1.6"/>
    <x v="3"/>
    <x v="10"/>
    <x v="2"/>
    <n v="59.6"/>
  </r>
  <r>
    <x v="2"/>
    <x v="25"/>
    <x v="5"/>
    <x v="25"/>
    <x v="2"/>
    <x v="200"/>
    <n v="236.6"/>
    <n v="96.25"/>
    <n v="94.09"/>
    <n v="76.62"/>
    <s v="IPX8"/>
    <n v="7.5"/>
    <n v="3.1"/>
    <x v="2"/>
    <x v="0"/>
    <x v="2"/>
    <n v="61.6"/>
  </r>
  <r>
    <x v="2"/>
    <x v="17"/>
    <x v="3"/>
    <x v="17"/>
    <x v="1"/>
    <x v="201"/>
    <n v="61.1"/>
    <n v="96.13"/>
    <n v="97.66"/>
    <n v="82.65"/>
    <s v="IP68"/>
    <n v="8.5"/>
    <n v="2.2000000000000002"/>
    <x v="3"/>
    <x v="5"/>
    <x v="2"/>
    <n v="63.3"/>
  </r>
  <r>
    <x v="2"/>
    <x v="9"/>
    <x v="6"/>
    <x v="9"/>
    <x v="3"/>
    <x v="9"/>
    <n v="134.9"/>
    <n v="90.21"/>
    <n v="95.11"/>
    <n v="70.040000000000006"/>
    <s v="IPX4"/>
    <n v="7"/>
    <m/>
    <x v="2"/>
    <x v="13"/>
    <x v="0"/>
    <n v="68.3"/>
  </r>
  <r>
    <x v="2"/>
    <x v="9"/>
    <x v="6"/>
    <x v="9"/>
    <x v="3"/>
    <x v="9"/>
    <n v="144.6"/>
    <n v="88.54"/>
    <n v="96.56"/>
    <n v="78.12"/>
    <s v="3ATM"/>
    <n v="6.1"/>
    <m/>
    <x v="2"/>
    <x v="8"/>
    <x v="0"/>
    <n v="68.3"/>
  </r>
  <r>
    <x v="2"/>
    <x v="5"/>
    <x v="4"/>
    <x v="5"/>
    <x v="2"/>
    <x v="202"/>
    <n v="386.7"/>
    <n v="95.45"/>
    <n v="98.17"/>
    <n v="72.5"/>
    <s v="IP68"/>
    <n v="8.5"/>
    <n v="4.4000000000000004"/>
    <x v="0"/>
    <x v="6"/>
    <x v="0"/>
    <n v="62.3"/>
  </r>
  <r>
    <x v="2"/>
    <x v="28"/>
    <x v="4"/>
    <x v="28"/>
    <x v="1"/>
    <x v="203"/>
    <n v="994.2"/>
    <n v="92.38"/>
    <n v="98.3"/>
    <n v="76.430000000000007"/>
    <s v="10ATM"/>
    <n v="8.9"/>
    <n v="3.7"/>
    <x v="1"/>
    <x v="1"/>
    <x v="0"/>
    <n v="63.6"/>
  </r>
  <r>
    <x v="2"/>
    <x v="1"/>
    <x v="1"/>
    <x v="1"/>
    <x v="1"/>
    <x v="204"/>
    <n v="30.1"/>
    <n v="97.79"/>
    <n v="97.03"/>
    <n v="77.739999999999995"/>
    <s v="5ATM"/>
    <n v="7.2"/>
    <n v="4.5"/>
    <x v="1"/>
    <x v="10"/>
    <x v="1"/>
    <n v="58.4"/>
  </r>
  <r>
    <x v="2"/>
    <x v="17"/>
    <x v="3"/>
    <x v="17"/>
    <x v="1"/>
    <x v="205"/>
    <n v="62.7"/>
    <n v="92.49"/>
    <n v="96.16"/>
    <n v="83.89"/>
    <s v="IPX8"/>
    <n v="8.3000000000000007"/>
    <n v="1.8"/>
    <x v="3"/>
    <x v="4"/>
    <x v="2"/>
    <n v="62.6"/>
  </r>
  <r>
    <x v="2"/>
    <x v="4"/>
    <x v="3"/>
    <x v="4"/>
    <x v="1"/>
    <x v="206"/>
    <n v="27.7"/>
    <n v="93.09"/>
    <n v="96.98"/>
    <n v="75.83"/>
    <s v="IP68"/>
    <n v="8.4"/>
    <n v="3.6"/>
    <x v="1"/>
    <x v="7"/>
    <x v="2"/>
    <n v="59.8"/>
  </r>
  <r>
    <x v="2"/>
    <x v="10"/>
    <x v="7"/>
    <x v="10"/>
    <x v="4"/>
    <x v="207"/>
    <n v="170.1"/>
    <n v="90.27"/>
    <n v="93.14"/>
    <n v="88.16"/>
    <s v="IPX7"/>
    <n v="8.1"/>
    <m/>
    <x v="2"/>
    <x v="11"/>
    <x v="0"/>
    <n v="74.5"/>
  </r>
  <r>
    <x v="2"/>
    <x v="14"/>
    <x v="9"/>
    <x v="14"/>
    <x v="2"/>
    <x v="208"/>
    <n v="125.4"/>
    <n v="93.63"/>
    <n v="95.88"/>
    <n v="71.400000000000006"/>
    <s v="IP68"/>
    <n v="7.3"/>
    <n v="2.5"/>
    <x v="2"/>
    <x v="0"/>
    <x v="0"/>
    <n v="59.8"/>
  </r>
  <r>
    <x v="2"/>
    <x v="8"/>
    <x v="3"/>
    <x v="8"/>
    <x v="1"/>
    <x v="209"/>
    <n v="68.900000000000006"/>
    <n v="93"/>
    <n v="97.17"/>
    <n v="80.430000000000007"/>
    <s v="IPX8"/>
    <n v="9.4"/>
    <n v="2.5"/>
    <x v="3"/>
    <x v="9"/>
    <x v="2"/>
    <n v="63.8"/>
  </r>
  <r>
    <x v="2"/>
    <x v="18"/>
    <x v="4"/>
    <x v="18"/>
    <x v="2"/>
    <x v="210"/>
    <n v="448.3"/>
    <n v="93.83"/>
    <n v="99.17"/>
    <n v="70.010000000000005"/>
    <s v="5ATM"/>
    <n v="7.3"/>
    <n v="3.8"/>
    <x v="0"/>
    <x v="12"/>
    <x v="0"/>
    <n v="60.1"/>
  </r>
  <r>
    <x v="2"/>
    <x v="22"/>
    <x v="8"/>
    <x v="22"/>
    <x v="1"/>
    <x v="211"/>
    <n v="49.1"/>
    <n v="96.81"/>
    <n v="93.6"/>
    <n v="78.16"/>
    <s v="5ATM"/>
    <n v="9.3000000000000007"/>
    <n v="2"/>
    <x v="3"/>
    <x v="9"/>
    <x v="2"/>
    <n v="63.2"/>
  </r>
  <r>
    <x v="2"/>
    <x v="7"/>
    <x v="4"/>
    <x v="7"/>
    <x v="2"/>
    <x v="212"/>
    <n v="664.1"/>
    <n v="96.26"/>
    <n v="98.17"/>
    <n v="72.849999999999994"/>
    <s v="10ATM"/>
    <n v="6.8"/>
    <n v="4.0999999999999996"/>
    <x v="0"/>
    <x v="12"/>
    <x v="0"/>
    <n v="59.8"/>
  </r>
  <r>
    <x v="2"/>
    <x v="0"/>
    <x v="0"/>
    <x v="0"/>
    <x v="0"/>
    <x v="213"/>
    <n v="157.4"/>
    <n v="94.87"/>
    <n v="95.54"/>
    <n v="77.94"/>
    <s v="IPX7"/>
    <n v="7.8"/>
    <m/>
    <x v="0"/>
    <x v="1"/>
    <x v="0"/>
    <n v="73"/>
  </r>
  <r>
    <x v="2"/>
    <x v="0"/>
    <x v="0"/>
    <x v="0"/>
    <x v="0"/>
    <x v="214"/>
    <n v="74.400000000000006"/>
    <n v="88.87"/>
    <n v="94.59"/>
    <n v="73.540000000000006"/>
    <s v="3ATM"/>
    <n v="6.4"/>
    <m/>
    <x v="0"/>
    <x v="10"/>
    <x v="0"/>
    <n v="66"/>
  </r>
  <r>
    <x v="2"/>
    <x v="26"/>
    <x v="9"/>
    <x v="26"/>
    <x v="1"/>
    <x v="215"/>
    <n v="59.5"/>
    <n v="93.91"/>
    <n v="93.49"/>
    <n v="80.760000000000005"/>
    <s v="IP68"/>
    <n v="8.1999999999999993"/>
    <n v="2.2999999999999998"/>
    <x v="1"/>
    <x v="6"/>
    <x v="0"/>
    <n v="61.3"/>
  </r>
  <r>
    <x v="2"/>
    <x v="21"/>
    <x v="1"/>
    <x v="21"/>
    <x v="1"/>
    <x v="216"/>
    <n v="34.200000000000003"/>
    <n v="97.78"/>
    <n v="96.34"/>
    <n v="77.58"/>
    <s v="IPX8"/>
    <n v="8.5"/>
    <n v="2.5"/>
    <x v="3"/>
    <x v="6"/>
    <x v="1"/>
    <n v="61.8"/>
  </r>
  <r>
    <x v="2"/>
    <x v="11"/>
    <x v="1"/>
    <x v="11"/>
    <x v="1"/>
    <x v="217"/>
    <n v="40.200000000000003"/>
    <n v="97.07"/>
    <n v="96.19"/>
    <n v="81.7"/>
    <s v="IP68"/>
    <n v="8"/>
    <n v="4.5999999999999996"/>
    <x v="3"/>
    <x v="5"/>
    <x v="1"/>
    <n v="60.2"/>
  </r>
  <r>
    <x v="2"/>
    <x v="10"/>
    <x v="7"/>
    <x v="10"/>
    <x v="4"/>
    <x v="218"/>
    <n v="181.4"/>
    <n v="87.13"/>
    <n v="93.49"/>
    <n v="88.93"/>
    <s v="IPX7"/>
    <n v="7"/>
    <m/>
    <x v="2"/>
    <x v="8"/>
    <x v="2"/>
    <n v="71.900000000000006"/>
  </r>
  <r>
    <x v="2"/>
    <x v="14"/>
    <x v="9"/>
    <x v="14"/>
    <x v="2"/>
    <x v="219"/>
    <n v="193.1"/>
    <n v="95.61"/>
    <n v="93.75"/>
    <n v="77.260000000000005"/>
    <s v="IPX8"/>
    <n v="7.6"/>
    <n v="2.7"/>
    <x v="0"/>
    <x v="6"/>
    <x v="0"/>
    <n v="62"/>
  </r>
  <r>
    <x v="2"/>
    <x v="26"/>
    <x v="9"/>
    <x v="26"/>
    <x v="2"/>
    <x v="220"/>
    <n v="157.9"/>
    <n v="95.42"/>
    <n v="95.29"/>
    <n v="70.94"/>
    <s v="IPX8"/>
    <n v="7.5"/>
    <n v="2"/>
    <x v="2"/>
    <x v="6"/>
    <x v="2"/>
    <n v="61.2"/>
  </r>
  <r>
    <x v="2"/>
    <x v="4"/>
    <x v="3"/>
    <x v="4"/>
    <x v="1"/>
    <x v="221"/>
    <n v="27.7"/>
    <n v="95.51"/>
    <n v="98.24"/>
    <n v="80.459999999999994"/>
    <s v="IPX8"/>
    <n v="8.6"/>
    <n v="3.1"/>
    <x v="1"/>
    <x v="5"/>
    <x v="2"/>
    <n v="61.9"/>
  </r>
  <r>
    <x v="2"/>
    <x v="10"/>
    <x v="7"/>
    <x v="10"/>
    <x v="4"/>
    <x v="222"/>
    <n v="183.6"/>
    <n v="90.13"/>
    <n v="96.85"/>
    <n v="87.03"/>
    <s v="IPX7"/>
    <n v="8.5"/>
    <m/>
    <x v="2"/>
    <x v="0"/>
    <x v="0"/>
    <n v="75.8"/>
  </r>
  <r>
    <x v="2"/>
    <x v="11"/>
    <x v="1"/>
    <x v="11"/>
    <x v="1"/>
    <x v="223"/>
    <n v="65.5"/>
    <n v="97.11"/>
    <n v="98.47"/>
    <n v="76.25"/>
    <s v="IP68"/>
    <n v="8.5"/>
    <n v="4.8"/>
    <x v="1"/>
    <x v="4"/>
    <x v="1"/>
    <n v="60.9"/>
  </r>
  <r>
    <x v="2"/>
    <x v="5"/>
    <x v="4"/>
    <x v="5"/>
    <x v="2"/>
    <x v="224"/>
    <n v="551"/>
    <n v="95.37"/>
    <n v="99.15"/>
    <n v="77.650000000000006"/>
    <s v="IP68"/>
    <n v="7.7"/>
    <n v="3.9"/>
    <x v="2"/>
    <x v="1"/>
    <x v="0"/>
    <n v="62.3"/>
  </r>
  <r>
    <x v="2"/>
    <x v="16"/>
    <x v="4"/>
    <x v="16"/>
    <x v="2"/>
    <x v="225"/>
    <n v="409"/>
    <n v="93.31"/>
    <n v="99.35"/>
    <n v="72.790000000000006"/>
    <s v="IPX8"/>
    <n v="8.9"/>
    <n v="3.8"/>
    <x v="2"/>
    <x v="10"/>
    <x v="0"/>
    <n v="63.2"/>
  </r>
  <r>
    <x v="2"/>
    <x v="9"/>
    <x v="6"/>
    <x v="9"/>
    <x v="3"/>
    <x v="9"/>
    <n v="130.1"/>
    <n v="87.28"/>
    <n v="93.93"/>
    <n v="78.72"/>
    <s v="IPX7"/>
    <n v="7.3"/>
    <m/>
    <x v="2"/>
    <x v="0"/>
    <x v="0"/>
    <n v="69.7"/>
  </r>
  <r>
    <x v="2"/>
    <x v="25"/>
    <x v="5"/>
    <x v="25"/>
    <x v="2"/>
    <x v="226"/>
    <n v="206.8"/>
    <n v="93.53"/>
    <n v="95.34"/>
    <n v="74.61"/>
    <s v="IP68"/>
    <n v="8.1"/>
    <n v="4.0999999999999996"/>
    <x v="2"/>
    <x v="12"/>
    <x v="0"/>
    <n v="61.3"/>
  </r>
  <r>
    <x v="2"/>
    <x v="9"/>
    <x v="6"/>
    <x v="9"/>
    <x v="3"/>
    <x v="9"/>
    <n v="145.6"/>
    <n v="91.49"/>
    <n v="96.62"/>
    <n v="77.41"/>
    <s v="IPX7"/>
    <n v="7.3"/>
    <m/>
    <x v="2"/>
    <x v="8"/>
    <x v="2"/>
    <n v="71.2"/>
  </r>
  <r>
    <x v="2"/>
    <x v="10"/>
    <x v="7"/>
    <x v="10"/>
    <x v="4"/>
    <x v="227"/>
    <n v="190.5"/>
    <n v="85.72"/>
    <n v="93.9"/>
    <n v="90.78"/>
    <s v="IPX7"/>
    <n v="8.1999999999999993"/>
    <m/>
    <x v="2"/>
    <x v="0"/>
    <x v="0"/>
    <n v="74.5"/>
  </r>
  <r>
    <x v="2"/>
    <x v="5"/>
    <x v="4"/>
    <x v="5"/>
    <x v="1"/>
    <x v="228"/>
    <n v="620"/>
    <n v="93.4"/>
    <n v="98.07"/>
    <n v="75.790000000000006"/>
    <s v="IPX8"/>
    <n v="7.3"/>
    <n v="2.2000000000000002"/>
    <x v="3"/>
    <x v="7"/>
    <x v="0"/>
    <n v="61.9"/>
  </r>
  <r>
    <x v="2"/>
    <x v="22"/>
    <x v="8"/>
    <x v="22"/>
    <x v="1"/>
    <x v="229"/>
    <n v="31.2"/>
    <n v="94.88"/>
    <n v="93.85"/>
    <n v="81.64"/>
    <s v="IPX8"/>
    <n v="7.7"/>
    <n v="1.8"/>
    <x v="1"/>
    <x v="6"/>
    <x v="2"/>
    <n v="60.6"/>
  </r>
  <r>
    <x v="2"/>
    <x v="10"/>
    <x v="7"/>
    <x v="10"/>
    <x v="4"/>
    <x v="230"/>
    <n v="176.3"/>
    <n v="87.67"/>
    <n v="94.96"/>
    <n v="90.07"/>
    <s v="IPX8"/>
    <n v="7.1"/>
    <m/>
    <x v="2"/>
    <x v="0"/>
    <x v="0"/>
    <n v="72.7"/>
  </r>
  <r>
    <x v="2"/>
    <x v="25"/>
    <x v="5"/>
    <x v="25"/>
    <x v="1"/>
    <x v="231"/>
    <n v="51.5"/>
    <n v="96.07"/>
    <n v="95.88"/>
    <n v="81.59"/>
    <s v="5ATM"/>
    <n v="7.9"/>
    <n v="4.7"/>
    <x v="3"/>
    <x v="3"/>
    <x v="0"/>
    <n v="60"/>
  </r>
  <r>
    <x v="2"/>
    <x v="1"/>
    <x v="1"/>
    <x v="1"/>
    <x v="1"/>
    <x v="232"/>
    <n v="47.4"/>
    <n v="93.52"/>
    <n v="97.68"/>
    <n v="79.37"/>
    <s v="IP68"/>
    <n v="7.2"/>
    <n v="3.6"/>
    <x v="1"/>
    <x v="5"/>
    <x v="1"/>
    <n v="59"/>
  </r>
  <r>
    <x v="2"/>
    <x v="24"/>
    <x v="2"/>
    <x v="24"/>
    <x v="1"/>
    <x v="233"/>
    <n v="32.4"/>
    <n v="92.1"/>
    <n v="95.85"/>
    <n v="76.52"/>
    <s v="IPX8"/>
    <n v="8.4"/>
    <n v="5"/>
    <x v="1"/>
    <x v="9"/>
    <x v="0"/>
    <n v="58.7"/>
  </r>
  <r>
    <x v="2"/>
    <x v="21"/>
    <x v="1"/>
    <x v="21"/>
    <x v="1"/>
    <x v="234"/>
    <n v="61.1"/>
    <n v="94.04"/>
    <n v="96.34"/>
    <n v="80.09"/>
    <s v="IPX8"/>
    <n v="8.3000000000000007"/>
    <n v="2.5"/>
    <x v="1"/>
    <x v="4"/>
    <x v="1"/>
    <n v="61.8"/>
  </r>
  <r>
    <x v="2"/>
    <x v="4"/>
    <x v="3"/>
    <x v="4"/>
    <x v="1"/>
    <x v="235"/>
    <n v="26.9"/>
    <n v="93.94"/>
    <n v="97.77"/>
    <n v="78.459999999999994"/>
    <s v="IP68"/>
    <n v="8.3000000000000007"/>
    <n v="4.5"/>
    <x v="1"/>
    <x v="3"/>
    <x v="2"/>
    <n v="59.7"/>
  </r>
  <r>
    <x v="2"/>
    <x v="10"/>
    <x v="7"/>
    <x v="10"/>
    <x v="4"/>
    <x v="236"/>
    <n v="176"/>
    <n v="86.44"/>
    <n v="96.7"/>
    <n v="90.97"/>
    <s v="IPX8"/>
    <n v="7.9"/>
    <m/>
    <x v="2"/>
    <x v="8"/>
    <x v="2"/>
    <n v="74.599999999999994"/>
  </r>
  <r>
    <x v="2"/>
    <x v="23"/>
    <x v="8"/>
    <x v="23"/>
    <x v="1"/>
    <x v="237"/>
    <n v="34.700000000000003"/>
    <n v="93.32"/>
    <n v="96.94"/>
    <n v="75.55"/>
    <s v="5ATM"/>
    <n v="8.5"/>
    <n v="2.2000000000000002"/>
    <x v="1"/>
    <x v="3"/>
    <x v="0"/>
    <n v="61"/>
  </r>
  <r>
    <x v="2"/>
    <x v="21"/>
    <x v="1"/>
    <x v="21"/>
    <x v="1"/>
    <x v="238"/>
    <n v="20.100000000000001"/>
    <n v="96.51"/>
    <n v="96.67"/>
    <n v="81.05"/>
    <s v="5ATM"/>
    <n v="7.3"/>
    <n v="4.5999999999999996"/>
    <x v="1"/>
    <x v="6"/>
    <x v="1"/>
    <n v="58.5"/>
  </r>
  <r>
    <x v="2"/>
    <x v="2"/>
    <x v="0"/>
    <x v="2"/>
    <x v="1"/>
    <x v="239"/>
    <n v="46.1"/>
    <n v="94.48"/>
    <n v="94.1"/>
    <n v="80.569999999999993"/>
    <s v="IP68"/>
    <n v="8.3000000000000007"/>
    <n v="4.7"/>
    <x v="3"/>
    <x v="4"/>
    <x v="0"/>
    <n v="59.8"/>
  </r>
  <r>
    <x v="2"/>
    <x v="23"/>
    <x v="8"/>
    <x v="23"/>
    <x v="1"/>
    <x v="240"/>
    <n v="32.200000000000003"/>
    <n v="97.33"/>
    <n v="96.61"/>
    <n v="84.89"/>
    <s v="IPX8"/>
    <n v="9"/>
    <n v="2.5"/>
    <x v="1"/>
    <x v="1"/>
    <x v="2"/>
    <n v="63.8"/>
  </r>
  <r>
    <x v="2"/>
    <x v="16"/>
    <x v="4"/>
    <x v="16"/>
    <x v="1"/>
    <x v="241"/>
    <n v="435.9"/>
    <n v="93.26"/>
    <n v="98.18"/>
    <n v="80.61"/>
    <s v="IPX8"/>
    <n v="8.3000000000000007"/>
    <n v="1.6"/>
    <x v="3"/>
    <x v="7"/>
    <x v="0"/>
    <n v="64.8"/>
  </r>
  <r>
    <x v="2"/>
    <x v="10"/>
    <x v="7"/>
    <x v="10"/>
    <x v="4"/>
    <x v="242"/>
    <n v="173.6"/>
    <n v="87.24"/>
    <n v="93.09"/>
    <n v="88.09"/>
    <s v="IPX7"/>
    <n v="8.4"/>
    <m/>
    <x v="2"/>
    <x v="0"/>
    <x v="2"/>
    <n v="74.5"/>
  </r>
  <r>
    <x v="2"/>
    <x v="18"/>
    <x v="4"/>
    <x v="18"/>
    <x v="2"/>
    <x v="243"/>
    <n v="657.4"/>
    <n v="93.22"/>
    <n v="99.49"/>
    <n v="72.13"/>
    <s v="IPX8"/>
    <n v="9"/>
    <n v="2.8"/>
    <x v="0"/>
    <x v="6"/>
    <x v="0"/>
    <n v="63.9"/>
  </r>
  <r>
    <x v="2"/>
    <x v="5"/>
    <x v="4"/>
    <x v="5"/>
    <x v="1"/>
    <x v="244"/>
    <n v="700.5"/>
    <n v="97.26"/>
    <n v="99.06"/>
    <n v="82.19"/>
    <s v="5ATM"/>
    <n v="9.1999999999999993"/>
    <n v="1.6"/>
    <x v="1"/>
    <x v="5"/>
    <x v="0"/>
    <n v="67.400000000000006"/>
  </r>
  <r>
    <x v="2"/>
    <x v="15"/>
    <x v="8"/>
    <x v="15"/>
    <x v="1"/>
    <x v="245"/>
    <n v="27.4"/>
    <n v="92.45"/>
    <n v="93.01"/>
    <n v="79.510000000000005"/>
    <s v="IP68"/>
    <n v="7.7"/>
    <n v="1.6"/>
    <x v="1"/>
    <x v="3"/>
    <x v="0"/>
    <n v="59.8"/>
  </r>
  <r>
    <x v="2"/>
    <x v="17"/>
    <x v="3"/>
    <x v="17"/>
    <x v="1"/>
    <x v="246"/>
    <n v="26.3"/>
    <n v="92.96"/>
    <n v="97.7"/>
    <n v="80.959999999999994"/>
    <s v="IPX8"/>
    <n v="8.6"/>
    <n v="5"/>
    <x v="3"/>
    <x v="1"/>
    <x v="2"/>
    <n v="60.1"/>
  </r>
  <r>
    <x v="2"/>
    <x v="21"/>
    <x v="1"/>
    <x v="21"/>
    <x v="1"/>
    <x v="247"/>
    <n v="41.5"/>
    <n v="97.17"/>
    <n v="98.12"/>
    <n v="79.459999999999994"/>
    <s v="5ATM"/>
    <n v="8.1999999999999993"/>
    <n v="1.8"/>
    <x v="3"/>
    <x v="7"/>
    <x v="1"/>
    <n v="62.4"/>
  </r>
  <r>
    <x v="2"/>
    <x v="26"/>
    <x v="9"/>
    <x v="26"/>
    <x v="2"/>
    <x v="248"/>
    <n v="99.2"/>
    <n v="92.67"/>
    <n v="94.71"/>
    <n v="76.849999999999994"/>
    <s v="5ATM"/>
    <n v="7.5"/>
    <n v="4.0999999999999996"/>
    <x v="2"/>
    <x v="6"/>
    <x v="2"/>
    <n v="59.1"/>
  </r>
  <r>
    <x v="2"/>
    <x v="5"/>
    <x v="4"/>
    <x v="5"/>
    <x v="1"/>
    <x v="249"/>
    <n v="634.29999999999995"/>
    <n v="95.89"/>
    <n v="98.72"/>
    <n v="75.55"/>
    <s v="IP68"/>
    <n v="8.1"/>
    <n v="4"/>
    <x v="1"/>
    <x v="10"/>
    <x v="0"/>
    <n v="62.5"/>
  </r>
  <r>
    <x v="2"/>
    <x v="16"/>
    <x v="4"/>
    <x v="16"/>
    <x v="1"/>
    <x v="250"/>
    <n v="610.1"/>
    <n v="96.85"/>
    <n v="98.25"/>
    <n v="79.38"/>
    <s v="IPX8"/>
    <n v="8.5"/>
    <n v="4"/>
    <x v="3"/>
    <x v="3"/>
    <x v="0"/>
    <n v="63.9"/>
  </r>
  <r>
    <x v="3"/>
    <x v="25"/>
    <x v="5"/>
    <x v="25"/>
    <x v="2"/>
    <x v="251"/>
    <n v="190.3"/>
    <n v="97.18"/>
    <n v="94.73"/>
    <n v="71.48"/>
    <s v="5ATM"/>
    <n v="7.1"/>
    <n v="3.4"/>
    <x v="2"/>
    <x v="10"/>
    <x v="2"/>
    <n v="60.1"/>
  </r>
  <r>
    <x v="3"/>
    <x v="14"/>
    <x v="9"/>
    <x v="14"/>
    <x v="2"/>
    <x v="252"/>
    <n v="211.8"/>
    <n v="92.96"/>
    <n v="96.19"/>
    <n v="71.400000000000006"/>
    <s v="5ATM"/>
    <n v="7.6"/>
    <n v="2.9"/>
    <x v="0"/>
    <x v="0"/>
    <x v="2"/>
    <n v="60.8"/>
  </r>
  <r>
    <x v="3"/>
    <x v="9"/>
    <x v="6"/>
    <x v="9"/>
    <x v="3"/>
    <x v="9"/>
    <n v="127.8"/>
    <n v="88.18"/>
    <n v="96.16"/>
    <n v="70.42"/>
    <s v="IPX4"/>
    <n v="7.8"/>
    <m/>
    <x v="2"/>
    <x v="8"/>
    <x v="2"/>
    <n v="69.599999999999994"/>
  </r>
  <r>
    <x v="3"/>
    <x v="1"/>
    <x v="1"/>
    <x v="1"/>
    <x v="1"/>
    <x v="253"/>
    <n v="59.7"/>
    <n v="93.85"/>
    <n v="97.61"/>
    <n v="81.44"/>
    <s v="5ATM"/>
    <n v="8.3000000000000007"/>
    <n v="3.7"/>
    <x v="3"/>
    <x v="1"/>
    <x v="1"/>
    <n v="61.4"/>
  </r>
  <r>
    <x v="3"/>
    <x v="22"/>
    <x v="8"/>
    <x v="22"/>
    <x v="1"/>
    <x v="254"/>
    <n v="29.2"/>
    <n v="92.42"/>
    <n v="94.37"/>
    <n v="81.97"/>
    <s v="IP68"/>
    <n v="8.6999999999999993"/>
    <n v="2.8"/>
    <x v="1"/>
    <x v="7"/>
    <x v="2"/>
    <n v="61.3"/>
  </r>
  <r>
    <x v="3"/>
    <x v="10"/>
    <x v="7"/>
    <x v="10"/>
    <x v="4"/>
    <x v="255"/>
    <n v="177.4"/>
    <n v="87.1"/>
    <n v="94.25"/>
    <n v="86.08"/>
    <s v="IPX8"/>
    <n v="8.6999999999999993"/>
    <m/>
    <x v="2"/>
    <x v="12"/>
    <x v="2"/>
    <n v="74.900000000000006"/>
  </r>
  <r>
    <x v="3"/>
    <x v="25"/>
    <x v="5"/>
    <x v="25"/>
    <x v="2"/>
    <x v="256"/>
    <n v="144.19999999999999"/>
    <n v="97.83"/>
    <n v="94.37"/>
    <n v="76.099999999999994"/>
    <s v="IP68"/>
    <n v="7.9"/>
    <n v="1.6"/>
    <x v="2"/>
    <x v="0"/>
    <x v="0"/>
    <n v="63"/>
  </r>
  <r>
    <x v="3"/>
    <x v="14"/>
    <x v="9"/>
    <x v="14"/>
    <x v="2"/>
    <x v="257"/>
    <n v="203.8"/>
    <n v="92.3"/>
    <n v="95.05"/>
    <n v="78.63"/>
    <s v="IPX8"/>
    <n v="7.6"/>
    <n v="3.2"/>
    <x v="2"/>
    <x v="1"/>
    <x v="0"/>
    <n v="61.5"/>
  </r>
  <r>
    <x v="3"/>
    <x v="20"/>
    <x v="0"/>
    <x v="20"/>
    <x v="2"/>
    <x v="258"/>
    <n v="177.2"/>
    <n v="92.58"/>
    <n v="94.92"/>
    <n v="78.08"/>
    <s v="IP68"/>
    <n v="7.6"/>
    <n v="4.8"/>
    <x v="0"/>
    <x v="12"/>
    <x v="0"/>
    <n v="60.4"/>
  </r>
  <r>
    <x v="3"/>
    <x v="26"/>
    <x v="9"/>
    <x v="26"/>
    <x v="2"/>
    <x v="259"/>
    <n v="210"/>
    <n v="95.24"/>
    <n v="96.67"/>
    <n v="71.25"/>
    <s v="IP68"/>
    <n v="8.1"/>
    <n v="3"/>
    <x v="2"/>
    <x v="0"/>
    <x v="2"/>
    <n v="62"/>
  </r>
  <r>
    <x v="3"/>
    <x v="21"/>
    <x v="1"/>
    <x v="21"/>
    <x v="1"/>
    <x v="260"/>
    <n v="40.200000000000003"/>
    <n v="94.71"/>
    <n v="96.14"/>
    <n v="80.73"/>
    <s v="5ATM"/>
    <n v="7.2"/>
    <n v="4.7"/>
    <x v="3"/>
    <x v="1"/>
    <x v="1"/>
    <n v="58.3"/>
  </r>
  <r>
    <x v="3"/>
    <x v="24"/>
    <x v="2"/>
    <x v="24"/>
    <x v="2"/>
    <x v="261"/>
    <n v="162"/>
    <n v="97.95"/>
    <n v="94.19"/>
    <n v="70.08"/>
    <s v="IP68"/>
    <n v="7.2"/>
    <n v="2.6"/>
    <x v="2"/>
    <x v="0"/>
    <x v="0"/>
    <n v="60.5"/>
  </r>
  <r>
    <x v="3"/>
    <x v="6"/>
    <x v="5"/>
    <x v="6"/>
    <x v="1"/>
    <x v="262"/>
    <n v="71.900000000000006"/>
    <n v="93.44"/>
    <n v="95.2"/>
    <n v="75.75"/>
    <s v="IP68"/>
    <n v="7.7"/>
    <n v="3.7"/>
    <x v="1"/>
    <x v="10"/>
    <x v="2"/>
    <n v="59.2"/>
  </r>
  <r>
    <x v="3"/>
    <x v="28"/>
    <x v="4"/>
    <x v="28"/>
    <x v="1"/>
    <x v="263"/>
    <n v="939.2"/>
    <n v="92.83"/>
    <n v="98.33"/>
    <n v="79.47"/>
    <s v="5ATM"/>
    <n v="9.5"/>
    <n v="2"/>
    <x v="3"/>
    <x v="10"/>
    <x v="0"/>
    <n v="66.3"/>
  </r>
  <r>
    <x v="3"/>
    <x v="3"/>
    <x v="2"/>
    <x v="3"/>
    <x v="1"/>
    <x v="264"/>
    <n v="31.3"/>
    <n v="94.02"/>
    <n v="95.98"/>
    <n v="84.14"/>
    <s v="5ATM"/>
    <n v="7.2"/>
    <n v="4.2"/>
    <x v="3"/>
    <x v="7"/>
    <x v="0"/>
    <n v="58.8"/>
  </r>
  <r>
    <x v="3"/>
    <x v="10"/>
    <x v="7"/>
    <x v="10"/>
    <x v="4"/>
    <x v="265"/>
    <n v="183.9"/>
    <n v="89.05"/>
    <n v="95.56"/>
    <n v="87.53"/>
    <s v="IPX7"/>
    <n v="8.6"/>
    <m/>
    <x v="2"/>
    <x v="8"/>
    <x v="0"/>
    <n v="75.599999999999994"/>
  </r>
  <r>
    <x v="3"/>
    <x v="9"/>
    <x v="6"/>
    <x v="9"/>
    <x v="3"/>
    <x v="9"/>
    <n v="141.5"/>
    <n v="88.41"/>
    <n v="96.26"/>
    <n v="75.489999999999995"/>
    <s v="IPX4"/>
    <n v="6.2"/>
    <m/>
    <x v="2"/>
    <x v="13"/>
    <x v="2"/>
    <n v="67.8"/>
  </r>
  <r>
    <x v="3"/>
    <x v="9"/>
    <x v="6"/>
    <x v="9"/>
    <x v="3"/>
    <x v="9"/>
    <n v="164.9"/>
    <n v="86.11"/>
    <n v="95.91"/>
    <n v="77.45"/>
    <s v="3ATM"/>
    <n v="7"/>
    <m/>
    <x v="2"/>
    <x v="11"/>
    <x v="0"/>
    <n v="69.8"/>
  </r>
  <r>
    <x v="3"/>
    <x v="9"/>
    <x v="6"/>
    <x v="9"/>
    <x v="3"/>
    <x v="9"/>
    <n v="126.3"/>
    <n v="87.85"/>
    <n v="93.99"/>
    <n v="77.03"/>
    <s v="3ATM"/>
    <n v="6.8"/>
    <m/>
    <x v="2"/>
    <x v="13"/>
    <x v="0"/>
    <n v="68.400000000000006"/>
  </r>
  <r>
    <x v="3"/>
    <x v="9"/>
    <x v="6"/>
    <x v="9"/>
    <x v="3"/>
    <x v="9"/>
    <n v="141.30000000000001"/>
    <n v="91.54"/>
    <n v="96.58"/>
    <n v="79.33"/>
    <s v="IPX7"/>
    <n v="6.3"/>
    <m/>
    <x v="2"/>
    <x v="8"/>
    <x v="2"/>
    <n v="69.5"/>
  </r>
  <r>
    <x v="3"/>
    <x v="9"/>
    <x v="6"/>
    <x v="9"/>
    <x v="3"/>
    <x v="9"/>
    <n v="126.8"/>
    <n v="91.3"/>
    <n v="96.61"/>
    <n v="72.53"/>
    <s v="IPX7"/>
    <n v="6.9"/>
    <m/>
    <x v="2"/>
    <x v="0"/>
    <x v="0"/>
    <n v="68.900000000000006"/>
  </r>
  <r>
    <x v="3"/>
    <x v="14"/>
    <x v="9"/>
    <x v="14"/>
    <x v="2"/>
    <x v="266"/>
    <n v="171.4"/>
    <n v="95.24"/>
    <n v="95.58"/>
    <n v="78.33"/>
    <s v="IPX8"/>
    <n v="6.6"/>
    <n v="4.0999999999999996"/>
    <x v="2"/>
    <x v="10"/>
    <x v="2"/>
    <n v="59.8"/>
  </r>
  <r>
    <x v="3"/>
    <x v="4"/>
    <x v="3"/>
    <x v="4"/>
    <x v="1"/>
    <x v="267"/>
    <n v="35.200000000000003"/>
    <n v="96.16"/>
    <n v="97.2"/>
    <n v="80.040000000000006"/>
    <s v="IPX8"/>
    <n v="7.3"/>
    <n v="4.2"/>
    <x v="1"/>
    <x v="7"/>
    <x v="2"/>
    <n v="59"/>
  </r>
  <r>
    <x v="3"/>
    <x v="19"/>
    <x v="9"/>
    <x v="19"/>
    <x v="0"/>
    <x v="268"/>
    <n v="85.6"/>
    <n v="88.08"/>
    <n v="95.99"/>
    <n v="78.11"/>
    <s v="3ATM"/>
    <n v="7.2"/>
    <m/>
    <x v="2"/>
    <x v="2"/>
    <x v="2"/>
    <n v="68.900000000000006"/>
  </r>
  <r>
    <x v="3"/>
    <x v="20"/>
    <x v="0"/>
    <x v="20"/>
    <x v="1"/>
    <x v="269"/>
    <n v="48.6"/>
    <n v="95.22"/>
    <n v="93.64"/>
    <n v="76.2"/>
    <s v="5ATM"/>
    <n v="7.6"/>
    <n v="2.6"/>
    <x v="3"/>
    <x v="5"/>
    <x v="0"/>
    <n v="59.4"/>
  </r>
  <r>
    <x v="3"/>
    <x v="9"/>
    <x v="6"/>
    <x v="9"/>
    <x v="3"/>
    <x v="9"/>
    <n v="124.1"/>
    <n v="87.74"/>
    <n v="95.82"/>
    <n v="78.91"/>
    <s v="3ATM"/>
    <n v="7.7"/>
    <m/>
    <x v="2"/>
    <x v="0"/>
    <x v="0"/>
    <n v="70.8"/>
  </r>
  <r>
    <x v="3"/>
    <x v="7"/>
    <x v="4"/>
    <x v="7"/>
    <x v="1"/>
    <x v="270"/>
    <n v="538.29999999999995"/>
    <n v="94.65"/>
    <n v="99.5"/>
    <n v="83.52"/>
    <s v="5ATM"/>
    <n v="8.8000000000000007"/>
    <n v="4.5"/>
    <x v="3"/>
    <x v="3"/>
    <x v="0"/>
    <n v="64.599999999999994"/>
  </r>
  <r>
    <x v="3"/>
    <x v="17"/>
    <x v="3"/>
    <x v="17"/>
    <x v="1"/>
    <x v="271"/>
    <n v="62.7"/>
    <n v="96.3"/>
    <n v="96.7"/>
    <n v="76.930000000000007"/>
    <s v="IP68"/>
    <n v="7.4"/>
    <n v="2.2999999999999998"/>
    <x v="3"/>
    <x v="1"/>
    <x v="2"/>
    <n v="60.4"/>
  </r>
  <r>
    <x v="3"/>
    <x v="20"/>
    <x v="0"/>
    <x v="20"/>
    <x v="2"/>
    <x v="272"/>
    <n v="155.9"/>
    <n v="94.61"/>
    <n v="96.41"/>
    <n v="74.87"/>
    <s v="IP68"/>
    <n v="7.1"/>
    <n v="4.9000000000000004"/>
    <x v="2"/>
    <x v="2"/>
    <x v="0"/>
    <n v="59.3"/>
  </r>
  <r>
    <x v="3"/>
    <x v="6"/>
    <x v="5"/>
    <x v="6"/>
    <x v="2"/>
    <x v="273"/>
    <n v="141.4"/>
    <n v="94.3"/>
    <n v="95.64"/>
    <n v="77.260000000000005"/>
    <s v="5ATM"/>
    <n v="8.3000000000000007"/>
    <n v="4.0999999999999996"/>
    <x v="2"/>
    <x v="10"/>
    <x v="0"/>
    <n v="61.8"/>
  </r>
  <r>
    <x v="3"/>
    <x v="10"/>
    <x v="7"/>
    <x v="10"/>
    <x v="4"/>
    <x v="274"/>
    <n v="176"/>
    <n v="91.84"/>
    <n v="96.9"/>
    <n v="91.26"/>
    <s v="IPX7"/>
    <n v="8.3000000000000007"/>
    <m/>
    <x v="2"/>
    <x v="12"/>
    <x v="0"/>
    <n v="76.599999999999994"/>
  </r>
  <r>
    <x v="3"/>
    <x v="28"/>
    <x v="4"/>
    <x v="28"/>
    <x v="1"/>
    <x v="275"/>
    <n v="1671.5"/>
    <n v="93.79"/>
    <n v="98.59"/>
    <n v="76.069999999999993"/>
    <s v="5ATM"/>
    <n v="8.6999999999999993"/>
    <n v="4.5999999999999996"/>
    <x v="1"/>
    <x v="5"/>
    <x v="0"/>
    <n v="62.8"/>
  </r>
  <r>
    <x v="3"/>
    <x v="20"/>
    <x v="0"/>
    <x v="20"/>
    <x v="2"/>
    <x v="276"/>
    <n v="139.30000000000001"/>
    <n v="95.91"/>
    <n v="95.92"/>
    <n v="78.790000000000006"/>
    <s v="IP68"/>
    <n v="8.1"/>
    <n v="5"/>
    <x v="2"/>
    <x v="1"/>
    <x v="0"/>
    <n v="61.4"/>
  </r>
  <r>
    <x v="3"/>
    <x v="10"/>
    <x v="7"/>
    <x v="10"/>
    <x v="4"/>
    <x v="277"/>
    <n v="186.5"/>
    <n v="85.33"/>
    <n v="94.41"/>
    <n v="88.19"/>
    <s v="IPX7"/>
    <n v="8.9"/>
    <m/>
    <x v="2"/>
    <x v="11"/>
    <x v="0"/>
    <n v="75.400000000000006"/>
  </r>
  <r>
    <x v="3"/>
    <x v="28"/>
    <x v="4"/>
    <x v="28"/>
    <x v="1"/>
    <x v="278"/>
    <n v="1046"/>
    <n v="97.57"/>
    <n v="98.97"/>
    <n v="81.41"/>
    <s v="10ATM"/>
    <n v="8.4"/>
    <n v="3.5"/>
    <x v="1"/>
    <x v="1"/>
    <x v="0"/>
    <n v="64.7"/>
  </r>
  <r>
    <x v="3"/>
    <x v="7"/>
    <x v="4"/>
    <x v="7"/>
    <x v="1"/>
    <x v="279"/>
    <n v="588"/>
    <n v="92.68"/>
    <n v="99.21"/>
    <n v="79.19"/>
    <s v="10ATM"/>
    <n v="8.4"/>
    <n v="1.7"/>
    <x v="3"/>
    <x v="7"/>
    <x v="0"/>
    <n v="64.7"/>
  </r>
  <r>
    <x v="3"/>
    <x v="3"/>
    <x v="2"/>
    <x v="3"/>
    <x v="1"/>
    <x v="280"/>
    <n v="19.600000000000001"/>
    <n v="96.89"/>
    <n v="93.89"/>
    <n v="83.57"/>
    <s v="5ATM"/>
    <n v="9"/>
    <n v="2.6"/>
    <x v="1"/>
    <x v="6"/>
    <x v="0"/>
    <n v="62.7"/>
  </r>
  <r>
    <x v="3"/>
    <x v="5"/>
    <x v="4"/>
    <x v="5"/>
    <x v="2"/>
    <x v="281"/>
    <n v="281.3"/>
    <n v="97.83"/>
    <n v="98.54"/>
    <n v="78.489999999999995"/>
    <s v="IPX8"/>
    <n v="7.7"/>
    <n v="2.2999999999999998"/>
    <x v="2"/>
    <x v="10"/>
    <x v="0"/>
    <n v="63.8"/>
  </r>
  <r>
    <x v="3"/>
    <x v="10"/>
    <x v="7"/>
    <x v="10"/>
    <x v="4"/>
    <x v="282"/>
    <n v="180.5"/>
    <n v="88.46"/>
    <n v="93.87"/>
    <n v="88.43"/>
    <s v="IPX8"/>
    <n v="7.9"/>
    <m/>
    <x v="2"/>
    <x v="0"/>
    <x v="0"/>
    <n v="74"/>
  </r>
  <r>
    <x v="3"/>
    <x v="10"/>
    <x v="7"/>
    <x v="10"/>
    <x v="4"/>
    <x v="283"/>
    <n v="177.3"/>
    <n v="87.54"/>
    <n v="94.3"/>
    <n v="87.79"/>
    <s v="IPX7"/>
    <n v="8.4"/>
    <m/>
    <x v="2"/>
    <x v="11"/>
    <x v="2"/>
    <n v="74.7"/>
  </r>
  <r>
    <x v="3"/>
    <x v="9"/>
    <x v="6"/>
    <x v="9"/>
    <x v="3"/>
    <x v="9"/>
    <n v="145.80000000000001"/>
    <n v="88.22"/>
    <n v="93.58"/>
    <n v="79.430000000000007"/>
    <s v="IPX4"/>
    <n v="7"/>
    <m/>
    <x v="2"/>
    <x v="0"/>
    <x v="2"/>
    <n v="69.7"/>
  </r>
  <r>
    <x v="3"/>
    <x v="16"/>
    <x v="4"/>
    <x v="16"/>
    <x v="1"/>
    <x v="284"/>
    <n v="662.9"/>
    <n v="92.35"/>
    <n v="99.22"/>
    <n v="82.22"/>
    <s v="IPX8"/>
    <n v="8"/>
    <n v="3.4"/>
    <x v="3"/>
    <x v="6"/>
    <x v="0"/>
    <n v="63.4"/>
  </r>
  <r>
    <x v="3"/>
    <x v="1"/>
    <x v="1"/>
    <x v="1"/>
    <x v="1"/>
    <x v="285"/>
    <n v="39.5"/>
    <n v="94.91"/>
    <n v="96.39"/>
    <n v="78.010000000000005"/>
    <s v="5ATM"/>
    <n v="7.9"/>
    <n v="3.9"/>
    <x v="1"/>
    <x v="6"/>
    <x v="1"/>
    <n v="59.6"/>
  </r>
  <r>
    <x v="3"/>
    <x v="6"/>
    <x v="5"/>
    <x v="6"/>
    <x v="2"/>
    <x v="286"/>
    <n v="146.30000000000001"/>
    <n v="92.24"/>
    <n v="95.19"/>
    <n v="76.680000000000007"/>
    <s v="IPX8"/>
    <n v="8"/>
    <n v="2.2999999999999998"/>
    <x v="2"/>
    <x v="12"/>
    <x v="2"/>
    <n v="62.1"/>
  </r>
  <r>
    <x v="3"/>
    <x v="22"/>
    <x v="8"/>
    <x v="22"/>
    <x v="1"/>
    <x v="287"/>
    <n v="48.3"/>
    <n v="94.94"/>
    <n v="96.16"/>
    <n v="81.849999999999994"/>
    <s v="IP68"/>
    <n v="9.3000000000000007"/>
    <n v="3.8"/>
    <x v="1"/>
    <x v="9"/>
    <x v="0"/>
    <n v="62.8"/>
  </r>
  <r>
    <x v="3"/>
    <x v="10"/>
    <x v="7"/>
    <x v="10"/>
    <x v="4"/>
    <x v="288"/>
    <n v="191.6"/>
    <n v="91.25"/>
    <n v="94.12"/>
    <n v="89.43"/>
    <s v="IPX8"/>
    <n v="9.4"/>
    <m/>
    <x v="2"/>
    <x v="0"/>
    <x v="0"/>
    <n v="77.8"/>
  </r>
  <r>
    <x v="3"/>
    <x v="27"/>
    <x v="9"/>
    <x v="27"/>
    <x v="1"/>
    <x v="289"/>
    <n v="33.1"/>
    <n v="95.85"/>
    <n v="94.6"/>
    <n v="84.81"/>
    <s v="IP68"/>
    <n v="7.5"/>
    <n v="1.6"/>
    <x v="3"/>
    <x v="3"/>
    <x v="2"/>
    <n v="61.3"/>
  </r>
  <r>
    <x v="3"/>
    <x v="10"/>
    <x v="7"/>
    <x v="10"/>
    <x v="4"/>
    <x v="290"/>
    <n v="176.5"/>
    <n v="87.55"/>
    <n v="96.09"/>
    <n v="88.66"/>
    <s v="IPX7"/>
    <n v="7.1"/>
    <m/>
    <x v="2"/>
    <x v="12"/>
    <x v="2"/>
    <n v="72.7"/>
  </r>
  <r>
    <x v="3"/>
    <x v="1"/>
    <x v="1"/>
    <x v="1"/>
    <x v="1"/>
    <x v="291"/>
    <n v="38.5"/>
    <n v="92.47"/>
    <n v="97.54"/>
    <n v="82.19"/>
    <s v="IP68"/>
    <n v="9.5"/>
    <n v="3.2"/>
    <x v="3"/>
    <x v="4"/>
    <x v="1"/>
    <n v="63.2"/>
  </r>
  <r>
    <x v="3"/>
    <x v="9"/>
    <x v="6"/>
    <x v="9"/>
    <x v="3"/>
    <x v="9"/>
    <n v="142.30000000000001"/>
    <n v="85.58"/>
    <n v="95.74"/>
    <n v="71.010000000000005"/>
    <s v="IPX7"/>
    <n v="7.6"/>
    <m/>
    <x v="2"/>
    <x v="13"/>
    <x v="2"/>
    <n v="69.099999999999994"/>
  </r>
  <r>
    <x v="3"/>
    <x v="3"/>
    <x v="2"/>
    <x v="3"/>
    <x v="2"/>
    <x v="292"/>
    <n v="213.8"/>
    <n v="97.83"/>
    <n v="93.45"/>
    <n v="71.790000000000006"/>
    <s v="IPX8"/>
    <n v="8.8000000000000007"/>
    <n v="2.8"/>
    <x v="2"/>
    <x v="12"/>
    <x v="0"/>
    <n v="63.3"/>
  </r>
  <r>
    <x v="3"/>
    <x v="13"/>
    <x v="0"/>
    <x v="13"/>
    <x v="0"/>
    <x v="293"/>
    <n v="138.30000000000001"/>
    <n v="92.55"/>
    <n v="95.85"/>
    <n v="78.17"/>
    <s v="IPX4"/>
    <n v="7.8"/>
    <m/>
    <x v="2"/>
    <x v="12"/>
    <x v="0"/>
    <n v="72.2"/>
  </r>
  <r>
    <x v="3"/>
    <x v="28"/>
    <x v="4"/>
    <x v="28"/>
    <x v="1"/>
    <x v="294"/>
    <n v="760.4"/>
    <n v="96.05"/>
    <n v="99.46"/>
    <n v="76.349999999999994"/>
    <s v="5ATM"/>
    <n v="7.6"/>
    <n v="4.3"/>
    <x v="3"/>
    <x v="5"/>
    <x v="0"/>
    <n v="61.8"/>
  </r>
  <r>
    <x v="3"/>
    <x v="10"/>
    <x v="7"/>
    <x v="10"/>
    <x v="4"/>
    <x v="295"/>
    <n v="175.7"/>
    <n v="90.76"/>
    <n v="93.61"/>
    <n v="90.98"/>
    <s v="IPX8"/>
    <n v="7.3"/>
    <m/>
    <x v="2"/>
    <x v="11"/>
    <x v="0"/>
    <n v="73.7"/>
  </r>
  <r>
    <x v="3"/>
    <x v="9"/>
    <x v="6"/>
    <x v="9"/>
    <x v="3"/>
    <x v="9"/>
    <n v="125"/>
    <n v="90.93"/>
    <n v="96.03"/>
    <n v="75.8"/>
    <s v="IPX4"/>
    <n v="7.4"/>
    <m/>
    <x v="2"/>
    <x v="11"/>
    <x v="0"/>
    <n v="70.3"/>
  </r>
  <r>
    <x v="3"/>
    <x v="21"/>
    <x v="1"/>
    <x v="21"/>
    <x v="1"/>
    <x v="296"/>
    <n v="19.3"/>
    <n v="97.68"/>
    <n v="96.25"/>
    <n v="84.21"/>
    <s v="5ATM"/>
    <n v="9.1"/>
    <n v="4.5"/>
    <x v="1"/>
    <x v="9"/>
    <x v="1"/>
    <n v="62.2"/>
  </r>
  <r>
    <x v="3"/>
    <x v="28"/>
    <x v="4"/>
    <x v="28"/>
    <x v="1"/>
    <x v="297"/>
    <n v="1099.5"/>
    <n v="94.38"/>
    <n v="98.79"/>
    <n v="80.34"/>
    <s v="10ATM"/>
    <n v="9.5"/>
    <n v="2.2000000000000002"/>
    <x v="1"/>
    <x v="6"/>
    <x v="0"/>
    <n v="66.599999999999994"/>
  </r>
  <r>
    <x v="3"/>
    <x v="24"/>
    <x v="2"/>
    <x v="24"/>
    <x v="2"/>
    <x v="298"/>
    <n v="186.5"/>
    <n v="97.96"/>
    <n v="94.35"/>
    <n v="70.33"/>
    <s v="5ATM"/>
    <n v="8.1999999999999993"/>
    <n v="4.2"/>
    <x v="2"/>
    <x v="10"/>
    <x v="0"/>
    <n v="61.3"/>
  </r>
  <r>
    <x v="3"/>
    <x v="11"/>
    <x v="1"/>
    <x v="11"/>
    <x v="1"/>
    <x v="299"/>
    <n v="50.5"/>
    <n v="94.96"/>
    <n v="96.44"/>
    <n v="80.069999999999993"/>
    <s v="IP68"/>
    <n v="8.4"/>
    <n v="3.8"/>
    <x v="1"/>
    <x v="5"/>
    <x v="1"/>
    <n v="61"/>
  </r>
  <r>
    <x v="3"/>
    <x v="27"/>
    <x v="9"/>
    <x v="27"/>
    <x v="2"/>
    <x v="300"/>
    <n v="90.7"/>
    <n v="96.54"/>
    <n v="93.73"/>
    <n v="70.069999999999993"/>
    <s v="IP68"/>
    <n v="7.7"/>
    <n v="2.1"/>
    <x v="2"/>
    <x v="1"/>
    <x v="0"/>
    <n v="60"/>
  </r>
  <r>
    <x v="3"/>
    <x v="9"/>
    <x v="6"/>
    <x v="9"/>
    <x v="3"/>
    <x v="9"/>
    <n v="154.80000000000001"/>
    <n v="89.1"/>
    <n v="95.69"/>
    <n v="72.06"/>
    <s v="IPX4"/>
    <n v="7.3"/>
    <m/>
    <x v="2"/>
    <x v="11"/>
    <x v="2"/>
    <n v="69.7"/>
  </r>
  <r>
    <x v="3"/>
    <x v="22"/>
    <x v="8"/>
    <x v="22"/>
    <x v="1"/>
    <x v="301"/>
    <n v="22.6"/>
    <n v="95.86"/>
    <n v="94.56"/>
    <n v="79.709999999999994"/>
    <s v="IPX8"/>
    <n v="9.1"/>
    <n v="4.5999999999999996"/>
    <x v="1"/>
    <x v="5"/>
    <x v="2"/>
    <n v="60.9"/>
  </r>
  <r>
    <x v="3"/>
    <x v="14"/>
    <x v="9"/>
    <x v="14"/>
    <x v="2"/>
    <x v="302"/>
    <n v="220.4"/>
    <n v="92.73"/>
    <n v="95.91"/>
    <n v="78.069999999999993"/>
    <s v="5ATM"/>
    <n v="6.2"/>
    <n v="4"/>
    <x v="2"/>
    <x v="1"/>
    <x v="2"/>
    <n v="58.8"/>
  </r>
  <r>
    <x v="3"/>
    <x v="28"/>
    <x v="4"/>
    <x v="28"/>
    <x v="2"/>
    <x v="303"/>
    <n v="948.4"/>
    <n v="93.46"/>
    <n v="98.63"/>
    <n v="77.17"/>
    <s v="5ATM"/>
    <n v="9.1"/>
    <n v="4.5"/>
    <x v="2"/>
    <x v="0"/>
    <x v="0"/>
    <n v="63.7"/>
  </r>
  <r>
    <x v="3"/>
    <x v="6"/>
    <x v="5"/>
    <x v="6"/>
    <x v="2"/>
    <x v="304"/>
    <n v="234.8"/>
    <n v="96.53"/>
    <n v="96.82"/>
    <n v="75.58"/>
    <s v="IP68"/>
    <n v="8.1999999999999993"/>
    <n v="2.4"/>
    <x v="2"/>
    <x v="6"/>
    <x v="0"/>
    <n v="63.6"/>
  </r>
  <r>
    <x v="3"/>
    <x v="2"/>
    <x v="0"/>
    <x v="2"/>
    <x v="2"/>
    <x v="305"/>
    <n v="235.4"/>
    <n v="94.39"/>
    <n v="93.67"/>
    <n v="74.41"/>
    <s v="IP68"/>
    <n v="7.2"/>
    <n v="3"/>
    <x v="2"/>
    <x v="1"/>
    <x v="0"/>
    <n v="60.4"/>
  </r>
  <r>
    <x v="3"/>
    <x v="26"/>
    <x v="9"/>
    <x v="26"/>
    <x v="2"/>
    <x v="306"/>
    <n v="190.4"/>
    <n v="96.64"/>
    <n v="94.93"/>
    <n v="78.05"/>
    <s v="IPX8"/>
    <n v="7.9"/>
    <n v="3.9"/>
    <x v="2"/>
    <x v="2"/>
    <x v="2"/>
    <n v="62.2"/>
  </r>
  <r>
    <x v="3"/>
    <x v="19"/>
    <x v="9"/>
    <x v="19"/>
    <x v="0"/>
    <x v="307"/>
    <n v="96.8"/>
    <n v="92.77"/>
    <n v="93.26"/>
    <n v="77.19"/>
    <s v="3ATM"/>
    <n v="7.4"/>
    <m/>
    <x v="0"/>
    <x v="0"/>
    <x v="0"/>
    <n v="69.7"/>
  </r>
  <r>
    <x v="3"/>
    <x v="21"/>
    <x v="1"/>
    <x v="21"/>
    <x v="1"/>
    <x v="308"/>
    <n v="55.6"/>
    <n v="95.15"/>
    <n v="97.64"/>
    <n v="82.33"/>
    <s v="5ATM"/>
    <n v="7.3"/>
    <n v="2.2000000000000002"/>
    <x v="1"/>
    <x v="7"/>
    <x v="1"/>
    <n v="61"/>
  </r>
  <r>
    <x v="3"/>
    <x v="25"/>
    <x v="5"/>
    <x v="25"/>
    <x v="1"/>
    <x v="309"/>
    <n v="23.6"/>
    <n v="92.05"/>
    <n v="96.58"/>
    <n v="80.709999999999994"/>
    <s v="5ATM"/>
    <n v="7.1"/>
    <n v="2.1"/>
    <x v="3"/>
    <x v="1"/>
    <x v="0"/>
    <n v="59.1"/>
  </r>
  <r>
    <x v="3"/>
    <x v="14"/>
    <x v="9"/>
    <x v="14"/>
    <x v="1"/>
    <x v="310"/>
    <n v="50.1"/>
    <n v="96.31"/>
    <n v="93.72"/>
    <n v="78.5"/>
    <s v="5ATM"/>
    <n v="7.8"/>
    <n v="3.1"/>
    <x v="3"/>
    <x v="4"/>
    <x v="0"/>
    <n v="60"/>
  </r>
  <r>
    <x v="3"/>
    <x v="6"/>
    <x v="5"/>
    <x v="6"/>
    <x v="1"/>
    <x v="311"/>
    <n v="68.400000000000006"/>
    <n v="96.68"/>
    <n v="95.23"/>
    <n v="79.58"/>
    <s v="IPX8"/>
    <n v="9"/>
    <n v="2.2000000000000002"/>
    <x v="1"/>
    <x v="7"/>
    <x v="2"/>
    <n v="63.5"/>
  </r>
  <r>
    <x v="3"/>
    <x v="9"/>
    <x v="6"/>
    <x v="9"/>
    <x v="3"/>
    <x v="9"/>
    <n v="139.30000000000001"/>
    <n v="85.4"/>
    <n v="96.14"/>
    <n v="76.64"/>
    <s v="IPX4"/>
    <n v="7.1"/>
    <m/>
    <x v="2"/>
    <x v="0"/>
    <x v="0"/>
    <n v="69.2"/>
  </r>
  <r>
    <x v="3"/>
    <x v="7"/>
    <x v="4"/>
    <x v="7"/>
    <x v="2"/>
    <x v="312"/>
    <n v="377.5"/>
    <n v="97.13"/>
    <n v="98.39"/>
    <n v="77.61"/>
    <s v="5ATM"/>
    <n v="8.1999999999999993"/>
    <n v="4.5999999999999996"/>
    <x v="0"/>
    <x v="6"/>
    <x v="0"/>
    <n v="62.8"/>
  </r>
  <r>
    <x v="3"/>
    <x v="17"/>
    <x v="3"/>
    <x v="17"/>
    <x v="1"/>
    <x v="313"/>
    <n v="37.799999999999997"/>
    <n v="96.01"/>
    <n v="97.25"/>
    <n v="75.28"/>
    <s v="IP68"/>
    <n v="8.4"/>
    <n v="4.5"/>
    <x v="3"/>
    <x v="4"/>
    <x v="2"/>
    <n v="59.8"/>
  </r>
  <r>
    <x v="3"/>
    <x v="4"/>
    <x v="3"/>
    <x v="4"/>
    <x v="1"/>
    <x v="314"/>
    <n v="54.9"/>
    <n v="93.58"/>
    <n v="96.5"/>
    <n v="78.39"/>
    <s v="5ATM"/>
    <n v="9.3000000000000007"/>
    <n v="4"/>
    <x v="3"/>
    <x v="3"/>
    <x v="2"/>
    <n v="62"/>
  </r>
  <r>
    <x v="3"/>
    <x v="10"/>
    <x v="7"/>
    <x v="10"/>
    <x v="4"/>
    <x v="315"/>
    <n v="171"/>
    <n v="88.88"/>
    <n v="94.68"/>
    <n v="86.31"/>
    <s v="IPX7"/>
    <n v="8.6"/>
    <m/>
    <x v="2"/>
    <x v="11"/>
    <x v="0"/>
    <n v="75.2"/>
  </r>
  <r>
    <x v="3"/>
    <x v="7"/>
    <x v="4"/>
    <x v="7"/>
    <x v="1"/>
    <x v="316"/>
    <n v="458.3"/>
    <n v="93.02"/>
    <n v="98.44"/>
    <n v="75.680000000000007"/>
    <s v="5ATM"/>
    <n v="8.5"/>
    <n v="1.7"/>
    <x v="3"/>
    <x v="7"/>
    <x v="0"/>
    <n v="64.2"/>
  </r>
  <r>
    <x v="3"/>
    <x v="26"/>
    <x v="9"/>
    <x v="26"/>
    <x v="2"/>
    <x v="317"/>
    <n v="157.4"/>
    <n v="94.45"/>
    <n v="93.41"/>
    <n v="70.540000000000006"/>
    <s v="IP68"/>
    <n v="6.5"/>
    <n v="1.8"/>
    <x v="2"/>
    <x v="2"/>
    <x v="0"/>
    <n v="59.2"/>
  </r>
  <r>
    <x v="3"/>
    <x v="22"/>
    <x v="8"/>
    <x v="22"/>
    <x v="1"/>
    <x v="318"/>
    <n v="52.9"/>
    <n v="96.41"/>
    <n v="96.78"/>
    <n v="75.94"/>
    <s v="IP68"/>
    <n v="8.8000000000000007"/>
    <n v="4.3"/>
    <x v="3"/>
    <x v="1"/>
    <x v="0"/>
    <n v="61"/>
  </r>
  <r>
    <x v="3"/>
    <x v="9"/>
    <x v="6"/>
    <x v="9"/>
    <x v="3"/>
    <x v="9"/>
    <n v="139.5"/>
    <n v="86.91"/>
    <n v="95.18"/>
    <n v="70.39"/>
    <s v="IPX7"/>
    <n v="6.9"/>
    <m/>
    <x v="2"/>
    <x v="8"/>
    <x v="0"/>
    <n v="67.599999999999994"/>
  </r>
  <r>
    <x v="3"/>
    <x v="21"/>
    <x v="1"/>
    <x v="21"/>
    <x v="1"/>
    <x v="319"/>
    <n v="38.1"/>
    <n v="92.01"/>
    <n v="96.45"/>
    <n v="79.64"/>
    <s v="5ATM"/>
    <n v="8.5"/>
    <n v="3.8"/>
    <x v="1"/>
    <x v="4"/>
    <x v="1"/>
    <n v="60.4"/>
  </r>
  <r>
    <x v="3"/>
    <x v="9"/>
    <x v="6"/>
    <x v="9"/>
    <x v="3"/>
    <x v="9"/>
    <n v="155.6"/>
    <n v="88.25"/>
    <n v="96.12"/>
    <n v="74.03"/>
    <s v="IPX4"/>
    <n v="6.1"/>
    <m/>
    <x v="2"/>
    <x v="8"/>
    <x v="2"/>
    <n v="67.599999999999994"/>
  </r>
  <r>
    <x v="3"/>
    <x v="12"/>
    <x v="8"/>
    <x v="12"/>
    <x v="1"/>
    <x v="320"/>
    <n v="19.100000000000001"/>
    <n v="95.4"/>
    <n v="96.54"/>
    <n v="77.41"/>
    <s v="IPX8"/>
    <n v="8.4"/>
    <n v="2.4"/>
    <x v="3"/>
    <x v="10"/>
    <x v="0"/>
    <n v="61"/>
  </r>
  <r>
    <x v="3"/>
    <x v="15"/>
    <x v="8"/>
    <x v="15"/>
    <x v="1"/>
    <x v="321"/>
    <n v="64.099999999999994"/>
    <n v="97.22"/>
    <n v="94.75"/>
    <n v="77.42"/>
    <s v="IP68"/>
    <n v="6.8"/>
    <n v="5"/>
    <x v="1"/>
    <x v="9"/>
    <x v="0"/>
    <n v="57.5"/>
  </r>
  <r>
    <x v="3"/>
    <x v="25"/>
    <x v="5"/>
    <x v="25"/>
    <x v="2"/>
    <x v="322"/>
    <n v="127.7"/>
    <n v="97.42"/>
    <n v="93.18"/>
    <n v="74.33"/>
    <s v="IP68"/>
    <n v="8.6"/>
    <n v="2.4"/>
    <x v="2"/>
    <x v="10"/>
    <x v="0"/>
    <n v="62.8"/>
  </r>
  <r>
    <x v="3"/>
    <x v="7"/>
    <x v="4"/>
    <x v="7"/>
    <x v="2"/>
    <x v="323"/>
    <n v="246.1"/>
    <n v="94.85"/>
    <n v="98.5"/>
    <n v="71.78"/>
    <s v="5ATM"/>
    <n v="8.3000000000000007"/>
    <n v="2.1"/>
    <x v="0"/>
    <x v="0"/>
    <x v="0"/>
    <n v="63.3"/>
  </r>
  <r>
    <x v="3"/>
    <x v="0"/>
    <x v="0"/>
    <x v="0"/>
    <x v="0"/>
    <x v="324"/>
    <n v="106.4"/>
    <n v="90.89"/>
    <n v="96.98"/>
    <n v="70.73"/>
    <s v="3ATM"/>
    <n v="8.5"/>
    <m/>
    <x v="2"/>
    <x v="10"/>
    <x v="0"/>
    <n v="71.3"/>
  </r>
  <r>
    <x v="3"/>
    <x v="6"/>
    <x v="5"/>
    <x v="6"/>
    <x v="1"/>
    <x v="325"/>
    <n v="49.7"/>
    <n v="95.3"/>
    <n v="93.84"/>
    <n v="83.47"/>
    <s v="IPX8"/>
    <n v="7.9"/>
    <n v="2.2999999999999998"/>
    <x v="3"/>
    <x v="10"/>
    <x v="0"/>
    <n v="61.4"/>
  </r>
  <r>
    <x v="3"/>
    <x v="21"/>
    <x v="1"/>
    <x v="21"/>
    <x v="1"/>
    <x v="326"/>
    <n v="60.2"/>
    <n v="93.18"/>
    <n v="97.52"/>
    <n v="78.790000000000006"/>
    <s v="IP68"/>
    <n v="8.1"/>
    <n v="3.4"/>
    <x v="1"/>
    <x v="4"/>
    <x v="1"/>
    <n v="60.7"/>
  </r>
  <r>
    <x v="3"/>
    <x v="9"/>
    <x v="6"/>
    <x v="9"/>
    <x v="3"/>
    <x v="9"/>
    <n v="165.1"/>
    <n v="87.73"/>
    <n v="95.91"/>
    <n v="74.03"/>
    <s v="IPX7"/>
    <n v="7"/>
    <m/>
    <x v="2"/>
    <x v="0"/>
    <x v="2"/>
    <n v="69.5"/>
  </r>
  <r>
    <x v="3"/>
    <x v="14"/>
    <x v="9"/>
    <x v="14"/>
    <x v="2"/>
    <x v="327"/>
    <n v="135"/>
    <n v="92.15"/>
    <n v="94.74"/>
    <n v="73.239999999999995"/>
    <s v="5ATM"/>
    <n v="7.5"/>
    <n v="4.4000000000000004"/>
    <x v="2"/>
    <x v="2"/>
    <x v="0"/>
    <n v="58.9"/>
  </r>
  <r>
    <x v="3"/>
    <x v="1"/>
    <x v="1"/>
    <x v="1"/>
    <x v="1"/>
    <x v="328"/>
    <n v="50.7"/>
    <n v="96.32"/>
    <n v="98.47"/>
    <n v="78.13"/>
    <s v="IP68"/>
    <n v="8.1999999999999993"/>
    <n v="4.7"/>
    <x v="3"/>
    <x v="3"/>
    <x v="1"/>
    <n v="60.4"/>
  </r>
  <r>
    <x v="3"/>
    <x v="16"/>
    <x v="4"/>
    <x v="16"/>
    <x v="1"/>
    <x v="329"/>
    <n v="361.3"/>
    <n v="92.69"/>
    <n v="99.01"/>
    <n v="80.67"/>
    <s v="5ATM"/>
    <n v="9.3000000000000007"/>
    <n v="4.8"/>
    <x v="3"/>
    <x v="7"/>
    <x v="0"/>
    <n v="64.400000000000006"/>
  </r>
  <r>
    <x v="3"/>
    <x v="9"/>
    <x v="6"/>
    <x v="9"/>
    <x v="3"/>
    <x v="9"/>
    <n v="153.9"/>
    <n v="86.79"/>
    <n v="95.25"/>
    <n v="76.94"/>
    <s v="IPX7"/>
    <n v="6.6"/>
    <m/>
    <x v="2"/>
    <x v="8"/>
    <x v="2"/>
    <n v="68.7"/>
  </r>
  <r>
    <x v="3"/>
    <x v="10"/>
    <x v="7"/>
    <x v="10"/>
    <x v="4"/>
    <x v="330"/>
    <n v="169.6"/>
    <n v="89.08"/>
    <n v="94.28"/>
    <n v="89.22"/>
    <s v="IPX8"/>
    <n v="8.6"/>
    <m/>
    <x v="2"/>
    <x v="12"/>
    <x v="2"/>
    <n v="75.7"/>
  </r>
  <r>
    <x v="3"/>
    <x v="13"/>
    <x v="0"/>
    <x v="13"/>
    <x v="0"/>
    <x v="331"/>
    <n v="89"/>
    <n v="93.12"/>
    <n v="93.59"/>
    <n v="75.66"/>
    <s v="3ATM"/>
    <n v="7.3"/>
    <m/>
    <x v="2"/>
    <x v="6"/>
    <x v="0"/>
    <n v="69.2"/>
  </r>
  <r>
    <x v="3"/>
    <x v="15"/>
    <x v="8"/>
    <x v="15"/>
    <x v="1"/>
    <x v="332"/>
    <n v="44.9"/>
    <n v="95.83"/>
    <n v="93.89"/>
    <n v="77.510000000000005"/>
    <s v="5ATM"/>
    <n v="9.3000000000000007"/>
    <n v="3.5"/>
    <x v="3"/>
    <x v="1"/>
    <x v="2"/>
    <n v="61.9"/>
  </r>
  <r>
    <x v="3"/>
    <x v="13"/>
    <x v="0"/>
    <x v="13"/>
    <x v="0"/>
    <x v="333"/>
    <n v="137.69999999999999"/>
    <n v="92.38"/>
    <n v="95.72"/>
    <n v="74.42"/>
    <s v="IPX7"/>
    <n v="7.9"/>
    <m/>
    <x v="2"/>
    <x v="1"/>
    <x v="0"/>
    <n v="71.599999999999994"/>
  </r>
  <r>
    <x v="3"/>
    <x v="17"/>
    <x v="3"/>
    <x v="17"/>
    <x v="1"/>
    <x v="334"/>
    <n v="50.9"/>
    <n v="95.16"/>
    <n v="96.75"/>
    <n v="84.14"/>
    <s v="IPX8"/>
    <n v="7.3"/>
    <n v="4.0999999999999996"/>
    <x v="1"/>
    <x v="7"/>
    <x v="2"/>
    <n v="59.8"/>
  </r>
  <r>
    <x v="3"/>
    <x v="10"/>
    <x v="7"/>
    <x v="10"/>
    <x v="4"/>
    <x v="335"/>
    <n v="171.6"/>
    <n v="91.52"/>
    <n v="96.43"/>
    <n v="88.87"/>
    <s v="IPX8"/>
    <n v="7.3"/>
    <m/>
    <x v="2"/>
    <x v="11"/>
    <x v="0"/>
    <n v="74"/>
  </r>
  <r>
    <x v="4"/>
    <x v="2"/>
    <x v="0"/>
    <x v="2"/>
    <x v="2"/>
    <x v="336"/>
    <n v="156.6"/>
    <n v="92.32"/>
    <n v="96.6"/>
    <n v="77.06"/>
    <s v="IP68"/>
    <n v="7.7"/>
    <n v="1.8"/>
    <x v="0"/>
    <x v="6"/>
    <x v="0"/>
    <n v="62.4"/>
  </r>
  <r>
    <x v="4"/>
    <x v="12"/>
    <x v="8"/>
    <x v="12"/>
    <x v="1"/>
    <x v="337"/>
    <n v="47.2"/>
    <n v="93.2"/>
    <n v="94.61"/>
    <n v="81.25"/>
    <s v="IPX8"/>
    <n v="9"/>
    <n v="3.4"/>
    <x v="3"/>
    <x v="10"/>
    <x v="0"/>
    <n v="61.8"/>
  </r>
  <r>
    <x v="4"/>
    <x v="10"/>
    <x v="7"/>
    <x v="10"/>
    <x v="4"/>
    <x v="338"/>
    <n v="189.2"/>
    <n v="88.1"/>
    <n v="95.29"/>
    <n v="90.31"/>
    <s v="IPX7"/>
    <n v="8.5"/>
    <m/>
    <x v="2"/>
    <x v="0"/>
    <x v="2"/>
    <n v="75.7"/>
  </r>
  <r>
    <x v="4"/>
    <x v="26"/>
    <x v="9"/>
    <x v="26"/>
    <x v="2"/>
    <x v="339"/>
    <n v="238.1"/>
    <n v="95.44"/>
    <n v="93.8"/>
    <n v="72.52"/>
    <s v="IPX8"/>
    <n v="7.4"/>
    <n v="2.2999999999999998"/>
    <x v="0"/>
    <x v="1"/>
    <x v="2"/>
    <n v="61.1"/>
  </r>
  <r>
    <x v="4"/>
    <x v="3"/>
    <x v="2"/>
    <x v="3"/>
    <x v="1"/>
    <x v="340"/>
    <n v="21.6"/>
    <n v="92.83"/>
    <n v="96.18"/>
    <n v="76.52"/>
    <s v="5ATM"/>
    <n v="8.3000000000000007"/>
    <n v="4"/>
    <x v="3"/>
    <x v="3"/>
    <x v="0"/>
    <n v="59.2"/>
  </r>
  <r>
    <x v="4"/>
    <x v="9"/>
    <x v="6"/>
    <x v="9"/>
    <x v="3"/>
    <x v="9"/>
    <n v="127.7"/>
    <n v="91.51"/>
    <n v="94.38"/>
    <n v="74.540000000000006"/>
    <s v="IPX4"/>
    <n v="6.6"/>
    <m/>
    <x v="2"/>
    <x v="8"/>
    <x v="2"/>
    <n v="68.3"/>
  </r>
  <r>
    <x v="4"/>
    <x v="20"/>
    <x v="0"/>
    <x v="20"/>
    <x v="1"/>
    <x v="341"/>
    <n v="52.7"/>
    <n v="94.18"/>
    <n v="95.07"/>
    <n v="84.55"/>
    <s v="5ATM"/>
    <n v="7.6"/>
    <n v="2.1"/>
    <x v="3"/>
    <x v="3"/>
    <x v="0"/>
    <n v="61.3"/>
  </r>
  <r>
    <x v="4"/>
    <x v="9"/>
    <x v="6"/>
    <x v="9"/>
    <x v="3"/>
    <x v="9"/>
    <n v="131.19999999999999"/>
    <n v="88.33"/>
    <n v="94.63"/>
    <n v="70"/>
    <s v="IPX4"/>
    <n v="8"/>
    <m/>
    <x v="2"/>
    <x v="13"/>
    <x v="0"/>
    <n v="69.7"/>
  </r>
  <r>
    <x v="4"/>
    <x v="9"/>
    <x v="6"/>
    <x v="9"/>
    <x v="3"/>
    <x v="9"/>
    <n v="141.69999999999999"/>
    <n v="91.11"/>
    <n v="93.53"/>
    <n v="71.73"/>
    <s v="3ATM"/>
    <n v="7.7"/>
    <m/>
    <x v="2"/>
    <x v="11"/>
    <x v="2"/>
    <n v="70"/>
  </r>
  <r>
    <x v="4"/>
    <x v="24"/>
    <x v="2"/>
    <x v="24"/>
    <x v="1"/>
    <x v="342"/>
    <n v="39.4"/>
    <n v="97.7"/>
    <n v="96.96"/>
    <n v="78.25"/>
    <s v="5ATM"/>
    <n v="7.8"/>
    <n v="3.7"/>
    <x v="3"/>
    <x v="1"/>
    <x v="0"/>
    <n v="60.1"/>
  </r>
  <r>
    <x v="4"/>
    <x v="9"/>
    <x v="6"/>
    <x v="9"/>
    <x v="3"/>
    <x v="9"/>
    <n v="144.30000000000001"/>
    <n v="88.85"/>
    <n v="94.77"/>
    <n v="72.05"/>
    <s v="IPX4"/>
    <n v="7.7"/>
    <m/>
    <x v="2"/>
    <x v="13"/>
    <x v="0"/>
    <n v="70"/>
  </r>
  <r>
    <x v="4"/>
    <x v="23"/>
    <x v="8"/>
    <x v="23"/>
    <x v="1"/>
    <x v="343"/>
    <n v="41.3"/>
    <n v="93.24"/>
    <n v="93.86"/>
    <n v="83.24"/>
    <s v="IP68"/>
    <n v="8"/>
    <n v="3"/>
    <x v="1"/>
    <x v="10"/>
    <x v="2"/>
    <n v="60.5"/>
  </r>
  <r>
    <x v="4"/>
    <x v="24"/>
    <x v="2"/>
    <x v="24"/>
    <x v="1"/>
    <x v="344"/>
    <n v="35.700000000000003"/>
    <n v="96.14"/>
    <n v="95.22"/>
    <n v="80.680000000000007"/>
    <s v="5ATM"/>
    <n v="8.6999999999999993"/>
    <n v="2.2000000000000002"/>
    <x v="3"/>
    <x v="4"/>
    <x v="0"/>
    <n v="62.4"/>
  </r>
  <r>
    <x v="4"/>
    <x v="10"/>
    <x v="7"/>
    <x v="10"/>
    <x v="4"/>
    <x v="345"/>
    <n v="170.9"/>
    <n v="90.65"/>
    <n v="94.32"/>
    <n v="89.09"/>
    <s v="IPX8"/>
    <n v="8.1999999999999993"/>
    <m/>
    <x v="2"/>
    <x v="11"/>
    <x v="0"/>
    <n v="75.2"/>
  </r>
  <r>
    <x v="4"/>
    <x v="14"/>
    <x v="9"/>
    <x v="14"/>
    <x v="2"/>
    <x v="346"/>
    <n v="164.8"/>
    <n v="94.93"/>
    <n v="94.07"/>
    <n v="79.13"/>
    <s v="IP68"/>
    <n v="7.1"/>
    <n v="3.8"/>
    <x v="2"/>
    <x v="6"/>
    <x v="2"/>
    <n v="60.6"/>
  </r>
  <r>
    <x v="4"/>
    <x v="2"/>
    <x v="0"/>
    <x v="2"/>
    <x v="2"/>
    <x v="347"/>
    <n v="95"/>
    <n v="96.86"/>
    <n v="94.85"/>
    <n v="70.03"/>
    <s v="5ATM"/>
    <n v="7.8"/>
    <n v="4.2"/>
    <x v="0"/>
    <x v="6"/>
    <x v="0"/>
    <n v="59"/>
  </r>
  <r>
    <x v="4"/>
    <x v="26"/>
    <x v="9"/>
    <x v="26"/>
    <x v="2"/>
    <x v="348"/>
    <n v="98.3"/>
    <n v="97.09"/>
    <n v="95.81"/>
    <n v="76.95"/>
    <s v="IP68"/>
    <n v="7.8"/>
    <n v="2.2999999999999998"/>
    <x v="2"/>
    <x v="6"/>
    <x v="0"/>
    <n v="61.7"/>
  </r>
  <r>
    <x v="4"/>
    <x v="17"/>
    <x v="3"/>
    <x v="17"/>
    <x v="1"/>
    <x v="349"/>
    <n v="39.5"/>
    <n v="93.81"/>
    <n v="97.87"/>
    <n v="82.52"/>
    <s v="IP68"/>
    <n v="7.4"/>
    <n v="3.9"/>
    <x v="1"/>
    <x v="3"/>
    <x v="2"/>
    <n v="59.6"/>
  </r>
  <r>
    <x v="4"/>
    <x v="20"/>
    <x v="0"/>
    <x v="20"/>
    <x v="2"/>
    <x v="350"/>
    <n v="185.3"/>
    <n v="97.32"/>
    <n v="96.27"/>
    <n v="73.61"/>
    <s v="5ATM"/>
    <n v="8"/>
    <n v="2.2999999999999998"/>
    <x v="0"/>
    <x v="2"/>
    <x v="0"/>
    <n v="63"/>
  </r>
  <r>
    <x v="4"/>
    <x v="9"/>
    <x v="6"/>
    <x v="9"/>
    <x v="3"/>
    <x v="9"/>
    <n v="128.19999999999999"/>
    <n v="90.5"/>
    <n v="95.28"/>
    <n v="71.14"/>
    <s v="3ATM"/>
    <n v="6.5"/>
    <m/>
    <x v="2"/>
    <x v="11"/>
    <x v="2"/>
    <n v="67.400000000000006"/>
  </r>
  <r>
    <x v="4"/>
    <x v="24"/>
    <x v="2"/>
    <x v="24"/>
    <x v="2"/>
    <x v="351"/>
    <n v="192.7"/>
    <n v="92.92"/>
    <n v="96.34"/>
    <n v="73.2"/>
    <s v="IP68"/>
    <n v="7.3"/>
    <n v="5"/>
    <x v="2"/>
    <x v="10"/>
    <x v="0"/>
    <n v="59.2"/>
  </r>
  <r>
    <x v="4"/>
    <x v="27"/>
    <x v="9"/>
    <x v="27"/>
    <x v="2"/>
    <x v="352"/>
    <n v="160"/>
    <n v="94.76"/>
    <n v="94.58"/>
    <n v="71.400000000000006"/>
    <s v="IP68"/>
    <n v="6.6"/>
    <n v="3.7"/>
    <x v="2"/>
    <x v="12"/>
    <x v="0"/>
    <n v="58.5"/>
  </r>
  <r>
    <x v="4"/>
    <x v="15"/>
    <x v="8"/>
    <x v="15"/>
    <x v="1"/>
    <x v="353"/>
    <n v="58.1"/>
    <n v="92.93"/>
    <n v="94.13"/>
    <n v="77.11"/>
    <s v="IPX8"/>
    <n v="8.3000000000000007"/>
    <n v="3.7"/>
    <x v="1"/>
    <x v="7"/>
    <x v="0"/>
    <n v="59.9"/>
  </r>
  <r>
    <x v="4"/>
    <x v="10"/>
    <x v="7"/>
    <x v="10"/>
    <x v="4"/>
    <x v="354"/>
    <n v="179.8"/>
    <n v="87.68"/>
    <n v="95.3"/>
    <n v="91.73"/>
    <s v="IPX7"/>
    <n v="8.1"/>
    <m/>
    <x v="2"/>
    <x v="12"/>
    <x v="0"/>
    <n v="75.099999999999994"/>
  </r>
  <r>
    <x v="4"/>
    <x v="18"/>
    <x v="4"/>
    <x v="18"/>
    <x v="2"/>
    <x v="355"/>
    <n v="364.1"/>
    <n v="97.76"/>
    <n v="98.49"/>
    <n v="75.72"/>
    <s v="5ATM"/>
    <n v="9.3000000000000007"/>
    <n v="3.7"/>
    <x v="2"/>
    <x v="12"/>
    <x v="0"/>
    <n v="65"/>
  </r>
  <r>
    <x v="4"/>
    <x v="25"/>
    <x v="5"/>
    <x v="25"/>
    <x v="1"/>
    <x v="356"/>
    <n v="41.5"/>
    <n v="96.37"/>
    <n v="94.25"/>
    <n v="81.06"/>
    <s v="IP68"/>
    <n v="7.2"/>
    <n v="4.5999999999999996"/>
    <x v="1"/>
    <x v="1"/>
    <x v="0"/>
    <n v="58.4"/>
  </r>
  <r>
    <x v="4"/>
    <x v="18"/>
    <x v="4"/>
    <x v="18"/>
    <x v="1"/>
    <x v="357"/>
    <n v="281.8"/>
    <n v="97.37"/>
    <n v="98.18"/>
    <n v="78.88"/>
    <s v="IPX8"/>
    <n v="9"/>
    <n v="2.5"/>
    <x v="3"/>
    <x v="4"/>
    <x v="0"/>
    <n v="65.7"/>
  </r>
  <r>
    <x v="4"/>
    <x v="20"/>
    <x v="0"/>
    <x v="20"/>
    <x v="2"/>
    <x v="358"/>
    <n v="180.8"/>
    <n v="92.54"/>
    <n v="94.92"/>
    <n v="73.05"/>
    <s v="IP68"/>
    <n v="6.9"/>
    <n v="3.5"/>
    <x v="2"/>
    <x v="1"/>
    <x v="0"/>
    <n v="59.3"/>
  </r>
  <r>
    <x v="4"/>
    <x v="7"/>
    <x v="4"/>
    <x v="7"/>
    <x v="2"/>
    <x v="359"/>
    <n v="273"/>
    <n v="94.27"/>
    <n v="98.2"/>
    <n v="70.17"/>
    <s v="5ATM"/>
    <n v="9.1999999999999993"/>
    <n v="3.6"/>
    <x v="2"/>
    <x v="6"/>
    <x v="0"/>
    <n v="63.4"/>
  </r>
  <r>
    <x v="4"/>
    <x v="21"/>
    <x v="1"/>
    <x v="21"/>
    <x v="1"/>
    <x v="360"/>
    <n v="46.5"/>
    <n v="92.88"/>
    <n v="96.45"/>
    <n v="77.099999999999994"/>
    <s v="IPX8"/>
    <n v="9.1"/>
    <n v="2"/>
    <x v="3"/>
    <x v="10"/>
    <x v="1"/>
    <n v="62.5"/>
  </r>
  <r>
    <x v="4"/>
    <x v="26"/>
    <x v="9"/>
    <x v="26"/>
    <x v="1"/>
    <x v="361"/>
    <n v="22.4"/>
    <n v="92.24"/>
    <n v="93"/>
    <n v="84.23"/>
    <s v="5ATM"/>
    <n v="8.3000000000000007"/>
    <n v="4.4000000000000004"/>
    <x v="1"/>
    <x v="3"/>
    <x v="0"/>
    <n v="59.6"/>
  </r>
  <r>
    <x v="4"/>
    <x v="17"/>
    <x v="3"/>
    <x v="17"/>
    <x v="1"/>
    <x v="362"/>
    <n v="48.8"/>
    <n v="95.99"/>
    <n v="97.12"/>
    <n v="84.97"/>
    <s v="IPX8"/>
    <n v="7.8"/>
    <n v="3.2"/>
    <x v="3"/>
    <x v="10"/>
    <x v="2"/>
    <n v="61.5"/>
  </r>
  <r>
    <x v="4"/>
    <x v="18"/>
    <x v="4"/>
    <x v="18"/>
    <x v="1"/>
    <x v="363"/>
    <n v="467.4"/>
    <n v="94.7"/>
    <n v="98.75"/>
    <n v="80.790000000000006"/>
    <s v="5ATM"/>
    <n v="8.3000000000000007"/>
    <n v="2.2999999999999998"/>
    <x v="3"/>
    <x v="1"/>
    <x v="0"/>
    <n v="64.7"/>
  </r>
  <r>
    <x v="4"/>
    <x v="25"/>
    <x v="5"/>
    <x v="25"/>
    <x v="1"/>
    <x v="364"/>
    <n v="25.1"/>
    <n v="96.89"/>
    <n v="96.99"/>
    <n v="82.05"/>
    <s v="IP68"/>
    <n v="7.7"/>
    <n v="1.7"/>
    <x v="3"/>
    <x v="9"/>
    <x v="2"/>
    <n v="61.5"/>
  </r>
  <r>
    <x v="4"/>
    <x v="13"/>
    <x v="0"/>
    <x v="13"/>
    <x v="0"/>
    <x v="365"/>
    <n v="136.1"/>
    <n v="90.09"/>
    <n v="93.22"/>
    <n v="78.540000000000006"/>
    <s v="IPX4"/>
    <n v="8.5"/>
    <m/>
    <x v="2"/>
    <x v="6"/>
    <x v="0"/>
    <n v="72.599999999999994"/>
  </r>
  <r>
    <x v="4"/>
    <x v="17"/>
    <x v="3"/>
    <x v="17"/>
    <x v="1"/>
    <x v="366"/>
    <n v="51.5"/>
    <n v="93.09"/>
    <n v="96.55"/>
    <n v="78.45"/>
    <s v="IP68"/>
    <n v="8.4"/>
    <n v="3.6"/>
    <x v="3"/>
    <x v="7"/>
    <x v="2"/>
    <n v="60.6"/>
  </r>
  <r>
    <x v="4"/>
    <x v="13"/>
    <x v="0"/>
    <x v="13"/>
    <x v="0"/>
    <x v="367"/>
    <n v="98.5"/>
    <n v="90.17"/>
    <n v="94.45"/>
    <n v="74.09"/>
    <s v="3ATM"/>
    <n v="7.6"/>
    <m/>
    <x v="2"/>
    <x v="10"/>
    <x v="0"/>
    <n v="69.3"/>
  </r>
  <r>
    <x v="4"/>
    <x v="0"/>
    <x v="0"/>
    <x v="0"/>
    <x v="0"/>
    <x v="145"/>
    <n v="95.9"/>
    <n v="90.74"/>
    <n v="96.82"/>
    <n v="74.62"/>
    <s v="IPX4"/>
    <n v="7.2"/>
    <m/>
    <x v="2"/>
    <x v="12"/>
    <x v="0"/>
    <n v="69.099999999999994"/>
  </r>
  <r>
    <x v="4"/>
    <x v="10"/>
    <x v="7"/>
    <x v="10"/>
    <x v="4"/>
    <x v="368"/>
    <n v="184"/>
    <n v="87.55"/>
    <n v="93.94"/>
    <n v="86.72"/>
    <s v="IPX7"/>
    <n v="9.4"/>
    <m/>
    <x v="2"/>
    <x v="8"/>
    <x v="2"/>
    <n v="76.400000000000006"/>
  </r>
  <r>
    <x v="4"/>
    <x v="17"/>
    <x v="3"/>
    <x v="17"/>
    <x v="1"/>
    <x v="369"/>
    <n v="70.8"/>
    <n v="96.76"/>
    <n v="98.13"/>
    <n v="76.98"/>
    <s v="IP68"/>
    <n v="9.5"/>
    <n v="1.9"/>
    <x v="3"/>
    <x v="4"/>
    <x v="2"/>
    <n v="64.599999999999994"/>
  </r>
  <r>
    <x v="4"/>
    <x v="27"/>
    <x v="9"/>
    <x v="27"/>
    <x v="1"/>
    <x v="370"/>
    <n v="28.2"/>
    <n v="92.73"/>
    <n v="96.39"/>
    <n v="79.55"/>
    <s v="IP68"/>
    <n v="6.4"/>
    <n v="3.7"/>
    <x v="3"/>
    <x v="1"/>
    <x v="0"/>
    <n v="56.9"/>
  </r>
  <r>
    <x v="4"/>
    <x v="24"/>
    <x v="2"/>
    <x v="24"/>
    <x v="1"/>
    <x v="371"/>
    <n v="42.1"/>
    <n v="97.43"/>
    <n v="95.45"/>
    <n v="81.209999999999994"/>
    <s v="5ATM"/>
    <n v="8"/>
    <n v="2.6"/>
    <x v="3"/>
    <x v="6"/>
    <x v="0"/>
    <n v="61.5"/>
  </r>
  <r>
    <x v="4"/>
    <x v="8"/>
    <x v="3"/>
    <x v="8"/>
    <x v="1"/>
    <x v="372"/>
    <n v="69.599999999999994"/>
    <n v="96.61"/>
    <n v="96.55"/>
    <n v="76.52"/>
    <s v="IPX8"/>
    <n v="8.5"/>
    <n v="3.8"/>
    <x v="3"/>
    <x v="5"/>
    <x v="2"/>
    <n v="61.3"/>
  </r>
  <r>
    <x v="4"/>
    <x v="21"/>
    <x v="1"/>
    <x v="21"/>
    <x v="1"/>
    <x v="373"/>
    <n v="47.8"/>
    <n v="92.94"/>
    <n v="96.96"/>
    <n v="80.180000000000007"/>
    <s v="5ATM"/>
    <n v="8.4"/>
    <n v="1.6"/>
    <x v="1"/>
    <x v="10"/>
    <x v="1"/>
    <n v="62.2"/>
  </r>
  <r>
    <x v="4"/>
    <x v="9"/>
    <x v="6"/>
    <x v="9"/>
    <x v="3"/>
    <x v="9"/>
    <n v="132.5"/>
    <n v="90.91"/>
    <n v="95.6"/>
    <n v="76.790000000000006"/>
    <s v="IPX4"/>
    <n v="6.2"/>
    <m/>
    <x v="2"/>
    <x v="8"/>
    <x v="2"/>
    <n v="68.2"/>
  </r>
  <r>
    <x v="4"/>
    <x v="3"/>
    <x v="2"/>
    <x v="3"/>
    <x v="1"/>
    <x v="374"/>
    <n v="19.100000000000001"/>
    <n v="93"/>
    <n v="96.44"/>
    <n v="81.14"/>
    <s v="IPX8"/>
    <n v="8.1"/>
    <n v="3.9"/>
    <x v="1"/>
    <x v="9"/>
    <x v="0"/>
    <n v="59.7"/>
  </r>
  <r>
    <x v="4"/>
    <x v="11"/>
    <x v="1"/>
    <x v="11"/>
    <x v="1"/>
    <x v="375"/>
    <n v="52.2"/>
    <n v="96.8"/>
    <n v="97.37"/>
    <n v="78.739999999999995"/>
    <s v="5ATM"/>
    <n v="8.1"/>
    <n v="2.1"/>
    <x v="1"/>
    <x v="4"/>
    <x v="1"/>
    <n v="62"/>
  </r>
  <r>
    <x v="4"/>
    <x v="19"/>
    <x v="9"/>
    <x v="19"/>
    <x v="0"/>
    <x v="376"/>
    <n v="116.3"/>
    <n v="94.83"/>
    <n v="95.3"/>
    <n v="72.930000000000007"/>
    <s v="IPX4"/>
    <n v="7.6"/>
    <m/>
    <x v="2"/>
    <x v="1"/>
    <x v="0"/>
    <n v="70.599999999999994"/>
  </r>
  <r>
    <x v="4"/>
    <x v="20"/>
    <x v="0"/>
    <x v="20"/>
    <x v="2"/>
    <x v="377"/>
    <n v="82.3"/>
    <n v="94.56"/>
    <n v="93.21"/>
    <n v="71.099999999999994"/>
    <s v="IPX8"/>
    <n v="6.6"/>
    <n v="2.7"/>
    <x v="2"/>
    <x v="2"/>
    <x v="0"/>
    <n v="57.3"/>
  </r>
  <r>
    <x v="4"/>
    <x v="21"/>
    <x v="1"/>
    <x v="21"/>
    <x v="1"/>
    <x v="378"/>
    <n v="48.5"/>
    <n v="93.17"/>
    <n v="97.09"/>
    <n v="77.55"/>
    <s v="IP68"/>
    <n v="8.5"/>
    <n v="4"/>
    <x v="3"/>
    <x v="9"/>
    <x v="1"/>
    <n v="60.4"/>
  </r>
  <r>
    <x v="4"/>
    <x v="10"/>
    <x v="7"/>
    <x v="10"/>
    <x v="4"/>
    <x v="379"/>
    <n v="184.2"/>
    <n v="88.5"/>
    <n v="96"/>
    <n v="90.93"/>
    <s v="IPX7"/>
    <n v="8.9"/>
    <m/>
    <x v="2"/>
    <x v="12"/>
    <x v="2"/>
    <n v="76.900000000000006"/>
  </r>
  <r>
    <x v="4"/>
    <x v="26"/>
    <x v="9"/>
    <x v="26"/>
    <x v="1"/>
    <x v="380"/>
    <n v="41.3"/>
    <n v="92.78"/>
    <n v="95.13"/>
    <n v="77.3"/>
    <s v="IP68"/>
    <n v="7.7"/>
    <n v="4.3"/>
    <x v="1"/>
    <x v="1"/>
    <x v="0"/>
    <n v="58.3"/>
  </r>
  <r>
    <x v="4"/>
    <x v="26"/>
    <x v="9"/>
    <x v="26"/>
    <x v="2"/>
    <x v="381"/>
    <n v="117"/>
    <n v="92.46"/>
    <n v="96.07"/>
    <n v="76.73"/>
    <s v="IPX8"/>
    <n v="7.6"/>
    <n v="1.6"/>
    <x v="0"/>
    <x v="0"/>
    <x v="0"/>
    <n v="61.5"/>
  </r>
  <r>
    <x v="4"/>
    <x v="14"/>
    <x v="9"/>
    <x v="14"/>
    <x v="2"/>
    <x v="382"/>
    <n v="146.30000000000001"/>
    <n v="93.82"/>
    <n v="94.1"/>
    <n v="70.56"/>
    <s v="IP68"/>
    <n v="6.1"/>
    <n v="3.1"/>
    <x v="2"/>
    <x v="2"/>
    <x v="0"/>
    <n v="57.4"/>
  </r>
  <r>
    <x v="4"/>
    <x v="27"/>
    <x v="9"/>
    <x v="27"/>
    <x v="2"/>
    <x v="383"/>
    <n v="177.9"/>
    <n v="96.71"/>
    <n v="94.48"/>
    <n v="74.73"/>
    <s v="IP68"/>
    <n v="6.3"/>
    <n v="4.2"/>
    <x v="2"/>
    <x v="0"/>
    <x v="2"/>
    <n v="58.7"/>
  </r>
  <r>
    <x v="4"/>
    <x v="8"/>
    <x v="3"/>
    <x v="8"/>
    <x v="1"/>
    <x v="384"/>
    <n v="46.9"/>
    <n v="92.76"/>
    <n v="96.24"/>
    <n v="82.43"/>
    <s v="IPX8"/>
    <n v="7.3"/>
    <n v="4.5999999999999996"/>
    <x v="3"/>
    <x v="1"/>
    <x v="2"/>
    <n v="58.6"/>
  </r>
  <r>
    <x v="4"/>
    <x v="21"/>
    <x v="1"/>
    <x v="21"/>
    <x v="1"/>
    <x v="385"/>
    <n v="70.900000000000006"/>
    <n v="92.09"/>
    <n v="97.19"/>
    <n v="80.16"/>
    <s v="IPX8"/>
    <n v="8.6999999999999993"/>
    <n v="3.2"/>
    <x v="3"/>
    <x v="5"/>
    <x v="1"/>
    <n v="62"/>
  </r>
  <r>
    <x v="4"/>
    <x v="9"/>
    <x v="6"/>
    <x v="9"/>
    <x v="3"/>
    <x v="9"/>
    <n v="167.9"/>
    <n v="87.05"/>
    <n v="95.34"/>
    <n v="70.28"/>
    <s v="IPX7"/>
    <n v="6.6"/>
    <m/>
    <x v="2"/>
    <x v="8"/>
    <x v="0"/>
    <n v="67.7"/>
  </r>
  <r>
    <x v="4"/>
    <x v="11"/>
    <x v="1"/>
    <x v="11"/>
    <x v="1"/>
    <x v="386"/>
    <n v="37"/>
    <n v="95.23"/>
    <n v="98.06"/>
    <n v="81.84"/>
    <s v="IPX8"/>
    <n v="9.1"/>
    <n v="3.3"/>
    <x v="1"/>
    <x v="9"/>
    <x v="1"/>
    <n v="62.9"/>
  </r>
  <r>
    <x v="4"/>
    <x v="9"/>
    <x v="6"/>
    <x v="9"/>
    <x v="3"/>
    <x v="9"/>
    <n v="121.1"/>
    <n v="91.65"/>
    <n v="94.03"/>
    <n v="76.53"/>
    <s v="IPX4"/>
    <n v="7.7"/>
    <m/>
    <x v="2"/>
    <x v="0"/>
    <x v="2"/>
    <n v="70.7"/>
  </r>
  <r>
    <x v="4"/>
    <x v="14"/>
    <x v="9"/>
    <x v="14"/>
    <x v="1"/>
    <x v="387"/>
    <n v="61.3"/>
    <n v="93.7"/>
    <n v="96.19"/>
    <n v="82.44"/>
    <s v="IP68"/>
    <n v="8.4"/>
    <n v="2.8"/>
    <x v="1"/>
    <x v="10"/>
    <x v="2"/>
    <n v="62.1"/>
  </r>
  <r>
    <x v="4"/>
    <x v="21"/>
    <x v="1"/>
    <x v="21"/>
    <x v="1"/>
    <x v="388"/>
    <n v="50"/>
    <n v="92.32"/>
    <n v="96.76"/>
    <n v="79.3"/>
    <s v="IP68"/>
    <n v="8.3000000000000007"/>
    <n v="1.7"/>
    <x v="1"/>
    <x v="3"/>
    <x v="1"/>
    <n v="61.8"/>
  </r>
  <r>
    <x v="4"/>
    <x v="28"/>
    <x v="4"/>
    <x v="28"/>
    <x v="1"/>
    <x v="389"/>
    <n v="1361"/>
    <n v="95.73"/>
    <n v="99.4"/>
    <n v="83.88"/>
    <s v="10ATM"/>
    <n v="9.1999999999999993"/>
    <n v="2.6"/>
    <x v="1"/>
    <x v="9"/>
    <x v="0"/>
    <n v="66.8"/>
  </r>
  <r>
    <x v="4"/>
    <x v="12"/>
    <x v="8"/>
    <x v="12"/>
    <x v="1"/>
    <x v="390"/>
    <n v="56"/>
    <n v="97.03"/>
    <n v="93.42"/>
    <n v="83.4"/>
    <s v="IP68"/>
    <n v="8.1999999999999993"/>
    <n v="2.8"/>
    <x v="1"/>
    <x v="6"/>
    <x v="0"/>
    <n v="61.9"/>
  </r>
  <r>
    <x v="4"/>
    <x v="10"/>
    <x v="7"/>
    <x v="10"/>
    <x v="4"/>
    <x v="391"/>
    <n v="190.7"/>
    <n v="90.14"/>
    <n v="94.15"/>
    <n v="85.17"/>
    <s v="IPX8"/>
    <n v="7.7"/>
    <m/>
    <x v="2"/>
    <x v="8"/>
    <x v="0"/>
    <n v="73.3"/>
  </r>
  <r>
    <x v="4"/>
    <x v="21"/>
    <x v="1"/>
    <x v="21"/>
    <x v="1"/>
    <x v="392"/>
    <n v="52.1"/>
    <n v="96.03"/>
    <n v="97.4"/>
    <n v="83.02"/>
    <s v="IPX8"/>
    <n v="9.1"/>
    <n v="1.9"/>
    <x v="3"/>
    <x v="3"/>
    <x v="1"/>
    <n v="64.3"/>
  </r>
  <r>
    <x v="4"/>
    <x v="5"/>
    <x v="4"/>
    <x v="5"/>
    <x v="1"/>
    <x v="393"/>
    <n v="593.4"/>
    <n v="94.72"/>
    <n v="99.1"/>
    <n v="84.9"/>
    <s v="IPX8"/>
    <n v="9"/>
    <n v="2.4"/>
    <x v="1"/>
    <x v="9"/>
    <x v="0"/>
    <n v="66.5"/>
  </r>
  <r>
    <x v="4"/>
    <x v="25"/>
    <x v="5"/>
    <x v="25"/>
    <x v="2"/>
    <x v="394"/>
    <n v="93.7"/>
    <n v="96.57"/>
    <n v="96.36"/>
    <n v="74.069999999999993"/>
    <s v="IP68"/>
    <n v="8"/>
    <n v="1.5"/>
    <x v="0"/>
    <x v="6"/>
    <x v="2"/>
    <n v="62"/>
  </r>
  <r>
    <x v="4"/>
    <x v="18"/>
    <x v="4"/>
    <x v="18"/>
    <x v="2"/>
    <x v="395"/>
    <n v="493.4"/>
    <n v="95.24"/>
    <n v="98.84"/>
    <n v="75.2"/>
    <s v="IP68"/>
    <n v="8.8000000000000007"/>
    <n v="3.2"/>
    <x v="0"/>
    <x v="10"/>
    <x v="0"/>
    <n v="64.099999999999994"/>
  </r>
  <r>
    <x v="4"/>
    <x v="10"/>
    <x v="7"/>
    <x v="10"/>
    <x v="4"/>
    <x v="396"/>
    <n v="185.2"/>
    <n v="88.62"/>
    <n v="93.28"/>
    <n v="87.37"/>
    <s v="IPX8"/>
    <n v="9.5"/>
    <m/>
    <x v="2"/>
    <x v="11"/>
    <x v="0"/>
    <n v="76.900000000000006"/>
  </r>
  <r>
    <x v="4"/>
    <x v="21"/>
    <x v="1"/>
    <x v="21"/>
    <x v="1"/>
    <x v="397"/>
    <n v="29.9"/>
    <n v="96.22"/>
    <n v="96.86"/>
    <n v="77.75"/>
    <s v="5ATM"/>
    <n v="8.6999999999999993"/>
    <n v="2.2000000000000002"/>
    <x v="1"/>
    <x v="7"/>
    <x v="1"/>
    <n v="62.1"/>
  </r>
  <r>
    <x v="4"/>
    <x v="26"/>
    <x v="9"/>
    <x v="26"/>
    <x v="1"/>
    <x v="398"/>
    <n v="36.1"/>
    <n v="92.38"/>
    <n v="95.89"/>
    <n v="77.08"/>
    <s v="IPX8"/>
    <n v="8.1999999999999993"/>
    <n v="4.7"/>
    <x v="1"/>
    <x v="4"/>
    <x v="0"/>
    <n v="58.8"/>
  </r>
  <r>
    <x v="4"/>
    <x v="10"/>
    <x v="7"/>
    <x v="10"/>
    <x v="4"/>
    <x v="399"/>
    <n v="178.1"/>
    <n v="91.23"/>
    <n v="95.53"/>
    <n v="88.16"/>
    <s v="IPX7"/>
    <n v="7.3"/>
    <m/>
    <x v="2"/>
    <x v="8"/>
    <x v="2"/>
    <n v="73.599999999999994"/>
  </r>
  <r>
    <x v="4"/>
    <x v="10"/>
    <x v="7"/>
    <x v="10"/>
    <x v="4"/>
    <x v="400"/>
    <n v="174.8"/>
    <n v="91.69"/>
    <n v="94.97"/>
    <n v="90.35"/>
    <s v="IPX7"/>
    <n v="8.3000000000000007"/>
    <m/>
    <x v="2"/>
    <x v="12"/>
    <x v="2"/>
    <n v="76"/>
  </r>
  <r>
    <x v="4"/>
    <x v="19"/>
    <x v="9"/>
    <x v="19"/>
    <x v="0"/>
    <x v="401"/>
    <n v="74"/>
    <n v="89.54"/>
    <n v="96.23"/>
    <n v="78.62"/>
    <s v="IPX7"/>
    <n v="6.2"/>
    <m/>
    <x v="0"/>
    <x v="0"/>
    <x v="0"/>
    <n v="67"/>
  </r>
  <r>
    <x v="4"/>
    <x v="14"/>
    <x v="9"/>
    <x v="14"/>
    <x v="2"/>
    <x v="402"/>
    <n v="163.6"/>
    <n v="93.5"/>
    <n v="93.07"/>
    <n v="79.14"/>
    <s v="5ATM"/>
    <n v="8.5"/>
    <n v="2.1"/>
    <x v="2"/>
    <x v="6"/>
    <x v="2"/>
    <n v="63.6"/>
  </r>
  <r>
    <x v="4"/>
    <x v="10"/>
    <x v="7"/>
    <x v="10"/>
    <x v="4"/>
    <x v="403"/>
    <n v="177.4"/>
    <n v="85.93"/>
    <n v="95.61"/>
    <n v="87.84"/>
    <s v="IPX7"/>
    <n v="8.4"/>
    <m/>
    <x v="2"/>
    <x v="8"/>
    <x v="0"/>
    <n v="74.7"/>
  </r>
  <r>
    <x v="4"/>
    <x v="25"/>
    <x v="5"/>
    <x v="25"/>
    <x v="2"/>
    <x v="404"/>
    <n v="144.30000000000001"/>
    <n v="94.19"/>
    <n v="95.24"/>
    <n v="71.010000000000005"/>
    <s v="5ATM"/>
    <n v="9.1999999999999993"/>
    <n v="3.1"/>
    <x v="2"/>
    <x v="10"/>
    <x v="2"/>
    <n v="62.9"/>
  </r>
  <r>
    <x v="4"/>
    <x v="10"/>
    <x v="7"/>
    <x v="10"/>
    <x v="4"/>
    <x v="405"/>
    <n v="177"/>
    <n v="91.87"/>
    <n v="94.33"/>
    <n v="90.8"/>
    <s v="IPX7"/>
    <n v="9.3000000000000007"/>
    <m/>
    <x v="2"/>
    <x v="11"/>
    <x v="2"/>
    <n v="78"/>
  </r>
  <r>
    <x v="4"/>
    <x v="3"/>
    <x v="2"/>
    <x v="3"/>
    <x v="1"/>
    <x v="406"/>
    <n v="68.900000000000006"/>
    <n v="94.81"/>
    <n v="95"/>
    <n v="79.010000000000005"/>
    <s v="5ATM"/>
    <n v="7.3"/>
    <n v="2.4"/>
    <x v="3"/>
    <x v="7"/>
    <x v="0"/>
    <n v="60.1"/>
  </r>
  <r>
    <x v="4"/>
    <x v="0"/>
    <x v="0"/>
    <x v="0"/>
    <x v="0"/>
    <x v="407"/>
    <n v="173.1"/>
    <n v="94.82"/>
    <n v="96.62"/>
    <n v="74.67"/>
    <s v="IPX7"/>
    <n v="6.6"/>
    <m/>
    <x v="0"/>
    <x v="2"/>
    <x v="0"/>
    <n v="70.400000000000006"/>
  </r>
  <r>
    <x v="4"/>
    <x v="26"/>
    <x v="9"/>
    <x v="26"/>
    <x v="1"/>
    <x v="408"/>
    <n v="58"/>
    <n v="95.1"/>
    <n v="95.21"/>
    <n v="78.31"/>
    <s v="IPX8"/>
    <n v="8.4"/>
    <n v="2.2999999999999998"/>
    <x v="1"/>
    <x v="10"/>
    <x v="2"/>
    <n v="61.7"/>
  </r>
  <r>
    <x v="4"/>
    <x v="6"/>
    <x v="5"/>
    <x v="6"/>
    <x v="2"/>
    <x v="409"/>
    <n v="94.9"/>
    <n v="92.95"/>
    <n v="96.79"/>
    <n v="77.92"/>
    <s v="IPX8"/>
    <n v="8"/>
    <n v="2.1"/>
    <x v="0"/>
    <x v="10"/>
    <x v="0"/>
    <n v="61.8"/>
  </r>
  <r>
    <x v="4"/>
    <x v="19"/>
    <x v="9"/>
    <x v="19"/>
    <x v="0"/>
    <x v="410"/>
    <n v="144.5"/>
    <n v="92.58"/>
    <n v="95.43"/>
    <n v="74.34"/>
    <s v="IPX4"/>
    <n v="7.2"/>
    <m/>
    <x v="2"/>
    <x v="12"/>
    <x v="0"/>
    <n v="70.3"/>
  </r>
  <r>
    <x v="4"/>
    <x v="9"/>
    <x v="6"/>
    <x v="9"/>
    <x v="3"/>
    <x v="9"/>
    <n v="141.80000000000001"/>
    <n v="89.9"/>
    <n v="94.61"/>
    <n v="79.38"/>
    <s v="IPX4"/>
    <n v="7.8"/>
    <m/>
    <x v="2"/>
    <x v="8"/>
    <x v="2"/>
    <n v="71.8"/>
  </r>
  <r>
    <x v="4"/>
    <x v="10"/>
    <x v="7"/>
    <x v="10"/>
    <x v="4"/>
    <x v="411"/>
    <n v="188.6"/>
    <n v="85.33"/>
    <n v="93.4"/>
    <n v="86.14"/>
    <s v="IPX7"/>
    <n v="8.1999999999999993"/>
    <m/>
    <x v="2"/>
    <x v="12"/>
    <x v="2"/>
    <n v="73.400000000000006"/>
  </r>
  <r>
    <x v="4"/>
    <x v="2"/>
    <x v="0"/>
    <x v="2"/>
    <x v="1"/>
    <x v="412"/>
    <n v="21.3"/>
    <n v="94.87"/>
    <n v="96.94"/>
    <n v="75.959999999999994"/>
    <s v="IP68"/>
    <n v="6.2"/>
    <n v="4.7"/>
    <x v="1"/>
    <x v="6"/>
    <x v="0"/>
    <n v="55.6"/>
  </r>
  <r>
    <x v="4"/>
    <x v="6"/>
    <x v="5"/>
    <x v="6"/>
    <x v="1"/>
    <x v="413"/>
    <n v="38"/>
    <n v="94.52"/>
    <n v="95.27"/>
    <n v="83.34"/>
    <s v="5ATM"/>
    <n v="8.3000000000000007"/>
    <n v="2"/>
    <x v="3"/>
    <x v="6"/>
    <x v="2"/>
    <n v="62.1"/>
  </r>
  <r>
    <x v="4"/>
    <x v="8"/>
    <x v="3"/>
    <x v="8"/>
    <x v="1"/>
    <x v="414"/>
    <n v="54.8"/>
    <n v="92.41"/>
    <n v="96.58"/>
    <n v="82.26"/>
    <s v="5ATM"/>
    <n v="8.6"/>
    <n v="4.3"/>
    <x v="1"/>
    <x v="1"/>
    <x v="2"/>
    <n v="61.1"/>
  </r>
  <r>
    <x v="4"/>
    <x v="10"/>
    <x v="7"/>
    <x v="10"/>
    <x v="4"/>
    <x v="415"/>
    <n v="182.4"/>
    <n v="85.05"/>
    <n v="96.53"/>
    <n v="86.95"/>
    <s v="IPX7"/>
    <n v="8.1"/>
    <m/>
    <x v="2"/>
    <x v="11"/>
    <x v="2"/>
    <n v="73.900000000000006"/>
  </r>
  <r>
    <x v="4"/>
    <x v="16"/>
    <x v="4"/>
    <x v="16"/>
    <x v="1"/>
    <x v="416"/>
    <n v="264.60000000000002"/>
    <n v="93.85"/>
    <n v="99.1"/>
    <n v="84.61"/>
    <s v="IPX8"/>
    <n v="8.9"/>
    <n v="1.9"/>
    <x v="1"/>
    <x v="5"/>
    <x v="0"/>
    <n v="66.5"/>
  </r>
  <r>
    <x v="4"/>
    <x v="6"/>
    <x v="5"/>
    <x v="6"/>
    <x v="1"/>
    <x v="417"/>
    <n v="56.5"/>
    <n v="94.98"/>
    <n v="96.71"/>
    <n v="76.400000000000006"/>
    <s v="5ATM"/>
    <n v="8.8000000000000007"/>
    <n v="4.8"/>
    <x v="1"/>
    <x v="9"/>
    <x v="0"/>
    <n v="60.6"/>
  </r>
  <r>
    <x v="4"/>
    <x v="0"/>
    <x v="0"/>
    <x v="0"/>
    <x v="0"/>
    <x v="418"/>
    <n v="179"/>
    <n v="91.48"/>
    <n v="95.92"/>
    <n v="78.23"/>
    <s v="3ATM"/>
    <n v="6.2"/>
    <m/>
    <x v="0"/>
    <x v="1"/>
    <x v="0"/>
    <n v="69.5"/>
  </r>
  <r>
    <x v="4"/>
    <x v="5"/>
    <x v="4"/>
    <x v="5"/>
    <x v="2"/>
    <x v="419"/>
    <n v="347.4"/>
    <n v="97.19"/>
    <n v="99.27"/>
    <n v="79.5"/>
    <s v="IPX8"/>
    <n v="8.6999999999999993"/>
    <n v="4.7"/>
    <x v="0"/>
    <x v="0"/>
    <x v="0"/>
    <n v="64"/>
  </r>
  <r>
    <x v="4"/>
    <x v="23"/>
    <x v="8"/>
    <x v="23"/>
    <x v="1"/>
    <x v="420"/>
    <n v="39.299999999999997"/>
    <n v="95.52"/>
    <n v="95.07"/>
    <n v="82.37"/>
    <s v="5ATM"/>
    <n v="8.4"/>
    <n v="3.4"/>
    <x v="3"/>
    <x v="9"/>
    <x v="0"/>
    <n v="61.3"/>
  </r>
  <r>
    <x v="4"/>
    <x v="21"/>
    <x v="1"/>
    <x v="21"/>
    <x v="1"/>
    <x v="421"/>
    <n v="43.1"/>
    <n v="97.2"/>
    <n v="96.4"/>
    <n v="84.33"/>
    <s v="IP68"/>
    <n v="8.1999999999999993"/>
    <n v="1.8"/>
    <x v="1"/>
    <x v="10"/>
    <x v="1"/>
    <n v="63"/>
  </r>
  <r>
    <x v="4"/>
    <x v="7"/>
    <x v="4"/>
    <x v="7"/>
    <x v="2"/>
    <x v="422"/>
    <n v="303.7"/>
    <n v="95.76"/>
    <n v="98.07"/>
    <n v="72.010000000000005"/>
    <s v="10ATM"/>
    <n v="7"/>
    <n v="4.9000000000000004"/>
    <x v="2"/>
    <x v="2"/>
    <x v="0"/>
    <n v="59.4"/>
  </r>
  <r>
    <x v="4"/>
    <x v="10"/>
    <x v="7"/>
    <x v="10"/>
    <x v="4"/>
    <x v="423"/>
    <n v="179"/>
    <n v="90.53"/>
    <n v="94.08"/>
    <n v="85.23"/>
    <s v="IPX8"/>
    <n v="9.1"/>
    <m/>
    <x v="2"/>
    <x v="11"/>
    <x v="0"/>
    <n v="76.2"/>
  </r>
  <r>
    <x v="4"/>
    <x v="10"/>
    <x v="7"/>
    <x v="10"/>
    <x v="4"/>
    <x v="424"/>
    <n v="190"/>
    <n v="86.96"/>
    <n v="93.89"/>
    <n v="89.04"/>
    <s v="IPX7"/>
    <n v="8.8000000000000007"/>
    <m/>
    <x v="2"/>
    <x v="12"/>
    <x v="0"/>
    <n v="75.599999999999994"/>
  </r>
  <r>
    <x v="4"/>
    <x v="25"/>
    <x v="5"/>
    <x v="25"/>
    <x v="1"/>
    <x v="425"/>
    <n v="29.2"/>
    <n v="95.83"/>
    <n v="96.91"/>
    <n v="79.739999999999995"/>
    <s v="5ATM"/>
    <n v="7.5"/>
    <n v="2.9"/>
    <x v="1"/>
    <x v="3"/>
    <x v="2"/>
    <n v="59.9"/>
  </r>
  <r>
    <x v="4"/>
    <x v="1"/>
    <x v="1"/>
    <x v="1"/>
    <x v="1"/>
    <x v="426"/>
    <n v="33.6"/>
    <n v="92.48"/>
    <n v="96.58"/>
    <n v="76.010000000000005"/>
    <s v="IPX8"/>
    <n v="7.7"/>
    <n v="4.4000000000000004"/>
    <x v="1"/>
    <x v="9"/>
    <x v="1"/>
    <n v="58.1"/>
  </r>
  <r>
    <x v="5"/>
    <x v="25"/>
    <x v="5"/>
    <x v="25"/>
    <x v="1"/>
    <x v="427"/>
    <n v="36.9"/>
    <n v="96.91"/>
    <n v="93.68"/>
    <n v="84.83"/>
    <s v="IP68"/>
    <n v="7.3"/>
    <n v="1.9"/>
    <x v="3"/>
    <x v="5"/>
    <x v="0"/>
    <n v="60.9"/>
  </r>
  <r>
    <x v="5"/>
    <x v="14"/>
    <x v="9"/>
    <x v="14"/>
    <x v="1"/>
    <x v="428"/>
    <n v="67.7"/>
    <n v="95.93"/>
    <n v="96.71"/>
    <n v="83.32"/>
    <s v="IPX8"/>
    <n v="7.6"/>
    <n v="1.7"/>
    <x v="3"/>
    <x v="4"/>
    <x v="0"/>
    <n v="62.2"/>
  </r>
  <r>
    <x v="5"/>
    <x v="1"/>
    <x v="1"/>
    <x v="1"/>
    <x v="1"/>
    <x v="429"/>
    <n v="66.3"/>
    <n v="96.81"/>
    <n v="97.49"/>
    <n v="80.209999999999994"/>
    <s v="IP68"/>
    <n v="7.5"/>
    <n v="4.9000000000000004"/>
    <x v="1"/>
    <x v="4"/>
    <x v="1"/>
    <n v="59.6"/>
  </r>
  <r>
    <x v="5"/>
    <x v="26"/>
    <x v="9"/>
    <x v="26"/>
    <x v="2"/>
    <x v="430"/>
    <n v="227.7"/>
    <n v="96.23"/>
    <n v="94.57"/>
    <n v="74.489999999999995"/>
    <s v="IPX8"/>
    <n v="7.5"/>
    <n v="2.8"/>
    <x v="2"/>
    <x v="12"/>
    <x v="2"/>
    <n v="61.5"/>
  </r>
  <r>
    <x v="5"/>
    <x v="19"/>
    <x v="9"/>
    <x v="19"/>
    <x v="0"/>
    <x v="431"/>
    <n v="134.69999999999999"/>
    <n v="89.25"/>
    <n v="94.21"/>
    <n v="72.09"/>
    <s v="3ATM"/>
    <n v="6.7"/>
    <m/>
    <x v="2"/>
    <x v="2"/>
    <x v="2"/>
    <n v="67.7"/>
  </r>
  <r>
    <x v="5"/>
    <x v="25"/>
    <x v="5"/>
    <x v="25"/>
    <x v="1"/>
    <x v="432"/>
    <n v="42.8"/>
    <n v="93.52"/>
    <n v="96.3"/>
    <n v="75.27"/>
    <s v="5ATM"/>
    <n v="7.7"/>
    <n v="3.1"/>
    <x v="3"/>
    <x v="3"/>
    <x v="2"/>
    <n v="59.1"/>
  </r>
  <r>
    <x v="5"/>
    <x v="28"/>
    <x v="4"/>
    <x v="28"/>
    <x v="2"/>
    <x v="433"/>
    <n v="1040.3"/>
    <n v="94.74"/>
    <n v="98.37"/>
    <n v="77.98"/>
    <s v="10ATM"/>
    <n v="9.3000000000000007"/>
    <n v="2.4"/>
    <x v="0"/>
    <x v="12"/>
    <x v="0"/>
    <n v="65.7"/>
  </r>
  <r>
    <x v="5"/>
    <x v="25"/>
    <x v="5"/>
    <x v="25"/>
    <x v="1"/>
    <x v="434"/>
    <n v="21"/>
    <n v="92.69"/>
    <n v="94.63"/>
    <n v="77.98"/>
    <s v="5ATM"/>
    <n v="7.6"/>
    <n v="1.5"/>
    <x v="3"/>
    <x v="5"/>
    <x v="2"/>
    <n v="59.6"/>
  </r>
  <r>
    <x v="5"/>
    <x v="10"/>
    <x v="7"/>
    <x v="10"/>
    <x v="4"/>
    <x v="435"/>
    <n v="179.2"/>
    <n v="88.23"/>
    <n v="94.33"/>
    <n v="89.74"/>
    <s v="IPX8"/>
    <n v="7.4"/>
    <m/>
    <x v="2"/>
    <x v="8"/>
    <x v="2"/>
    <n v="73.3"/>
  </r>
  <r>
    <x v="5"/>
    <x v="3"/>
    <x v="2"/>
    <x v="3"/>
    <x v="2"/>
    <x v="436"/>
    <n v="217.9"/>
    <n v="94.03"/>
    <n v="94.97"/>
    <n v="71.010000000000005"/>
    <s v="IPX8"/>
    <n v="7.5"/>
    <n v="3"/>
    <x v="2"/>
    <x v="6"/>
    <x v="0"/>
    <n v="60.5"/>
  </r>
  <r>
    <x v="5"/>
    <x v="17"/>
    <x v="3"/>
    <x v="17"/>
    <x v="1"/>
    <x v="437"/>
    <n v="20"/>
    <n v="97.98"/>
    <n v="96.29"/>
    <n v="77.349999999999994"/>
    <s v="IP68"/>
    <n v="7.2"/>
    <n v="3.1"/>
    <x v="3"/>
    <x v="4"/>
    <x v="2"/>
    <n v="58.9"/>
  </r>
  <r>
    <x v="5"/>
    <x v="21"/>
    <x v="1"/>
    <x v="21"/>
    <x v="1"/>
    <x v="438"/>
    <n v="58.9"/>
    <n v="96.85"/>
    <n v="97.46"/>
    <n v="75.83"/>
    <s v="5ATM"/>
    <n v="8.6999999999999993"/>
    <n v="4.3"/>
    <x v="1"/>
    <x v="9"/>
    <x v="1"/>
    <n v="61.2"/>
  </r>
  <r>
    <x v="5"/>
    <x v="9"/>
    <x v="6"/>
    <x v="9"/>
    <x v="3"/>
    <x v="9"/>
    <n v="123.2"/>
    <n v="85.61"/>
    <n v="96.51"/>
    <n v="76.650000000000006"/>
    <s v="IPX7"/>
    <n v="6.8"/>
    <m/>
    <x v="2"/>
    <x v="8"/>
    <x v="2"/>
    <n v="68.3"/>
  </r>
  <r>
    <x v="5"/>
    <x v="9"/>
    <x v="6"/>
    <x v="9"/>
    <x v="3"/>
    <x v="9"/>
    <n v="131.9"/>
    <n v="87.03"/>
    <n v="93.92"/>
    <n v="76"/>
    <s v="IPX7"/>
    <n v="7.9"/>
    <m/>
    <x v="2"/>
    <x v="8"/>
    <x v="2"/>
    <n v="70.3"/>
  </r>
  <r>
    <x v="5"/>
    <x v="8"/>
    <x v="3"/>
    <x v="8"/>
    <x v="1"/>
    <x v="439"/>
    <n v="22.4"/>
    <n v="96.98"/>
    <n v="97.65"/>
    <n v="79.540000000000006"/>
    <s v="IPX8"/>
    <n v="7.9"/>
    <n v="1.5"/>
    <x v="3"/>
    <x v="7"/>
    <x v="2"/>
    <n v="61.6"/>
  </r>
  <r>
    <x v="5"/>
    <x v="21"/>
    <x v="1"/>
    <x v="21"/>
    <x v="1"/>
    <x v="440"/>
    <n v="59.7"/>
    <n v="92.1"/>
    <n v="98.09"/>
    <n v="79.040000000000006"/>
    <s v="5ATM"/>
    <n v="7"/>
    <n v="4.4000000000000004"/>
    <x v="1"/>
    <x v="9"/>
    <x v="1"/>
    <n v="58.1"/>
  </r>
  <r>
    <x v="5"/>
    <x v="10"/>
    <x v="7"/>
    <x v="10"/>
    <x v="4"/>
    <x v="441"/>
    <n v="171.3"/>
    <n v="87.67"/>
    <n v="94.52"/>
    <n v="86.19"/>
    <s v="IPX7"/>
    <n v="8.9"/>
    <m/>
    <x v="2"/>
    <x v="0"/>
    <x v="0"/>
    <n v="75.5"/>
  </r>
  <r>
    <x v="5"/>
    <x v="2"/>
    <x v="0"/>
    <x v="2"/>
    <x v="2"/>
    <x v="442"/>
    <n v="172.4"/>
    <n v="96.48"/>
    <n v="95.87"/>
    <n v="72.33"/>
    <s v="IP68"/>
    <n v="7.1"/>
    <n v="4.9000000000000004"/>
    <x v="2"/>
    <x v="2"/>
    <x v="0"/>
    <n v="59.3"/>
  </r>
  <r>
    <x v="5"/>
    <x v="19"/>
    <x v="9"/>
    <x v="19"/>
    <x v="0"/>
    <x v="443"/>
    <n v="111.4"/>
    <n v="93.68"/>
    <n v="93.41"/>
    <n v="74.2"/>
    <s v="IPX4"/>
    <n v="6.6"/>
    <m/>
    <x v="2"/>
    <x v="1"/>
    <x v="2"/>
    <n v="68.099999999999994"/>
  </r>
  <r>
    <x v="5"/>
    <x v="15"/>
    <x v="8"/>
    <x v="15"/>
    <x v="1"/>
    <x v="444"/>
    <n v="44.6"/>
    <n v="92.15"/>
    <n v="96"/>
    <n v="80.349999999999994"/>
    <s v="5ATM"/>
    <n v="9.1999999999999993"/>
    <n v="2.6"/>
    <x v="1"/>
    <x v="1"/>
    <x v="0"/>
    <n v="62.6"/>
  </r>
  <r>
    <x v="5"/>
    <x v="5"/>
    <x v="4"/>
    <x v="5"/>
    <x v="1"/>
    <x v="445"/>
    <n v="357.4"/>
    <n v="97.02"/>
    <n v="98.55"/>
    <n v="81.98"/>
    <s v="IPX8"/>
    <n v="8.6999999999999993"/>
    <n v="2.7"/>
    <x v="3"/>
    <x v="6"/>
    <x v="0"/>
    <n v="65.599999999999994"/>
  </r>
  <r>
    <x v="5"/>
    <x v="0"/>
    <x v="0"/>
    <x v="0"/>
    <x v="0"/>
    <x v="446"/>
    <n v="227.2"/>
    <n v="90.93"/>
    <n v="94.9"/>
    <n v="75.44"/>
    <s v="IPX4"/>
    <n v="7.6"/>
    <m/>
    <x v="2"/>
    <x v="1"/>
    <x v="0"/>
    <n v="71.5"/>
  </r>
  <r>
    <x v="5"/>
    <x v="9"/>
    <x v="6"/>
    <x v="9"/>
    <x v="3"/>
    <x v="9"/>
    <n v="161.30000000000001"/>
    <n v="86.31"/>
    <n v="93.29"/>
    <n v="75.540000000000006"/>
    <s v="IPX4"/>
    <n v="6.1"/>
    <m/>
    <x v="2"/>
    <x v="0"/>
    <x v="0"/>
    <n v="67.099999999999994"/>
  </r>
  <r>
    <x v="5"/>
    <x v="11"/>
    <x v="1"/>
    <x v="11"/>
    <x v="1"/>
    <x v="447"/>
    <n v="49.9"/>
    <n v="93.74"/>
    <n v="98.49"/>
    <n v="79.56"/>
    <s v="IPX8"/>
    <n v="8.5"/>
    <n v="2.9"/>
    <x v="3"/>
    <x v="6"/>
    <x v="1"/>
    <n v="61.9"/>
  </r>
  <r>
    <x v="5"/>
    <x v="16"/>
    <x v="4"/>
    <x v="16"/>
    <x v="1"/>
    <x v="448"/>
    <n v="286.5"/>
    <n v="93.54"/>
    <n v="99.38"/>
    <n v="79.09"/>
    <s v="IPX8"/>
    <n v="8"/>
    <n v="4.5999999999999996"/>
    <x v="3"/>
    <x v="6"/>
    <x v="0"/>
    <n v="62.3"/>
  </r>
  <r>
    <x v="5"/>
    <x v="1"/>
    <x v="1"/>
    <x v="1"/>
    <x v="1"/>
    <x v="449"/>
    <n v="43.4"/>
    <n v="95.84"/>
    <n v="96.8"/>
    <n v="75.31"/>
    <s v="IP68"/>
    <n v="8.1999999999999993"/>
    <n v="1.7"/>
    <x v="3"/>
    <x v="4"/>
    <x v="1"/>
    <n v="61.4"/>
  </r>
  <r>
    <x v="5"/>
    <x v="8"/>
    <x v="3"/>
    <x v="8"/>
    <x v="1"/>
    <x v="450"/>
    <n v="57.1"/>
    <n v="92.84"/>
    <n v="96.28"/>
    <n v="82.34"/>
    <s v="5ATM"/>
    <n v="8.8000000000000007"/>
    <n v="4.4000000000000004"/>
    <x v="3"/>
    <x v="3"/>
    <x v="2"/>
    <n v="61.4"/>
  </r>
  <r>
    <x v="5"/>
    <x v="28"/>
    <x v="4"/>
    <x v="28"/>
    <x v="2"/>
    <x v="451"/>
    <n v="1258.5"/>
    <n v="97.11"/>
    <n v="98.74"/>
    <n v="71.38"/>
    <s v="10ATM"/>
    <n v="8.3000000000000007"/>
    <n v="2.9"/>
    <x v="0"/>
    <x v="2"/>
    <x v="0"/>
    <n v="63.1"/>
  </r>
  <r>
    <x v="5"/>
    <x v="20"/>
    <x v="0"/>
    <x v="20"/>
    <x v="2"/>
    <x v="452"/>
    <n v="94.2"/>
    <n v="92.33"/>
    <n v="93.76"/>
    <n v="79.849999999999994"/>
    <s v="IPX8"/>
    <n v="7.4"/>
    <n v="1.6"/>
    <x v="0"/>
    <x v="0"/>
    <x v="0"/>
    <n v="60.8"/>
  </r>
  <r>
    <x v="5"/>
    <x v="24"/>
    <x v="2"/>
    <x v="24"/>
    <x v="1"/>
    <x v="453"/>
    <n v="50.8"/>
    <n v="96.69"/>
    <n v="93.14"/>
    <n v="75.67"/>
    <s v="IP68"/>
    <n v="7.5"/>
    <n v="2.8"/>
    <x v="3"/>
    <x v="10"/>
    <x v="0"/>
    <n v="59.2"/>
  </r>
  <r>
    <x v="5"/>
    <x v="9"/>
    <x v="6"/>
    <x v="9"/>
    <x v="3"/>
    <x v="9"/>
    <n v="123.7"/>
    <n v="87.06"/>
    <n v="96.28"/>
    <n v="75.52"/>
    <s v="IPX4"/>
    <n v="7.9"/>
    <m/>
    <x v="2"/>
    <x v="0"/>
    <x v="2"/>
    <n v="70.5"/>
  </r>
  <r>
    <x v="5"/>
    <x v="25"/>
    <x v="5"/>
    <x v="25"/>
    <x v="1"/>
    <x v="454"/>
    <n v="43.5"/>
    <n v="94.35"/>
    <n v="93.06"/>
    <n v="75.33"/>
    <s v="5ATM"/>
    <n v="8.3000000000000007"/>
    <n v="2.2999999999999998"/>
    <x v="1"/>
    <x v="1"/>
    <x v="2"/>
    <n v="60.3"/>
  </r>
  <r>
    <x v="5"/>
    <x v="28"/>
    <x v="4"/>
    <x v="28"/>
    <x v="2"/>
    <x v="455"/>
    <n v="1666.8"/>
    <n v="95.2"/>
    <n v="98.9"/>
    <n v="79.34"/>
    <s v="5ATM"/>
    <n v="8.8000000000000007"/>
    <n v="5"/>
    <x v="0"/>
    <x v="1"/>
    <x v="0"/>
    <n v="63.6"/>
  </r>
  <r>
    <x v="5"/>
    <x v="16"/>
    <x v="4"/>
    <x v="16"/>
    <x v="2"/>
    <x v="456"/>
    <n v="602.9"/>
    <n v="96.02"/>
    <n v="98.03"/>
    <n v="77.66"/>
    <s v="IPX8"/>
    <n v="8"/>
    <n v="4"/>
    <x v="2"/>
    <x v="0"/>
    <x v="0"/>
    <n v="62.6"/>
  </r>
  <r>
    <x v="5"/>
    <x v="6"/>
    <x v="5"/>
    <x v="6"/>
    <x v="1"/>
    <x v="457"/>
    <n v="51.5"/>
    <n v="93.82"/>
    <n v="94.58"/>
    <n v="78.709999999999994"/>
    <s v="IP68"/>
    <n v="7.1"/>
    <n v="2.1"/>
    <x v="1"/>
    <x v="7"/>
    <x v="0"/>
    <n v="59.3"/>
  </r>
  <r>
    <x v="5"/>
    <x v="8"/>
    <x v="3"/>
    <x v="8"/>
    <x v="1"/>
    <x v="458"/>
    <n v="69.7"/>
    <n v="95.46"/>
    <n v="97.78"/>
    <n v="82.01"/>
    <s v="IP68"/>
    <n v="8.1999999999999993"/>
    <n v="3.7"/>
    <x v="1"/>
    <x v="1"/>
    <x v="2"/>
    <n v="61.8"/>
  </r>
  <r>
    <x v="5"/>
    <x v="11"/>
    <x v="1"/>
    <x v="11"/>
    <x v="1"/>
    <x v="459"/>
    <n v="24.4"/>
    <n v="97.33"/>
    <n v="96.08"/>
    <n v="78.98"/>
    <s v="IPX8"/>
    <n v="8.1"/>
    <n v="2.9"/>
    <x v="3"/>
    <x v="1"/>
    <x v="1"/>
    <n v="60.8"/>
  </r>
  <r>
    <x v="5"/>
    <x v="6"/>
    <x v="5"/>
    <x v="6"/>
    <x v="2"/>
    <x v="460"/>
    <n v="239.6"/>
    <n v="92.39"/>
    <n v="96.14"/>
    <n v="70.42"/>
    <s v="IP68"/>
    <n v="7.9"/>
    <n v="1.6"/>
    <x v="2"/>
    <x v="10"/>
    <x v="0"/>
    <n v="61.9"/>
  </r>
  <r>
    <x v="5"/>
    <x v="9"/>
    <x v="6"/>
    <x v="9"/>
    <x v="3"/>
    <x v="9"/>
    <n v="123.1"/>
    <n v="87.4"/>
    <n v="95.42"/>
    <n v="72.13"/>
    <s v="3ATM"/>
    <n v="7"/>
    <m/>
    <x v="2"/>
    <x v="11"/>
    <x v="0"/>
    <n v="67.900000000000006"/>
  </r>
  <r>
    <x v="5"/>
    <x v="11"/>
    <x v="1"/>
    <x v="11"/>
    <x v="1"/>
    <x v="461"/>
    <n v="48.7"/>
    <n v="95.47"/>
    <n v="97.61"/>
    <n v="78.98"/>
    <s v="IPX8"/>
    <n v="9.4"/>
    <n v="4.7"/>
    <x v="3"/>
    <x v="6"/>
    <x v="1"/>
    <n v="62.2"/>
  </r>
  <r>
    <x v="5"/>
    <x v="7"/>
    <x v="4"/>
    <x v="7"/>
    <x v="1"/>
    <x v="462"/>
    <n v="376.5"/>
    <n v="96.74"/>
    <n v="99.02"/>
    <n v="81.25"/>
    <s v="10ATM"/>
    <n v="8.4"/>
    <n v="4.5"/>
    <x v="3"/>
    <x v="9"/>
    <x v="0"/>
    <n v="63.8"/>
  </r>
  <r>
    <x v="5"/>
    <x v="28"/>
    <x v="4"/>
    <x v="28"/>
    <x v="1"/>
    <x v="463"/>
    <n v="1511.4"/>
    <n v="92.34"/>
    <n v="99.31"/>
    <n v="79.22"/>
    <s v="10ATM"/>
    <n v="8.1"/>
    <n v="4.0999999999999996"/>
    <x v="3"/>
    <x v="1"/>
    <x v="0"/>
    <n v="62.6"/>
  </r>
  <r>
    <x v="5"/>
    <x v="9"/>
    <x v="6"/>
    <x v="9"/>
    <x v="3"/>
    <x v="9"/>
    <n v="147.19999999999999"/>
    <n v="87.09"/>
    <n v="93.97"/>
    <n v="76.23"/>
    <s v="3ATM"/>
    <n v="6.1"/>
    <m/>
    <x v="2"/>
    <x v="11"/>
    <x v="2"/>
    <n v="67.2"/>
  </r>
  <r>
    <x v="5"/>
    <x v="10"/>
    <x v="7"/>
    <x v="10"/>
    <x v="4"/>
    <x v="464"/>
    <n v="182.6"/>
    <n v="87.55"/>
    <n v="96.67"/>
    <n v="87.71"/>
    <s v="IPX8"/>
    <n v="9"/>
    <m/>
    <x v="2"/>
    <x v="8"/>
    <x v="0"/>
    <n v="76.400000000000006"/>
  </r>
  <r>
    <x v="5"/>
    <x v="19"/>
    <x v="9"/>
    <x v="19"/>
    <x v="0"/>
    <x v="465"/>
    <n v="218.8"/>
    <n v="92.2"/>
    <n v="93.95"/>
    <n v="76.61"/>
    <s v="IPX7"/>
    <n v="7.4"/>
    <m/>
    <x v="0"/>
    <x v="10"/>
    <x v="0"/>
    <n v="71.400000000000006"/>
  </r>
  <r>
    <x v="5"/>
    <x v="0"/>
    <x v="0"/>
    <x v="0"/>
    <x v="0"/>
    <x v="466"/>
    <n v="237.1"/>
    <n v="88.83"/>
    <n v="94.96"/>
    <n v="74.959999999999994"/>
    <s v="3ATM"/>
    <n v="8.1"/>
    <m/>
    <x v="2"/>
    <x v="1"/>
    <x v="0"/>
    <n v="72"/>
  </r>
  <r>
    <x v="5"/>
    <x v="9"/>
    <x v="6"/>
    <x v="9"/>
    <x v="3"/>
    <x v="9"/>
    <n v="129"/>
    <n v="85.43"/>
    <n v="93.28"/>
    <n v="77.63"/>
    <s v="3ATM"/>
    <n v="7.9"/>
    <m/>
    <x v="2"/>
    <x v="13"/>
    <x v="0"/>
    <n v="70.099999999999994"/>
  </r>
  <r>
    <x v="5"/>
    <x v="17"/>
    <x v="3"/>
    <x v="17"/>
    <x v="1"/>
    <x v="467"/>
    <n v="60.4"/>
    <n v="97.51"/>
    <n v="98.48"/>
    <n v="83.67"/>
    <s v="5ATM"/>
    <n v="9.1"/>
    <n v="2"/>
    <x v="1"/>
    <x v="9"/>
    <x v="2"/>
    <n v="65"/>
  </r>
  <r>
    <x v="5"/>
    <x v="11"/>
    <x v="1"/>
    <x v="11"/>
    <x v="1"/>
    <x v="468"/>
    <n v="68.400000000000006"/>
    <n v="92.82"/>
    <n v="97.24"/>
    <n v="81.849999999999994"/>
    <s v="IP68"/>
    <n v="9.3000000000000007"/>
    <n v="3.9"/>
    <x v="1"/>
    <x v="5"/>
    <x v="1"/>
    <n v="62.9"/>
  </r>
  <r>
    <x v="5"/>
    <x v="21"/>
    <x v="1"/>
    <x v="21"/>
    <x v="1"/>
    <x v="469"/>
    <n v="46.8"/>
    <n v="97.12"/>
    <n v="98.46"/>
    <n v="78.069999999999993"/>
    <s v="IP68"/>
    <n v="9.3000000000000007"/>
    <n v="2.7"/>
    <x v="1"/>
    <x v="4"/>
    <x v="1"/>
    <n v="63.6"/>
  </r>
  <r>
    <x v="5"/>
    <x v="9"/>
    <x v="6"/>
    <x v="9"/>
    <x v="3"/>
    <x v="9"/>
    <n v="129.1"/>
    <n v="88.13"/>
    <n v="96.57"/>
    <n v="75.45"/>
    <s v="IPX7"/>
    <n v="6.5"/>
    <m/>
    <x v="2"/>
    <x v="13"/>
    <x v="2"/>
    <n v="68.099999999999994"/>
  </r>
  <r>
    <x v="5"/>
    <x v="10"/>
    <x v="7"/>
    <x v="10"/>
    <x v="4"/>
    <x v="470"/>
    <n v="187.6"/>
    <n v="91.21"/>
    <n v="96.61"/>
    <n v="89.45"/>
    <s v="IPX7"/>
    <n v="8.1"/>
    <m/>
    <x v="2"/>
    <x v="11"/>
    <x v="0"/>
    <n v="75.7"/>
  </r>
  <r>
    <x v="5"/>
    <x v="9"/>
    <x v="6"/>
    <x v="9"/>
    <x v="3"/>
    <x v="9"/>
    <n v="126"/>
    <n v="86.2"/>
    <n v="94.31"/>
    <n v="73.83"/>
    <s v="3ATM"/>
    <n v="6"/>
    <m/>
    <x v="2"/>
    <x v="13"/>
    <x v="2"/>
    <n v="65.900000000000006"/>
  </r>
  <r>
    <x v="5"/>
    <x v="7"/>
    <x v="4"/>
    <x v="7"/>
    <x v="1"/>
    <x v="471"/>
    <n v="651.20000000000005"/>
    <n v="92.89"/>
    <n v="99.07"/>
    <n v="84.68"/>
    <s v="5ATM"/>
    <n v="7.8"/>
    <n v="3.9"/>
    <x v="1"/>
    <x v="10"/>
    <x v="0"/>
    <n v="63.2"/>
  </r>
  <r>
    <x v="5"/>
    <x v="9"/>
    <x v="6"/>
    <x v="9"/>
    <x v="3"/>
    <x v="9"/>
    <n v="162.5"/>
    <n v="89.91"/>
    <n v="96.49"/>
    <n v="77.22"/>
    <s v="IPX7"/>
    <n v="7.8"/>
    <m/>
    <x v="2"/>
    <x v="13"/>
    <x v="0"/>
    <n v="72.2"/>
  </r>
  <r>
    <x v="5"/>
    <x v="9"/>
    <x v="6"/>
    <x v="9"/>
    <x v="3"/>
    <x v="9"/>
    <n v="142.69999999999999"/>
    <n v="91.01"/>
    <n v="93.4"/>
    <n v="75.5"/>
    <s v="IPX4"/>
    <n v="8"/>
    <m/>
    <x v="2"/>
    <x v="0"/>
    <x v="2"/>
    <n v="71.400000000000006"/>
  </r>
  <r>
    <x v="5"/>
    <x v="24"/>
    <x v="2"/>
    <x v="24"/>
    <x v="1"/>
    <x v="472"/>
    <n v="52.2"/>
    <n v="94.59"/>
    <n v="94.1"/>
    <n v="84.72"/>
    <s v="IP68"/>
    <n v="8.9"/>
    <n v="4.7"/>
    <x v="3"/>
    <x v="7"/>
    <x v="0"/>
    <n v="61.6"/>
  </r>
  <r>
    <x v="5"/>
    <x v="10"/>
    <x v="7"/>
    <x v="10"/>
    <x v="4"/>
    <x v="473"/>
    <n v="184.1"/>
    <n v="86.37"/>
    <n v="95.69"/>
    <n v="85.14"/>
    <s v="IPX7"/>
    <n v="8.1999999999999993"/>
    <m/>
    <x v="2"/>
    <x v="11"/>
    <x v="2"/>
    <n v="73.8"/>
  </r>
  <r>
    <x v="5"/>
    <x v="20"/>
    <x v="0"/>
    <x v="20"/>
    <x v="1"/>
    <x v="474"/>
    <n v="66.7"/>
    <n v="94.21"/>
    <n v="96.61"/>
    <n v="84.9"/>
    <s v="IP68"/>
    <n v="7.7"/>
    <n v="2.4"/>
    <x v="3"/>
    <x v="6"/>
    <x v="0"/>
    <n v="61.8"/>
  </r>
  <r>
    <x v="5"/>
    <x v="1"/>
    <x v="1"/>
    <x v="1"/>
    <x v="1"/>
    <x v="475"/>
    <n v="31.1"/>
    <n v="94.29"/>
    <n v="96.95"/>
    <n v="80.83"/>
    <s v="IPX8"/>
    <n v="8.9"/>
    <n v="4.2"/>
    <x v="3"/>
    <x v="5"/>
    <x v="1"/>
    <n v="61.3"/>
  </r>
  <r>
    <x v="5"/>
    <x v="20"/>
    <x v="0"/>
    <x v="20"/>
    <x v="2"/>
    <x v="402"/>
    <n v="226.8"/>
    <n v="92.8"/>
    <n v="95.84"/>
    <n v="79.75"/>
    <s v="5ATM"/>
    <n v="7.8"/>
    <n v="3.9"/>
    <x v="2"/>
    <x v="0"/>
    <x v="0"/>
    <n v="61.8"/>
  </r>
  <r>
    <x v="5"/>
    <x v="27"/>
    <x v="9"/>
    <x v="27"/>
    <x v="2"/>
    <x v="476"/>
    <n v="203.8"/>
    <n v="95.55"/>
    <n v="94.22"/>
    <n v="77.680000000000007"/>
    <s v="IP68"/>
    <n v="8.1"/>
    <n v="2.2000000000000002"/>
    <x v="0"/>
    <x v="0"/>
    <x v="0"/>
    <n v="63.3"/>
  </r>
  <r>
    <x v="5"/>
    <x v="15"/>
    <x v="8"/>
    <x v="15"/>
    <x v="1"/>
    <x v="477"/>
    <n v="46.9"/>
    <n v="92.06"/>
    <n v="94.82"/>
    <n v="84.06"/>
    <s v="IP68"/>
    <n v="9.1"/>
    <n v="3"/>
    <x v="3"/>
    <x v="3"/>
    <x v="0"/>
    <n v="62.6"/>
  </r>
  <r>
    <x v="5"/>
    <x v="14"/>
    <x v="9"/>
    <x v="14"/>
    <x v="1"/>
    <x v="478"/>
    <n v="42.1"/>
    <n v="92.89"/>
    <n v="95.46"/>
    <n v="81.17"/>
    <s v="IP68"/>
    <n v="6.6"/>
    <n v="2.9"/>
    <x v="3"/>
    <x v="1"/>
    <x v="2"/>
    <n v="58.2"/>
  </r>
  <r>
    <x v="5"/>
    <x v="25"/>
    <x v="5"/>
    <x v="25"/>
    <x v="1"/>
    <x v="479"/>
    <n v="46.6"/>
    <n v="94.05"/>
    <n v="94.49"/>
    <n v="81.89"/>
    <s v="5ATM"/>
    <n v="7.6"/>
    <n v="4.9000000000000004"/>
    <x v="1"/>
    <x v="7"/>
    <x v="0"/>
    <n v="58.7"/>
  </r>
  <r>
    <x v="5"/>
    <x v="17"/>
    <x v="3"/>
    <x v="17"/>
    <x v="1"/>
    <x v="480"/>
    <n v="38.1"/>
    <n v="96.68"/>
    <n v="96.31"/>
    <n v="78.19"/>
    <s v="5ATM"/>
    <n v="9.1"/>
    <n v="2.2000000000000002"/>
    <x v="3"/>
    <x v="9"/>
    <x v="2"/>
    <n v="63"/>
  </r>
  <r>
    <x v="5"/>
    <x v="19"/>
    <x v="9"/>
    <x v="19"/>
    <x v="0"/>
    <x v="481"/>
    <n v="166"/>
    <n v="94.99"/>
    <n v="96.76"/>
    <n v="73.819999999999993"/>
    <s v="IPX4"/>
    <n v="7.9"/>
    <m/>
    <x v="0"/>
    <x v="12"/>
    <x v="0"/>
    <n v="72.900000000000006"/>
  </r>
  <r>
    <x v="5"/>
    <x v="9"/>
    <x v="6"/>
    <x v="9"/>
    <x v="3"/>
    <x v="9"/>
    <n v="120.4"/>
    <n v="92"/>
    <n v="96.87"/>
    <n v="78.39"/>
    <s v="3ATM"/>
    <n v="7.3"/>
    <m/>
    <x v="2"/>
    <x v="11"/>
    <x v="0"/>
    <n v="70.900000000000006"/>
  </r>
  <r>
    <x v="5"/>
    <x v="24"/>
    <x v="2"/>
    <x v="24"/>
    <x v="1"/>
    <x v="482"/>
    <n v="61.4"/>
    <n v="95.01"/>
    <n v="93.24"/>
    <n v="82.23"/>
    <s v="IP68"/>
    <n v="8.6999999999999993"/>
    <n v="2.4"/>
    <x v="1"/>
    <x v="6"/>
    <x v="0"/>
    <n v="62.5"/>
  </r>
  <r>
    <x v="5"/>
    <x v="7"/>
    <x v="4"/>
    <x v="7"/>
    <x v="1"/>
    <x v="483"/>
    <n v="417.9"/>
    <n v="93.8"/>
    <n v="98.16"/>
    <n v="77.39"/>
    <s v="5ATM"/>
    <n v="9.1999999999999993"/>
    <n v="4.8"/>
    <x v="1"/>
    <x v="7"/>
    <x v="0"/>
    <n v="63.7"/>
  </r>
  <r>
    <x v="5"/>
    <x v="4"/>
    <x v="3"/>
    <x v="4"/>
    <x v="1"/>
    <x v="484"/>
    <n v="35.700000000000003"/>
    <n v="96.23"/>
    <n v="97.36"/>
    <n v="77.47"/>
    <s v="5ATM"/>
    <n v="8.5"/>
    <n v="3.5"/>
    <x v="3"/>
    <x v="10"/>
    <x v="2"/>
    <n v="61.1"/>
  </r>
  <r>
    <x v="5"/>
    <x v="13"/>
    <x v="0"/>
    <x v="13"/>
    <x v="0"/>
    <x v="485"/>
    <n v="154.4"/>
    <n v="92.28"/>
    <n v="95.84"/>
    <n v="70.39"/>
    <s v="3ATM"/>
    <n v="6.5"/>
    <m/>
    <x v="2"/>
    <x v="6"/>
    <x v="0"/>
    <n v="68.400000000000006"/>
  </r>
  <r>
    <x v="5"/>
    <x v="7"/>
    <x v="4"/>
    <x v="7"/>
    <x v="2"/>
    <x v="486"/>
    <n v="639.9"/>
    <n v="96.04"/>
    <n v="99.1"/>
    <n v="77.959999999999994"/>
    <s v="10ATM"/>
    <n v="8.9"/>
    <n v="2.5"/>
    <x v="0"/>
    <x v="10"/>
    <x v="0"/>
    <n v="65.400000000000006"/>
  </r>
  <r>
    <x v="5"/>
    <x v="10"/>
    <x v="7"/>
    <x v="10"/>
    <x v="4"/>
    <x v="487"/>
    <n v="184.5"/>
    <n v="85.25"/>
    <n v="93.11"/>
    <n v="88.74"/>
    <s v="IPX8"/>
    <n v="8"/>
    <m/>
    <x v="2"/>
    <x v="0"/>
    <x v="0"/>
    <n v="73.400000000000006"/>
  </r>
  <r>
    <x v="5"/>
    <x v="9"/>
    <x v="6"/>
    <x v="9"/>
    <x v="3"/>
    <x v="9"/>
    <n v="131.30000000000001"/>
    <n v="91.96"/>
    <n v="94.5"/>
    <n v="70.28"/>
    <s v="IPX4"/>
    <n v="7.7"/>
    <m/>
    <x v="2"/>
    <x v="11"/>
    <x v="2"/>
    <n v="69.900000000000006"/>
  </r>
  <r>
    <x v="5"/>
    <x v="17"/>
    <x v="3"/>
    <x v="17"/>
    <x v="1"/>
    <x v="488"/>
    <n v="18.899999999999999"/>
    <n v="93.01"/>
    <n v="97.9"/>
    <n v="79.510000000000005"/>
    <s v="5ATM"/>
    <n v="9.4"/>
    <n v="4"/>
    <x v="3"/>
    <x v="9"/>
    <x v="2"/>
    <n v="61.8"/>
  </r>
  <r>
    <x v="5"/>
    <x v="6"/>
    <x v="5"/>
    <x v="6"/>
    <x v="1"/>
    <x v="489"/>
    <n v="39.700000000000003"/>
    <n v="93.41"/>
    <n v="93.87"/>
    <n v="83.64"/>
    <s v="5ATM"/>
    <n v="8.1999999999999993"/>
    <n v="5"/>
    <x v="1"/>
    <x v="9"/>
    <x v="0"/>
    <n v="59.6"/>
  </r>
  <r>
    <x v="5"/>
    <x v="5"/>
    <x v="4"/>
    <x v="5"/>
    <x v="1"/>
    <x v="490"/>
    <n v="503.5"/>
    <n v="92.55"/>
    <n v="99.4"/>
    <n v="77.81"/>
    <s v="5ATM"/>
    <n v="8.3000000000000007"/>
    <n v="4.4000000000000004"/>
    <x v="3"/>
    <x v="10"/>
    <x v="0"/>
    <n v="62.5"/>
  </r>
  <r>
    <x v="5"/>
    <x v="27"/>
    <x v="9"/>
    <x v="27"/>
    <x v="1"/>
    <x v="491"/>
    <n v="42.7"/>
    <n v="96.24"/>
    <n v="95.68"/>
    <n v="76.38"/>
    <s v="IPX8"/>
    <n v="6.8"/>
    <n v="2.1"/>
    <x v="1"/>
    <x v="10"/>
    <x v="0"/>
    <n v="58.8"/>
  </r>
  <r>
    <x v="5"/>
    <x v="28"/>
    <x v="4"/>
    <x v="28"/>
    <x v="1"/>
    <x v="492"/>
    <n v="1599.9"/>
    <n v="97.32"/>
    <n v="99.33"/>
    <n v="77.8"/>
    <s v="10ATM"/>
    <n v="8.1"/>
    <n v="3.3"/>
    <x v="3"/>
    <x v="10"/>
    <x v="0"/>
    <n v="63.7"/>
  </r>
  <r>
    <x v="5"/>
    <x v="8"/>
    <x v="3"/>
    <x v="8"/>
    <x v="1"/>
    <x v="493"/>
    <n v="19.2"/>
    <n v="96.62"/>
    <n v="98.25"/>
    <n v="78.02"/>
    <s v="IPX8"/>
    <n v="8.6999999999999993"/>
    <n v="4.8"/>
    <x v="3"/>
    <x v="5"/>
    <x v="2"/>
    <n v="60.5"/>
  </r>
  <r>
    <x v="5"/>
    <x v="21"/>
    <x v="1"/>
    <x v="21"/>
    <x v="1"/>
    <x v="494"/>
    <n v="53.6"/>
    <n v="93.87"/>
    <n v="97.44"/>
    <n v="78.12"/>
    <s v="5ATM"/>
    <n v="8.5"/>
    <n v="2.2000000000000002"/>
    <x v="1"/>
    <x v="9"/>
    <x v="1"/>
    <n v="62"/>
  </r>
  <r>
    <x v="5"/>
    <x v="25"/>
    <x v="5"/>
    <x v="25"/>
    <x v="2"/>
    <x v="495"/>
    <n v="200.3"/>
    <n v="94.45"/>
    <n v="95.58"/>
    <n v="72.14"/>
    <s v="5ATM"/>
    <n v="7.7"/>
    <n v="3.4"/>
    <x v="2"/>
    <x v="6"/>
    <x v="0"/>
    <n v="60.9"/>
  </r>
  <r>
    <x v="5"/>
    <x v="13"/>
    <x v="0"/>
    <x v="13"/>
    <x v="0"/>
    <x v="496"/>
    <n v="139.4"/>
    <n v="88.46"/>
    <n v="96.65"/>
    <n v="75.67"/>
    <s v="3ATM"/>
    <n v="7.5"/>
    <m/>
    <x v="2"/>
    <x v="1"/>
    <x v="0"/>
    <n v="70.5"/>
  </r>
  <r>
    <x v="5"/>
    <x v="21"/>
    <x v="1"/>
    <x v="21"/>
    <x v="1"/>
    <x v="497"/>
    <n v="68.599999999999994"/>
    <n v="95.68"/>
    <n v="97.2"/>
    <n v="82.58"/>
    <s v="IP68"/>
    <n v="9"/>
    <n v="4.5"/>
    <x v="1"/>
    <x v="7"/>
    <x v="1"/>
    <n v="62.6"/>
  </r>
  <r>
    <x v="5"/>
    <x v="8"/>
    <x v="3"/>
    <x v="8"/>
    <x v="1"/>
    <x v="498"/>
    <n v="47.8"/>
    <n v="92.84"/>
    <n v="96.55"/>
    <n v="75.2"/>
    <s v="IPX8"/>
    <n v="8.3000000000000007"/>
    <n v="4"/>
    <x v="3"/>
    <x v="10"/>
    <x v="2"/>
    <n v="59.5"/>
  </r>
  <r>
    <x v="5"/>
    <x v="4"/>
    <x v="3"/>
    <x v="4"/>
    <x v="1"/>
    <x v="499"/>
    <n v="65.400000000000006"/>
    <n v="94.43"/>
    <n v="96.66"/>
    <n v="82.16"/>
    <s v="IP68"/>
    <n v="8.5"/>
    <n v="2"/>
    <x v="1"/>
    <x v="3"/>
    <x v="2"/>
    <n v="63"/>
  </r>
  <r>
    <x v="5"/>
    <x v="27"/>
    <x v="9"/>
    <x v="27"/>
    <x v="1"/>
    <x v="500"/>
    <n v="57.3"/>
    <n v="93.91"/>
    <n v="94.43"/>
    <n v="83.11"/>
    <s v="IPX8"/>
    <n v="7"/>
    <n v="4.2"/>
    <x v="1"/>
    <x v="5"/>
    <x v="2"/>
    <n v="58.6"/>
  </r>
  <r>
    <x v="5"/>
    <x v="28"/>
    <x v="4"/>
    <x v="28"/>
    <x v="2"/>
    <x v="501"/>
    <n v="1488.7"/>
    <n v="94"/>
    <n v="98.16"/>
    <n v="78.180000000000007"/>
    <s v="10ATM"/>
    <n v="9.3000000000000007"/>
    <n v="4.2"/>
    <x v="0"/>
    <x v="1"/>
    <x v="0"/>
    <n v="64.400000000000006"/>
  </r>
  <r>
    <x v="5"/>
    <x v="7"/>
    <x v="4"/>
    <x v="7"/>
    <x v="2"/>
    <x v="502"/>
    <n v="322.2"/>
    <n v="94.07"/>
    <n v="99.44"/>
    <n v="71.09"/>
    <s v="10ATM"/>
    <n v="8.6999999999999993"/>
    <n v="2.2000000000000002"/>
    <x v="0"/>
    <x v="12"/>
    <x v="0"/>
    <n v="63.8"/>
  </r>
  <r>
    <x v="5"/>
    <x v="16"/>
    <x v="4"/>
    <x v="16"/>
    <x v="1"/>
    <x v="503"/>
    <n v="307.10000000000002"/>
    <n v="92.17"/>
    <n v="99.44"/>
    <n v="82.39"/>
    <s v="5ATM"/>
    <n v="9.3000000000000007"/>
    <n v="1.9"/>
    <x v="1"/>
    <x v="3"/>
    <x v="0"/>
    <n v="66.599999999999994"/>
  </r>
  <r>
    <x v="6"/>
    <x v="4"/>
    <x v="3"/>
    <x v="4"/>
    <x v="1"/>
    <x v="504"/>
    <n v="58.1"/>
    <n v="97.6"/>
    <n v="97.48"/>
    <n v="78.97"/>
    <s v="5ATM"/>
    <n v="9.5"/>
    <n v="2.2999999999999998"/>
    <x v="3"/>
    <x v="10"/>
    <x v="2"/>
    <n v="64.5"/>
  </r>
  <r>
    <x v="6"/>
    <x v="25"/>
    <x v="5"/>
    <x v="25"/>
    <x v="2"/>
    <x v="505"/>
    <n v="219.4"/>
    <n v="97.7"/>
    <n v="95.12"/>
    <n v="73.98"/>
    <s v="5ATM"/>
    <n v="7.3"/>
    <n v="2.6"/>
    <x v="0"/>
    <x v="2"/>
    <x v="2"/>
    <n v="61.6"/>
  </r>
  <r>
    <x v="6"/>
    <x v="13"/>
    <x v="0"/>
    <x v="13"/>
    <x v="0"/>
    <x v="506"/>
    <n v="145.5"/>
    <n v="92.4"/>
    <n v="95.37"/>
    <n v="70.28"/>
    <s v="3ATM"/>
    <n v="7.1"/>
    <m/>
    <x v="0"/>
    <x v="6"/>
    <x v="0"/>
    <n v="69.3"/>
  </r>
  <r>
    <x v="6"/>
    <x v="2"/>
    <x v="0"/>
    <x v="2"/>
    <x v="2"/>
    <x v="507"/>
    <n v="139.19999999999999"/>
    <n v="97.51"/>
    <n v="95.94"/>
    <n v="77.239999999999995"/>
    <s v="IPX8"/>
    <n v="6.3"/>
    <n v="4.4000000000000004"/>
    <x v="2"/>
    <x v="6"/>
    <x v="0"/>
    <n v="58.8"/>
  </r>
  <r>
    <x v="6"/>
    <x v="13"/>
    <x v="0"/>
    <x v="13"/>
    <x v="0"/>
    <x v="508"/>
    <n v="193.8"/>
    <n v="88.7"/>
    <n v="93.57"/>
    <n v="76.569999999999993"/>
    <s v="3ATM"/>
    <n v="7"/>
    <m/>
    <x v="0"/>
    <x v="12"/>
    <x v="0"/>
    <n v="69.8"/>
  </r>
  <r>
    <x v="6"/>
    <x v="24"/>
    <x v="2"/>
    <x v="24"/>
    <x v="1"/>
    <x v="509"/>
    <n v="67.599999999999994"/>
    <n v="97.11"/>
    <n v="96.19"/>
    <n v="84.51"/>
    <s v="IP68"/>
    <n v="8.1"/>
    <n v="3.8"/>
    <x v="3"/>
    <x v="3"/>
    <x v="0"/>
    <n v="61.9"/>
  </r>
  <r>
    <x v="6"/>
    <x v="22"/>
    <x v="8"/>
    <x v="22"/>
    <x v="1"/>
    <x v="510"/>
    <n v="53.6"/>
    <n v="92.57"/>
    <n v="96.62"/>
    <n v="82"/>
    <s v="IPX8"/>
    <n v="7.8"/>
    <n v="1.7"/>
    <x v="1"/>
    <x v="3"/>
    <x v="0"/>
    <n v="61.5"/>
  </r>
  <r>
    <x v="6"/>
    <x v="19"/>
    <x v="9"/>
    <x v="19"/>
    <x v="0"/>
    <x v="511"/>
    <n v="86.2"/>
    <n v="89.56"/>
    <n v="95.17"/>
    <n v="73.709999999999994"/>
    <s v="IPX4"/>
    <n v="6.6"/>
    <m/>
    <x v="2"/>
    <x v="1"/>
    <x v="2"/>
    <n v="66.900000000000006"/>
  </r>
  <r>
    <x v="6"/>
    <x v="9"/>
    <x v="6"/>
    <x v="9"/>
    <x v="3"/>
    <x v="9"/>
    <n v="150.4"/>
    <n v="85.67"/>
    <n v="95.92"/>
    <n v="74.930000000000007"/>
    <s v="3ATM"/>
    <n v="7"/>
    <m/>
    <x v="2"/>
    <x v="8"/>
    <x v="0"/>
    <n v="68.900000000000006"/>
  </r>
  <r>
    <x v="6"/>
    <x v="8"/>
    <x v="3"/>
    <x v="8"/>
    <x v="1"/>
    <x v="512"/>
    <n v="18.399999999999999"/>
    <n v="94.51"/>
    <n v="96.89"/>
    <n v="78.19"/>
    <s v="IPX8"/>
    <n v="8"/>
    <n v="2.9"/>
    <x v="1"/>
    <x v="7"/>
    <x v="2"/>
    <n v="60"/>
  </r>
  <r>
    <x v="6"/>
    <x v="28"/>
    <x v="4"/>
    <x v="28"/>
    <x v="2"/>
    <x v="513"/>
    <n v="1277.9000000000001"/>
    <n v="95.46"/>
    <n v="98.44"/>
    <n v="73.38"/>
    <s v="10ATM"/>
    <n v="8.1"/>
    <n v="3.5"/>
    <x v="2"/>
    <x v="2"/>
    <x v="0"/>
    <n v="62.4"/>
  </r>
  <r>
    <x v="6"/>
    <x v="0"/>
    <x v="0"/>
    <x v="0"/>
    <x v="0"/>
    <x v="514"/>
    <n v="163.69999999999999"/>
    <n v="91.38"/>
    <n v="94.32"/>
    <n v="75.47"/>
    <s v="IPX7"/>
    <n v="7.1"/>
    <m/>
    <x v="2"/>
    <x v="1"/>
    <x v="0"/>
    <n v="70.3"/>
  </r>
  <r>
    <x v="6"/>
    <x v="24"/>
    <x v="2"/>
    <x v="24"/>
    <x v="1"/>
    <x v="515"/>
    <n v="24.9"/>
    <n v="94.32"/>
    <n v="95.4"/>
    <n v="83.83"/>
    <s v="IP68"/>
    <n v="9.3000000000000007"/>
    <n v="3"/>
    <x v="3"/>
    <x v="5"/>
    <x v="0"/>
    <n v="62.9"/>
  </r>
  <r>
    <x v="6"/>
    <x v="9"/>
    <x v="6"/>
    <x v="9"/>
    <x v="3"/>
    <x v="9"/>
    <n v="150.80000000000001"/>
    <n v="86.87"/>
    <n v="95.99"/>
    <n v="70.03"/>
    <s v="3ATM"/>
    <n v="7.2"/>
    <m/>
    <x v="2"/>
    <x v="13"/>
    <x v="0"/>
    <n v="68.599999999999994"/>
  </r>
  <r>
    <x v="6"/>
    <x v="20"/>
    <x v="0"/>
    <x v="20"/>
    <x v="1"/>
    <x v="516"/>
    <n v="52.6"/>
    <n v="96.63"/>
    <n v="94.77"/>
    <n v="81.99"/>
    <s v="5ATM"/>
    <n v="7.8"/>
    <n v="3.6"/>
    <x v="1"/>
    <x v="3"/>
    <x v="0"/>
    <n v="60.5"/>
  </r>
  <r>
    <x v="6"/>
    <x v="27"/>
    <x v="9"/>
    <x v="27"/>
    <x v="2"/>
    <x v="517"/>
    <n v="191.1"/>
    <n v="92.51"/>
    <n v="95.24"/>
    <n v="76.430000000000007"/>
    <s v="IPX8"/>
    <n v="7.6"/>
    <n v="3.8"/>
    <x v="0"/>
    <x v="10"/>
    <x v="2"/>
    <n v="60.8"/>
  </r>
  <r>
    <x v="6"/>
    <x v="24"/>
    <x v="2"/>
    <x v="24"/>
    <x v="1"/>
    <x v="518"/>
    <n v="44.6"/>
    <n v="95.79"/>
    <n v="95.74"/>
    <n v="84.58"/>
    <s v="IP68"/>
    <n v="7.5"/>
    <n v="4.5"/>
    <x v="1"/>
    <x v="4"/>
    <x v="0"/>
    <n v="59.7"/>
  </r>
  <r>
    <x v="6"/>
    <x v="18"/>
    <x v="4"/>
    <x v="18"/>
    <x v="2"/>
    <x v="519"/>
    <n v="344.8"/>
    <n v="97.64"/>
    <n v="98.62"/>
    <n v="77.260000000000005"/>
    <s v="IP68"/>
    <n v="9.4"/>
    <n v="4.8"/>
    <x v="2"/>
    <x v="2"/>
    <x v="0"/>
    <n v="64.7"/>
  </r>
  <r>
    <x v="6"/>
    <x v="10"/>
    <x v="7"/>
    <x v="10"/>
    <x v="4"/>
    <x v="520"/>
    <n v="191.6"/>
    <n v="91.27"/>
    <n v="94.06"/>
    <n v="91.08"/>
    <s v="IPX7"/>
    <n v="9.1999999999999993"/>
    <m/>
    <x v="2"/>
    <x v="0"/>
    <x v="0"/>
    <n v="77.7"/>
  </r>
  <r>
    <x v="6"/>
    <x v="16"/>
    <x v="4"/>
    <x v="16"/>
    <x v="1"/>
    <x v="521"/>
    <n v="399.3"/>
    <n v="93.29"/>
    <n v="98.95"/>
    <n v="81.599999999999994"/>
    <s v="IPX8"/>
    <n v="9.1999999999999993"/>
    <n v="2.4"/>
    <x v="1"/>
    <x v="4"/>
    <x v="0"/>
    <n v="66"/>
  </r>
  <r>
    <x v="6"/>
    <x v="8"/>
    <x v="3"/>
    <x v="8"/>
    <x v="1"/>
    <x v="245"/>
    <n v="31.2"/>
    <n v="93.16"/>
    <n v="98.2"/>
    <n v="77.98"/>
    <s v="IPX8"/>
    <n v="7.2"/>
    <n v="2.2000000000000002"/>
    <x v="3"/>
    <x v="1"/>
    <x v="2"/>
    <n v="59.4"/>
  </r>
  <r>
    <x v="6"/>
    <x v="21"/>
    <x v="1"/>
    <x v="21"/>
    <x v="1"/>
    <x v="522"/>
    <n v="67.2"/>
    <n v="94.32"/>
    <n v="96.51"/>
    <n v="77.91"/>
    <s v="IP68"/>
    <n v="7.1"/>
    <n v="1.7"/>
    <x v="3"/>
    <x v="10"/>
    <x v="1"/>
    <n v="60.2"/>
  </r>
  <r>
    <x v="6"/>
    <x v="10"/>
    <x v="7"/>
    <x v="10"/>
    <x v="4"/>
    <x v="523"/>
    <n v="187.6"/>
    <n v="86.23"/>
    <n v="95.28"/>
    <n v="91.6"/>
    <s v="IPX7"/>
    <n v="9"/>
    <m/>
    <x v="2"/>
    <x v="8"/>
    <x v="0"/>
    <n v="76.599999999999994"/>
  </r>
  <r>
    <x v="6"/>
    <x v="21"/>
    <x v="1"/>
    <x v="21"/>
    <x v="1"/>
    <x v="524"/>
    <n v="32.1"/>
    <n v="92.7"/>
    <n v="97.57"/>
    <n v="81.08"/>
    <s v="IPX8"/>
    <n v="7.8"/>
    <n v="2.6"/>
    <x v="3"/>
    <x v="6"/>
    <x v="1"/>
    <n v="60.5"/>
  </r>
  <r>
    <x v="6"/>
    <x v="21"/>
    <x v="1"/>
    <x v="21"/>
    <x v="1"/>
    <x v="525"/>
    <n v="62.2"/>
    <n v="97.12"/>
    <n v="96.21"/>
    <n v="76.39"/>
    <s v="IP68"/>
    <n v="9.3000000000000007"/>
    <n v="4.4000000000000004"/>
    <x v="1"/>
    <x v="7"/>
    <x v="1"/>
    <n v="62.1"/>
  </r>
  <r>
    <x v="6"/>
    <x v="26"/>
    <x v="9"/>
    <x v="26"/>
    <x v="2"/>
    <x v="526"/>
    <n v="153"/>
    <n v="94.31"/>
    <n v="95.6"/>
    <n v="74.22"/>
    <s v="IP68"/>
    <n v="8.1"/>
    <n v="4.4000000000000004"/>
    <x v="2"/>
    <x v="10"/>
    <x v="2"/>
    <n v="61"/>
  </r>
  <r>
    <x v="6"/>
    <x v="6"/>
    <x v="5"/>
    <x v="6"/>
    <x v="1"/>
    <x v="527"/>
    <n v="25.6"/>
    <n v="94.82"/>
    <n v="93.16"/>
    <n v="80.959999999999994"/>
    <s v="5ATM"/>
    <n v="8.3000000000000007"/>
    <n v="3.8"/>
    <x v="1"/>
    <x v="4"/>
    <x v="2"/>
    <n v="60"/>
  </r>
  <r>
    <x v="6"/>
    <x v="9"/>
    <x v="6"/>
    <x v="9"/>
    <x v="3"/>
    <x v="9"/>
    <n v="166.1"/>
    <n v="86.01"/>
    <n v="95.71"/>
    <n v="79.14"/>
    <s v="3ATM"/>
    <n v="7.3"/>
    <m/>
    <x v="2"/>
    <x v="13"/>
    <x v="2"/>
    <n v="70.7"/>
  </r>
  <r>
    <x v="6"/>
    <x v="4"/>
    <x v="3"/>
    <x v="4"/>
    <x v="1"/>
    <x v="528"/>
    <n v="29.4"/>
    <n v="92.66"/>
    <n v="97.74"/>
    <n v="79.13"/>
    <s v="IPX8"/>
    <n v="7.3"/>
    <n v="2"/>
    <x v="3"/>
    <x v="6"/>
    <x v="2"/>
    <n v="59.7"/>
  </r>
  <r>
    <x v="6"/>
    <x v="20"/>
    <x v="0"/>
    <x v="20"/>
    <x v="1"/>
    <x v="529"/>
    <n v="68.8"/>
    <n v="93.45"/>
    <n v="96.15"/>
    <n v="77.16"/>
    <s v="IP68"/>
    <n v="7.9"/>
    <n v="2.4"/>
    <x v="1"/>
    <x v="4"/>
    <x v="0"/>
    <n v="60.7"/>
  </r>
  <r>
    <x v="6"/>
    <x v="14"/>
    <x v="9"/>
    <x v="14"/>
    <x v="1"/>
    <x v="530"/>
    <n v="28.9"/>
    <n v="92.41"/>
    <n v="93.76"/>
    <n v="79.760000000000005"/>
    <s v="IP68"/>
    <n v="8.5"/>
    <n v="3.6"/>
    <x v="1"/>
    <x v="9"/>
    <x v="0"/>
    <n v="60"/>
  </r>
  <r>
    <x v="6"/>
    <x v="9"/>
    <x v="6"/>
    <x v="9"/>
    <x v="3"/>
    <x v="9"/>
    <n v="129.9"/>
    <n v="90.8"/>
    <n v="96.51"/>
    <n v="77.41"/>
    <s v="IPX7"/>
    <n v="7.3"/>
    <m/>
    <x v="2"/>
    <x v="13"/>
    <x v="2"/>
    <n v="70.599999999999994"/>
  </r>
  <r>
    <x v="6"/>
    <x v="4"/>
    <x v="3"/>
    <x v="4"/>
    <x v="1"/>
    <x v="531"/>
    <n v="41"/>
    <n v="92.39"/>
    <n v="96.84"/>
    <n v="84.9"/>
    <s v="5ATM"/>
    <n v="8.9"/>
    <n v="3.5"/>
    <x v="1"/>
    <x v="7"/>
    <x v="2"/>
    <n v="62.3"/>
  </r>
  <r>
    <x v="6"/>
    <x v="13"/>
    <x v="0"/>
    <x v="13"/>
    <x v="0"/>
    <x v="532"/>
    <n v="169.6"/>
    <n v="92.84"/>
    <n v="95.75"/>
    <n v="71.55"/>
    <s v="IPX4"/>
    <n v="7.4"/>
    <m/>
    <x v="2"/>
    <x v="10"/>
    <x v="0"/>
    <n v="70.8"/>
  </r>
  <r>
    <x v="6"/>
    <x v="28"/>
    <x v="4"/>
    <x v="28"/>
    <x v="2"/>
    <x v="533"/>
    <n v="1855.4"/>
    <n v="94.07"/>
    <n v="98.94"/>
    <n v="76.86"/>
    <s v="10ATM"/>
    <n v="7.8"/>
    <n v="1.6"/>
    <x v="2"/>
    <x v="2"/>
    <x v="0"/>
    <n v="63.6"/>
  </r>
  <r>
    <x v="6"/>
    <x v="24"/>
    <x v="2"/>
    <x v="24"/>
    <x v="2"/>
    <x v="534"/>
    <n v="208.5"/>
    <n v="95.56"/>
    <n v="96.66"/>
    <n v="71.09"/>
    <s v="5ATM"/>
    <n v="9"/>
    <n v="2.7"/>
    <x v="2"/>
    <x v="0"/>
    <x v="0"/>
    <n v="63.8"/>
  </r>
  <r>
    <x v="6"/>
    <x v="9"/>
    <x v="6"/>
    <x v="9"/>
    <x v="3"/>
    <x v="9"/>
    <n v="149.19999999999999"/>
    <n v="88.18"/>
    <n v="93.18"/>
    <n v="77.14"/>
    <s v="IPX4"/>
    <n v="6.8"/>
    <m/>
    <x v="2"/>
    <x v="11"/>
    <x v="0"/>
    <n v="68.900000000000006"/>
  </r>
  <r>
    <x v="6"/>
    <x v="17"/>
    <x v="3"/>
    <x v="17"/>
    <x v="1"/>
    <x v="535"/>
    <n v="47.4"/>
    <n v="94.97"/>
    <n v="97.84"/>
    <n v="78.569999999999993"/>
    <s v="5ATM"/>
    <n v="7.7"/>
    <n v="2.6"/>
    <x v="1"/>
    <x v="3"/>
    <x v="2"/>
    <n v="60.6"/>
  </r>
  <r>
    <x v="6"/>
    <x v="15"/>
    <x v="8"/>
    <x v="15"/>
    <x v="1"/>
    <x v="536"/>
    <n v="66.5"/>
    <n v="97.17"/>
    <n v="96.76"/>
    <n v="77.599999999999994"/>
    <s v="IP68"/>
    <n v="8.1999999999999993"/>
    <n v="1.6"/>
    <x v="1"/>
    <x v="5"/>
    <x v="2"/>
    <n v="62.5"/>
  </r>
  <r>
    <x v="6"/>
    <x v="3"/>
    <x v="2"/>
    <x v="3"/>
    <x v="2"/>
    <x v="537"/>
    <n v="234.3"/>
    <n v="95.38"/>
    <n v="96.08"/>
    <n v="77.569999999999993"/>
    <s v="IPX8"/>
    <n v="9"/>
    <n v="4.5999999999999996"/>
    <x v="0"/>
    <x v="1"/>
    <x v="0"/>
    <n v="63.4"/>
  </r>
  <r>
    <x v="6"/>
    <x v="21"/>
    <x v="1"/>
    <x v="21"/>
    <x v="1"/>
    <x v="538"/>
    <n v="58.3"/>
    <n v="93.66"/>
    <n v="97.45"/>
    <n v="78.52"/>
    <s v="IP68"/>
    <n v="8.1999999999999993"/>
    <n v="3.6"/>
    <x v="3"/>
    <x v="6"/>
    <x v="1"/>
    <n v="60.7"/>
  </r>
  <r>
    <x v="6"/>
    <x v="3"/>
    <x v="2"/>
    <x v="3"/>
    <x v="2"/>
    <x v="539"/>
    <n v="109.4"/>
    <n v="94.44"/>
    <n v="96.27"/>
    <n v="73.45"/>
    <s v="IPX8"/>
    <n v="9.3000000000000007"/>
    <n v="1.5"/>
    <x v="0"/>
    <x v="1"/>
    <x v="0"/>
    <n v="64"/>
  </r>
  <r>
    <x v="6"/>
    <x v="10"/>
    <x v="7"/>
    <x v="10"/>
    <x v="4"/>
    <x v="540"/>
    <n v="185.9"/>
    <n v="89.95"/>
    <n v="95.63"/>
    <n v="91.71"/>
    <s v="IPX7"/>
    <n v="8"/>
    <m/>
    <x v="2"/>
    <x v="11"/>
    <x v="0"/>
    <n v="75.5"/>
  </r>
  <r>
    <x v="6"/>
    <x v="3"/>
    <x v="2"/>
    <x v="3"/>
    <x v="2"/>
    <x v="541"/>
    <n v="121.5"/>
    <n v="93.66"/>
    <n v="96.75"/>
    <n v="77.760000000000005"/>
    <s v="IPX8"/>
    <n v="7.9"/>
    <n v="4.8"/>
    <x v="0"/>
    <x v="6"/>
    <x v="0"/>
    <n v="60.4"/>
  </r>
  <r>
    <x v="6"/>
    <x v="4"/>
    <x v="3"/>
    <x v="4"/>
    <x v="1"/>
    <x v="542"/>
    <n v="49.5"/>
    <n v="92.55"/>
    <n v="97.28"/>
    <n v="83.09"/>
    <s v="IPX8"/>
    <n v="7.2"/>
    <n v="3"/>
    <x v="3"/>
    <x v="7"/>
    <x v="2"/>
    <n v="59.8"/>
  </r>
  <r>
    <x v="6"/>
    <x v="27"/>
    <x v="9"/>
    <x v="27"/>
    <x v="1"/>
    <x v="543"/>
    <n v="55"/>
    <n v="95.85"/>
    <n v="93.89"/>
    <n v="82.1"/>
    <s v="IPX8"/>
    <n v="7"/>
    <n v="1.7"/>
    <x v="1"/>
    <x v="9"/>
    <x v="0"/>
    <n v="60.3"/>
  </r>
  <r>
    <x v="6"/>
    <x v="10"/>
    <x v="7"/>
    <x v="10"/>
    <x v="4"/>
    <x v="544"/>
    <n v="174.9"/>
    <n v="90.64"/>
    <n v="96.88"/>
    <n v="87.97"/>
    <s v="IPX8"/>
    <n v="8.1999999999999993"/>
    <m/>
    <x v="2"/>
    <x v="8"/>
    <x v="2"/>
    <n v="75.5"/>
  </r>
  <r>
    <x v="6"/>
    <x v="26"/>
    <x v="9"/>
    <x v="26"/>
    <x v="2"/>
    <x v="545"/>
    <n v="192.3"/>
    <n v="94.57"/>
    <n v="94.54"/>
    <n v="70.12"/>
    <s v="IPX8"/>
    <n v="6.7"/>
    <n v="4.9000000000000004"/>
    <x v="0"/>
    <x v="0"/>
    <x v="2"/>
    <n v="57.8"/>
  </r>
  <r>
    <x v="6"/>
    <x v="0"/>
    <x v="0"/>
    <x v="0"/>
    <x v="0"/>
    <x v="546"/>
    <n v="232.8"/>
    <n v="92.29"/>
    <n v="95.59"/>
    <n v="74.56"/>
    <s v="IPX4"/>
    <n v="8.5"/>
    <m/>
    <x v="2"/>
    <x v="6"/>
    <x v="0"/>
    <n v="73.5"/>
  </r>
  <r>
    <x v="6"/>
    <x v="3"/>
    <x v="2"/>
    <x v="3"/>
    <x v="2"/>
    <x v="547"/>
    <n v="120.7"/>
    <n v="97.66"/>
    <n v="96.92"/>
    <n v="75.739999999999995"/>
    <s v="5ATM"/>
    <n v="8.1999999999999993"/>
    <n v="4"/>
    <x v="0"/>
    <x v="2"/>
    <x v="0"/>
    <n v="61.8"/>
  </r>
  <r>
    <x v="6"/>
    <x v="13"/>
    <x v="0"/>
    <x v="13"/>
    <x v="0"/>
    <x v="548"/>
    <n v="162.6"/>
    <n v="91.62"/>
    <n v="96.59"/>
    <n v="79.61"/>
    <s v="IPX4"/>
    <n v="7.7"/>
    <m/>
    <x v="2"/>
    <x v="6"/>
    <x v="0"/>
    <n v="72.8"/>
  </r>
  <r>
    <x v="6"/>
    <x v="25"/>
    <x v="5"/>
    <x v="25"/>
    <x v="2"/>
    <x v="549"/>
    <n v="175.6"/>
    <n v="97.78"/>
    <n v="94.77"/>
    <n v="71.099999999999994"/>
    <s v="IP68"/>
    <n v="7.8"/>
    <n v="2.8"/>
    <x v="2"/>
    <x v="1"/>
    <x v="2"/>
    <n v="61.7"/>
  </r>
  <r>
    <x v="6"/>
    <x v="3"/>
    <x v="2"/>
    <x v="3"/>
    <x v="2"/>
    <x v="133"/>
    <n v="192.8"/>
    <n v="95.03"/>
    <n v="96.32"/>
    <n v="75.48"/>
    <s v="5ATM"/>
    <n v="8.1"/>
    <n v="3.2"/>
    <x v="2"/>
    <x v="12"/>
    <x v="0"/>
    <n v="62.5"/>
  </r>
  <r>
    <x v="6"/>
    <x v="10"/>
    <x v="7"/>
    <x v="10"/>
    <x v="4"/>
    <x v="550"/>
    <n v="189.7"/>
    <n v="86.08"/>
    <n v="94.36"/>
    <n v="88.38"/>
    <s v="IPX8"/>
    <n v="9.1999999999999993"/>
    <m/>
    <x v="2"/>
    <x v="11"/>
    <x v="2"/>
    <n v="76.2"/>
  </r>
  <r>
    <x v="6"/>
    <x v="9"/>
    <x v="6"/>
    <x v="9"/>
    <x v="3"/>
    <x v="9"/>
    <n v="126.3"/>
    <n v="90.18"/>
    <n v="94.08"/>
    <n v="70.849999999999994"/>
    <s v="IPX4"/>
    <n v="7"/>
    <m/>
    <x v="2"/>
    <x v="0"/>
    <x v="2"/>
    <n v="68"/>
  </r>
  <r>
    <x v="6"/>
    <x v="21"/>
    <x v="1"/>
    <x v="21"/>
    <x v="1"/>
    <x v="551"/>
    <n v="43.1"/>
    <n v="92.25"/>
    <n v="96.92"/>
    <n v="81.48"/>
    <s v="IP68"/>
    <n v="8.1"/>
    <n v="4"/>
    <x v="1"/>
    <x v="9"/>
    <x v="1"/>
    <n v="60.1"/>
  </r>
  <r>
    <x v="6"/>
    <x v="23"/>
    <x v="8"/>
    <x v="23"/>
    <x v="1"/>
    <x v="552"/>
    <n v="24.9"/>
    <n v="95.64"/>
    <n v="96.27"/>
    <n v="78.12"/>
    <s v="5ATM"/>
    <n v="7.2"/>
    <n v="3.6"/>
    <x v="1"/>
    <x v="7"/>
    <x v="2"/>
    <n v="58.4"/>
  </r>
  <r>
    <x v="6"/>
    <x v="4"/>
    <x v="3"/>
    <x v="4"/>
    <x v="1"/>
    <x v="553"/>
    <n v="32.200000000000003"/>
    <n v="92.96"/>
    <n v="97.79"/>
    <n v="79.63"/>
    <s v="5ATM"/>
    <n v="7.8"/>
    <n v="4.2"/>
    <x v="1"/>
    <x v="6"/>
    <x v="2"/>
    <n v="59.2"/>
  </r>
  <r>
    <x v="6"/>
    <x v="16"/>
    <x v="4"/>
    <x v="16"/>
    <x v="2"/>
    <x v="554"/>
    <n v="338.1"/>
    <n v="95.68"/>
    <n v="99.07"/>
    <n v="75.19"/>
    <s v="IPX8"/>
    <n v="8.6999999999999993"/>
    <n v="2.2000000000000002"/>
    <x v="2"/>
    <x v="10"/>
    <x v="0"/>
    <n v="64.7"/>
  </r>
  <r>
    <x v="6"/>
    <x v="11"/>
    <x v="1"/>
    <x v="11"/>
    <x v="1"/>
    <x v="555"/>
    <n v="27.6"/>
    <n v="92.84"/>
    <n v="96.79"/>
    <n v="77.260000000000005"/>
    <s v="5ATM"/>
    <n v="8.4"/>
    <n v="2.2000000000000002"/>
    <x v="3"/>
    <x v="3"/>
    <x v="1"/>
    <n v="60.9"/>
  </r>
  <r>
    <x v="6"/>
    <x v="0"/>
    <x v="0"/>
    <x v="0"/>
    <x v="0"/>
    <x v="556"/>
    <n v="116.1"/>
    <n v="93.93"/>
    <n v="93.32"/>
    <n v="76.680000000000007"/>
    <s v="IPX4"/>
    <n v="8"/>
    <m/>
    <x v="0"/>
    <x v="1"/>
    <x v="0"/>
    <n v="71.599999999999994"/>
  </r>
  <r>
    <x v="6"/>
    <x v="24"/>
    <x v="2"/>
    <x v="24"/>
    <x v="2"/>
    <x v="557"/>
    <n v="208.2"/>
    <n v="96.78"/>
    <n v="93.83"/>
    <n v="77"/>
    <s v="IP68"/>
    <n v="7.8"/>
    <n v="4.0999999999999996"/>
    <x v="2"/>
    <x v="6"/>
    <x v="0"/>
    <n v="61.5"/>
  </r>
  <r>
    <x v="6"/>
    <x v="10"/>
    <x v="7"/>
    <x v="10"/>
    <x v="4"/>
    <x v="558"/>
    <n v="170.3"/>
    <n v="89.39"/>
    <n v="93.09"/>
    <n v="86.93"/>
    <s v="IPX7"/>
    <n v="8.1999999999999993"/>
    <m/>
    <x v="2"/>
    <x v="11"/>
    <x v="2"/>
    <n v="74.3"/>
  </r>
  <r>
    <x v="6"/>
    <x v="19"/>
    <x v="9"/>
    <x v="19"/>
    <x v="0"/>
    <x v="559"/>
    <n v="188.2"/>
    <n v="91.13"/>
    <n v="94.88"/>
    <n v="77.569999999999993"/>
    <s v="3ATM"/>
    <n v="8.4"/>
    <m/>
    <x v="0"/>
    <x v="10"/>
    <x v="0"/>
    <n v="73.5"/>
  </r>
  <r>
    <x v="6"/>
    <x v="17"/>
    <x v="3"/>
    <x v="17"/>
    <x v="1"/>
    <x v="560"/>
    <n v="18"/>
    <n v="92.68"/>
    <n v="97.88"/>
    <n v="77.38"/>
    <s v="IP68"/>
    <n v="9.5"/>
    <n v="2.6"/>
    <x v="1"/>
    <x v="9"/>
    <x v="2"/>
    <n v="62.4"/>
  </r>
  <r>
    <x v="6"/>
    <x v="21"/>
    <x v="1"/>
    <x v="21"/>
    <x v="1"/>
    <x v="561"/>
    <n v="20.100000000000001"/>
    <n v="95.66"/>
    <n v="97.81"/>
    <n v="83.12"/>
    <s v="5ATM"/>
    <n v="8.6"/>
    <n v="4.9000000000000004"/>
    <x v="1"/>
    <x v="3"/>
    <x v="1"/>
    <n v="60.9"/>
  </r>
  <r>
    <x v="6"/>
    <x v="16"/>
    <x v="4"/>
    <x v="16"/>
    <x v="2"/>
    <x v="562"/>
    <n v="517.29999999999995"/>
    <n v="96.25"/>
    <n v="99.25"/>
    <n v="70.22"/>
    <s v="IPX8"/>
    <n v="8.9"/>
    <n v="2.6"/>
    <x v="0"/>
    <x v="6"/>
    <x v="0"/>
    <n v="64.099999999999994"/>
  </r>
  <r>
    <x v="6"/>
    <x v="15"/>
    <x v="8"/>
    <x v="15"/>
    <x v="1"/>
    <x v="563"/>
    <n v="58"/>
    <n v="96.35"/>
    <n v="95.24"/>
    <n v="84.13"/>
    <s v="IP68"/>
    <n v="9.3000000000000007"/>
    <n v="3.8"/>
    <x v="1"/>
    <x v="5"/>
    <x v="0"/>
    <n v="63.4"/>
  </r>
  <r>
    <x v="6"/>
    <x v="6"/>
    <x v="5"/>
    <x v="6"/>
    <x v="1"/>
    <x v="564"/>
    <n v="68.599999999999994"/>
    <n v="97.91"/>
    <n v="95.61"/>
    <n v="75.319999999999993"/>
    <s v="IPX8"/>
    <n v="7.4"/>
    <n v="2.7"/>
    <x v="3"/>
    <x v="10"/>
    <x v="2"/>
    <n v="60"/>
  </r>
  <r>
    <x v="6"/>
    <x v="13"/>
    <x v="0"/>
    <x v="13"/>
    <x v="0"/>
    <x v="565"/>
    <n v="217"/>
    <n v="88.62"/>
    <n v="96.92"/>
    <n v="76.81"/>
    <s v="IPX4"/>
    <n v="8"/>
    <m/>
    <x v="0"/>
    <x v="0"/>
    <x v="0"/>
    <n v="72.5"/>
  </r>
  <r>
    <x v="6"/>
    <x v="10"/>
    <x v="7"/>
    <x v="10"/>
    <x v="4"/>
    <x v="566"/>
    <n v="190.4"/>
    <n v="90.05"/>
    <n v="94.15"/>
    <n v="89.01"/>
    <s v="IPX8"/>
    <n v="9.3000000000000007"/>
    <m/>
    <x v="2"/>
    <x v="12"/>
    <x v="0"/>
    <n v="77.2"/>
  </r>
  <r>
    <x v="6"/>
    <x v="10"/>
    <x v="7"/>
    <x v="10"/>
    <x v="4"/>
    <x v="567"/>
    <n v="173.8"/>
    <n v="86.86"/>
    <n v="93.92"/>
    <n v="90.84"/>
    <s v="IPX8"/>
    <n v="7.2"/>
    <m/>
    <x v="2"/>
    <x v="8"/>
    <x v="2"/>
    <n v="72.7"/>
  </r>
  <r>
    <x v="6"/>
    <x v="9"/>
    <x v="6"/>
    <x v="9"/>
    <x v="3"/>
    <x v="9"/>
    <n v="140.6"/>
    <n v="89.12"/>
    <n v="95.45"/>
    <n v="72.58"/>
    <s v="IPX4"/>
    <n v="6.8"/>
    <m/>
    <x v="2"/>
    <x v="13"/>
    <x v="0"/>
    <n v="68.400000000000006"/>
  </r>
  <r>
    <x v="6"/>
    <x v="4"/>
    <x v="3"/>
    <x v="4"/>
    <x v="1"/>
    <x v="568"/>
    <n v="32.700000000000003"/>
    <n v="97.93"/>
    <n v="96.95"/>
    <n v="83.91"/>
    <s v="5ATM"/>
    <n v="7.9"/>
    <n v="3"/>
    <x v="1"/>
    <x v="7"/>
    <x v="2"/>
    <n v="61.6"/>
  </r>
  <r>
    <x v="6"/>
    <x v="10"/>
    <x v="7"/>
    <x v="10"/>
    <x v="4"/>
    <x v="569"/>
    <n v="182.5"/>
    <n v="86.26"/>
    <n v="95.83"/>
    <n v="88.55"/>
    <s v="IPX8"/>
    <n v="8.1999999999999993"/>
    <m/>
    <x v="2"/>
    <x v="0"/>
    <x v="0"/>
    <n v="74.5"/>
  </r>
  <r>
    <x v="6"/>
    <x v="5"/>
    <x v="4"/>
    <x v="5"/>
    <x v="1"/>
    <x v="570"/>
    <n v="318.8"/>
    <n v="94.11"/>
    <n v="98.32"/>
    <n v="82.48"/>
    <s v="IPX8"/>
    <n v="8.9"/>
    <n v="3"/>
    <x v="1"/>
    <x v="6"/>
    <x v="0"/>
    <n v="65.3"/>
  </r>
  <r>
    <x v="6"/>
    <x v="4"/>
    <x v="3"/>
    <x v="4"/>
    <x v="1"/>
    <x v="571"/>
    <n v="31.9"/>
    <n v="94.04"/>
    <n v="96.89"/>
    <n v="75.47"/>
    <s v="IP68"/>
    <n v="7.4"/>
    <n v="2"/>
    <x v="3"/>
    <x v="6"/>
    <x v="2"/>
    <n v="59.4"/>
  </r>
  <r>
    <x v="6"/>
    <x v="16"/>
    <x v="4"/>
    <x v="16"/>
    <x v="1"/>
    <x v="572"/>
    <n v="533.79999999999995"/>
    <n v="93.6"/>
    <n v="98.85"/>
    <n v="77.31"/>
    <s v="5ATM"/>
    <n v="8.3000000000000007"/>
    <n v="1.6"/>
    <x v="1"/>
    <x v="7"/>
    <x v="0"/>
    <n v="64.400000000000006"/>
  </r>
  <r>
    <x v="6"/>
    <x v="28"/>
    <x v="4"/>
    <x v="28"/>
    <x v="1"/>
    <x v="573"/>
    <n v="978"/>
    <n v="97.69"/>
    <n v="98.99"/>
    <n v="84.68"/>
    <s v="5ATM"/>
    <n v="9.4"/>
    <n v="1.6"/>
    <x v="3"/>
    <x v="5"/>
    <x v="0"/>
    <n v="68.2"/>
  </r>
  <r>
    <x v="6"/>
    <x v="10"/>
    <x v="7"/>
    <x v="10"/>
    <x v="4"/>
    <x v="574"/>
    <n v="170.2"/>
    <n v="87.1"/>
    <n v="94.47"/>
    <n v="87.65"/>
    <s v="IPX7"/>
    <n v="9.1"/>
    <m/>
    <x v="2"/>
    <x v="8"/>
    <x v="0"/>
    <n v="76"/>
  </r>
  <r>
    <x v="6"/>
    <x v="3"/>
    <x v="2"/>
    <x v="3"/>
    <x v="2"/>
    <x v="575"/>
    <n v="78.7"/>
    <n v="94.59"/>
    <n v="94.29"/>
    <n v="72.5"/>
    <s v="5ATM"/>
    <n v="7.3"/>
    <n v="3.9"/>
    <x v="0"/>
    <x v="6"/>
    <x v="0"/>
    <n v="58"/>
  </r>
  <r>
    <x v="6"/>
    <x v="10"/>
    <x v="7"/>
    <x v="10"/>
    <x v="4"/>
    <x v="576"/>
    <n v="172.8"/>
    <n v="87.5"/>
    <n v="93.46"/>
    <n v="89.88"/>
    <s v="IPX8"/>
    <n v="8.8000000000000007"/>
    <m/>
    <x v="2"/>
    <x v="12"/>
    <x v="0"/>
    <n v="75.8"/>
  </r>
  <r>
    <x v="6"/>
    <x v="19"/>
    <x v="9"/>
    <x v="19"/>
    <x v="0"/>
    <x v="577"/>
    <n v="204.5"/>
    <n v="93.46"/>
    <n v="94.08"/>
    <n v="79.33"/>
    <s v="IPX7"/>
    <n v="8.4"/>
    <m/>
    <x v="0"/>
    <x v="2"/>
    <x v="2"/>
    <n v="74.2"/>
  </r>
  <r>
    <x v="6"/>
    <x v="8"/>
    <x v="3"/>
    <x v="8"/>
    <x v="1"/>
    <x v="578"/>
    <n v="61.1"/>
    <n v="92.14"/>
    <n v="98.39"/>
    <n v="83.5"/>
    <s v="IPX8"/>
    <n v="7.9"/>
    <n v="4.0999999999999996"/>
    <x v="1"/>
    <x v="5"/>
    <x v="2"/>
    <n v="60.7"/>
  </r>
  <r>
    <x v="6"/>
    <x v="10"/>
    <x v="7"/>
    <x v="10"/>
    <x v="4"/>
    <x v="579"/>
    <n v="183.8"/>
    <n v="86.41"/>
    <n v="95.73"/>
    <n v="87.89"/>
    <s v="IPX7"/>
    <n v="8.3000000000000007"/>
    <m/>
    <x v="2"/>
    <x v="0"/>
    <x v="2"/>
    <n v="74.599999999999994"/>
  </r>
  <r>
    <x v="6"/>
    <x v="6"/>
    <x v="5"/>
    <x v="6"/>
    <x v="2"/>
    <x v="580"/>
    <n v="130.80000000000001"/>
    <n v="96.93"/>
    <n v="96.21"/>
    <n v="76.23"/>
    <s v="IPX8"/>
    <n v="7.1"/>
    <n v="4.4000000000000004"/>
    <x v="2"/>
    <x v="2"/>
    <x v="2"/>
    <n v="59.7"/>
  </r>
  <r>
    <x v="7"/>
    <x v="4"/>
    <x v="3"/>
    <x v="4"/>
    <x v="1"/>
    <x v="581"/>
    <n v="26.4"/>
    <n v="94.89"/>
    <n v="98.12"/>
    <n v="78.5"/>
    <s v="IP68"/>
    <n v="8.6"/>
    <n v="4.2"/>
    <x v="3"/>
    <x v="4"/>
    <x v="2"/>
    <n v="60.6"/>
  </r>
  <r>
    <x v="7"/>
    <x v="10"/>
    <x v="7"/>
    <x v="10"/>
    <x v="4"/>
    <x v="582"/>
    <n v="168.8"/>
    <n v="89.74"/>
    <n v="96.47"/>
    <n v="91.97"/>
    <s v="IPX8"/>
    <n v="7.1"/>
    <m/>
    <x v="2"/>
    <x v="12"/>
    <x v="0"/>
    <n v="73.8"/>
  </r>
  <r>
    <x v="7"/>
    <x v="28"/>
    <x v="4"/>
    <x v="28"/>
    <x v="2"/>
    <x v="583"/>
    <n v="1831.6"/>
    <n v="95.55"/>
    <n v="98.42"/>
    <n v="78.069999999999993"/>
    <s v="5ATM"/>
    <n v="8.3000000000000007"/>
    <n v="1.5"/>
    <x v="2"/>
    <x v="12"/>
    <x v="0"/>
    <n v="64.8"/>
  </r>
  <r>
    <x v="7"/>
    <x v="22"/>
    <x v="8"/>
    <x v="22"/>
    <x v="1"/>
    <x v="584"/>
    <n v="32.6"/>
    <n v="97.62"/>
    <n v="93.87"/>
    <n v="78.55"/>
    <s v="5ATM"/>
    <n v="8.3000000000000007"/>
    <n v="4.8"/>
    <x v="1"/>
    <x v="4"/>
    <x v="2"/>
    <n v="59.6"/>
  </r>
  <r>
    <x v="7"/>
    <x v="6"/>
    <x v="5"/>
    <x v="6"/>
    <x v="1"/>
    <x v="585"/>
    <n v="20.3"/>
    <n v="96.86"/>
    <n v="94.62"/>
    <n v="76.069999999999993"/>
    <s v="5ATM"/>
    <n v="8.9"/>
    <n v="3.5"/>
    <x v="3"/>
    <x v="6"/>
    <x v="0"/>
    <n v="60.8"/>
  </r>
  <r>
    <x v="7"/>
    <x v="10"/>
    <x v="7"/>
    <x v="10"/>
    <x v="4"/>
    <x v="586"/>
    <n v="171.2"/>
    <n v="87.95"/>
    <n v="95.64"/>
    <n v="89.06"/>
    <s v="IPX7"/>
    <n v="9.1"/>
    <m/>
    <x v="2"/>
    <x v="12"/>
    <x v="2"/>
    <n v="76.7"/>
  </r>
  <r>
    <x v="7"/>
    <x v="27"/>
    <x v="9"/>
    <x v="27"/>
    <x v="2"/>
    <x v="587"/>
    <n v="148.69999999999999"/>
    <n v="93.81"/>
    <n v="97"/>
    <n v="78.53"/>
    <s v="5ATM"/>
    <n v="7.4"/>
    <n v="3.5"/>
    <x v="2"/>
    <x v="10"/>
    <x v="0"/>
    <n v="61.2"/>
  </r>
  <r>
    <x v="7"/>
    <x v="21"/>
    <x v="1"/>
    <x v="21"/>
    <x v="1"/>
    <x v="588"/>
    <n v="62.8"/>
    <n v="92.26"/>
    <n v="96.83"/>
    <n v="76.31"/>
    <s v="IPX8"/>
    <n v="8.1999999999999993"/>
    <n v="3"/>
    <x v="3"/>
    <x v="1"/>
    <x v="1"/>
    <n v="60.5"/>
  </r>
  <r>
    <x v="7"/>
    <x v="8"/>
    <x v="3"/>
    <x v="8"/>
    <x v="1"/>
    <x v="589"/>
    <n v="55.1"/>
    <n v="97.71"/>
    <n v="97.44"/>
    <n v="76.02"/>
    <s v="IPX8"/>
    <n v="9.3000000000000007"/>
    <n v="4.0999999999999996"/>
    <x v="1"/>
    <x v="7"/>
    <x v="2"/>
    <n v="62.4"/>
  </r>
  <r>
    <x v="7"/>
    <x v="27"/>
    <x v="9"/>
    <x v="27"/>
    <x v="2"/>
    <x v="590"/>
    <n v="72.3"/>
    <n v="95.6"/>
    <n v="94.59"/>
    <n v="70.77"/>
    <s v="5ATM"/>
    <n v="6.3"/>
    <n v="2.2000000000000002"/>
    <x v="2"/>
    <x v="1"/>
    <x v="2"/>
    <n v="57.3"/>
  </r>
  <r>
    <x v="7"/>
    <x v="22"/>
    <x v="8"/>
    <x v="22"/>
    <x v="1"/>
    <x v="591"/>
    <n v="48.4"/>
    <n v="95.89"/>
    <n v="95.05"/>
    <n v="76.64"/>
    <s v="5ATM"/>
    <n v="8.5"/>
    <n v="4.3"/>
    <x v="1"/>
    <x v="5"/>
    <x v="2"/>
    <n v="60.2"/>
  </r>
  <r>
    <x v="7"/>
    <x v="19"/>
    <x v="9"/>
    <x v="19"/>
    <x v="0"/>
    <x v="592"/>
    <n v="126.5"/>
    <n v="92.45"/>
    <n v="95.38"/>
    <n v="73.569999999999993"/>
    <s v="IPX4"/>
    <n v="7.1"/>
    <m/>
    <x v="2"/>
    <x v="12"/>
    <x v="2"/>
    <n v="69.5"/>
  </r>
  <r>
    <x v="7"/>
    <x v="0"/>
    <x v="0"/>
    <x v="0"/>
    <x v="0"/>
    <x v="593"/>
    <n v="99.7"/>
    <n v="88.02"/>
    <n v="94.56"/>
    <n v="79.27"/>
    <s v="IPX7"/>
    <n v="7.4"/>
    <m/>
    <x v="2"/>
    <x v="10"/>
    <x v="0"/>
    <n v="69.5"/>
  </r>
  <r>
    <x v="7"/>
    <x v="8"/>
    <x v="3"/>
    <x v="8"/>
    <x v="1"/>
    <x v="594"/>
    <n v="48.6"/>
    <n v="95.5"/>
    <n v="98.41"/>
    <n v="76"/>
    <s v="5ATM"/>
    <n v="7.8"/>
    <n v="1.9"/>
    <x v="1"/>
    <x v="9"/>
    <x v="2"/>
    <n v="61"/>
  </r>
  <r>
    <x v="7"/>
    <x v="4"/>
    <x v="3"/>
    <x v="4"/>
    <x v="1"/>
    <x v="595"/>
    <n v="44.8"/>
    <n v="92.82"/>
    <n v="97.65"/>
    <n v="76.5"/>
    <s v="5ATM"/>
    <n v="9.4"/>
    <n v="3.5"/>
    <x v="3"/>
    <x v="4"/>
    <x v="2"/>
    <n v="62.1"/>
  </r>
  <r>
    <x v="7"/>
    <x v="1"/>
    <x v="1"/>
    <x v="1"/>
    <x v="1"/>
    <x v="596"/>
    <n v="67.3"/>
    <n v="93.59"/>
    <n v="97.83"/>
    <n v="77.66"/>
    <s v="5ATM"/>
    <n v="8.1999999999999993"/>
    <n v="3.4"/>
    <x v="3"/>
    <x v="9"/>
    <x v="1"/>
    <n v="60.9"/>
  </r>
  <r>
    <x v="7"/>
    <x v="9"/>
    <x v="6"/>
    <x v="9"/>
    <x v="3"/>
    <x v="9"/>
    <n v="138.9"/>
    <n v="90.72"/>
    <n v="96.13"/>
    <n v="75.3"/>
    <s v="IPX4"/>
    <n v="7"/>
    <m/>
    <x v="2"/>
    <x v="13"/>
    <x v="2"/>
    <n v="69.7"/>
  </r>
  <r>
    <x v="7"/>
    <x v="9"/>
    <x v="6"/>
    <x v="9"/>
    <x v="3"/>
    <x v="9"/>
    <n v="147.5"/>
    <n v="89.15"/>
    <n v="96.69"/>
    <n v="78.849999999999994"/>
    <s v="IPX4"/>
    <n v="6.8"/>
    <m/>
    <x v="2"/>
    <x v="8"/>
    <x v="0"/>
    <n v="70"/>
  </r>
  <r>
    <x v="7"/>
    <x v="2"/>
    <x v="0"/>
    <x v="2"/>
    <x v="2"/>
    <x v="597"/>
    <n v="162.6"/>
    <n v="96.76"/>
    <n v="95.78"/>
    <n v="70.489999999999995"/>
    <s v="IP68"/>
    <n v="7.7"/>
    <n v="4.2"/>
    <x v="2"/>
    <x v="10"/>
    <x v="0"/>
    <n v="60.4"/>
  </r>
  <r>
    <x v="7"/>
    <x v="11"/>
    <x v="1"/>
    <x v="11"/>
    <x v="1"/>
    <x v="598"/>
    <n v="60"/>
    <n v="94.02"/>
    <n v="97.23"/>
    <n v="78.95"/>
    <s v="IPX8"/>
    <n v="9.4"/>
    <n v="4.0999999999999996"/>
    <x v="3"/>
    <x v="6"/>
    <x v="1"/>
    <n v="62.5"/>
  </r>
  <r>
    <x v="7"/>
    <x v="26"/>
    <x v="9"/>
    <x v="26"/>
    <x v="2"/>
    <x v="599"/>
    <n v="100.6"/>
    <n v="95.46"/>
    <n v="95.92"/>
    <n v="75.53"/>
    <s v="5ATM"/>
    <n v="7.3"/>
    <n v="1.7"/>
    <x v="2"/>
    <x v="1"/>
    <x v="0"/>
    <n v="60.8"/>
  </r>
  <r>
    <x v="7"/>
    <x v="9"/>
    <x v="6"/>
    <x v="9"/>
    <x v="3"/>
    <x v="9"/>
    <n v="132"/>
    <n v="91.91"/>
    <n v="95.34"/>
    <n v="70.59"/>
    <s v="IPX4"/>
    <n v="7.3"/>
    <m/>
    <x v="2"/>
    <x v="11"/>
    <x v="0"/>
    <n v="69.3"/>
  </r>
  <r>
    <x v="7"/>
    <x v="10"/>
    <x v="7"/>
    <x v="10"/>
    <x v="4"/>
    <x v="600"/>
    <n v="180.8"/>
    <n v="86.71"/>
    <n v="93.07"/>
    <n v="88.48"/>
    <s v="IPX8"/>
    <n v="9.4"/>
    <m/>
    <x v="2"/>
    <x v="8"/>
    <x v="0"/>
    <n v="76.5"/>
  </r>
  <r>
    <x v="7"/>
    <x v="26"/>
    <x v="9"/>
    <x v="26"/>
    <x v="2"/>
    <x v="601"/>
    <n v="222.7"/>
    <n v="97.76"/>
    <n v="94.48"/>
    <n v="72.459999999999994"/>
    <s v="IP68"/>
    <n v="7"/>
    <n v="3.7"/>
    <x v="2"/>
    <x v="2"/>
    <x v="2"/>
    <n v="60"/>
  </r>
  <r>
    <x v="7"/>
    <x v="9"/>
    <x v="6"/>
    <x v="9"/>
    <x v="3"/>
    <x v="9"/>
    <n v="152"/>
    <n v="87.37"/>
    <n v="95.24"/>
    <n v="76.989999999999995"/>
    <s v="3ATM"/>
    <n v="7.9"/>
    <m/>
    <x v="2"/>
    <x v="8"/>
    <x v="0"/>
    <n v="71.3"/>
  </r>
  <r>
    <x v="7"/>
    <x v="24"/>
    <x v="2"/>
    <x v="24"/>
    <x v="1"/>
    <x v="602"/>
    <n v="22.9"/>
    <n v="96.07"/>
    <n v="94.97"/>
    <n v="76.349999999999994"/>
    <s v="IP68"/>
    <n v="7.5"/>
    <n v="2.2999999999999998"/>
    <x v="3"/>
    <x v="1"/>
    <x v="0"/>
    <n v="59.3"/>
  </r>
  <r>
    <x v="7"/>
    <x v="23"/>
    <x v="8"/>
    <x v="23"/>
    <x v="1"/>
    <x v="603"/>
    <n v="59.2"/>
    <n v="94.65"/>
    <n v="96.7"/>
    <n v="84.4"/>
    <s v="IP68"/>
    <n v="8.6999999999999993"/>
    <n v="2.8"/>
    <x v="1"/>
    <x v="4"/>
    <x v="2"/>
    <n v="63.1"/>
  </r>
  <r>
    <x v="7"/>
    <x v="9"/>
    <x v="6"/>
    <x v="9"/>
    <x v="3"/>
    <x v="9"/>
    <n v="140.4"/>
    <n v="91.88"/>
    <n v="96.91"/>
    <n v="76.23"/>
    <s v="IPX4"/>
    <n v="6.1"/>
    <m/>
    <x v="2"/>
    <x v="0"/>
    <x v="2"/>
    <n v="68.5"/>
  </r>
  <r>
    <x v="7"/>
    <x v="1"/>
    <x v="1"/>
    <x v="1"/>
    <x v="1"/>
    <x v="604"/>
    <n v="25.1"/>
    <n v="97.46"/>
    <n v="96.82"/>
    <n v="79.16"/>
    <s v="5ATM"/>
    <n v="8.1999999999999993"/>
    <n v="3.4"/>
    <x v="3"/>
    <x v="3"/>
    <x v="1"/>
    <n v="60.8"/>
  </r>
  <r>
    <x v="7"/>
    <x v="21"/>
    <x v="1"/>
    <x v="21"/>
    <x v="1"/>
    <x v="605"/>
    <n v="28"/>
    <n v="94.59"/>
    <n v="96.13"/>
    <n v="78.05"/>
    <s v="IP68"/>
    <n v="8.1"/>
    <n v="4.8"/>
    <x v="3"/>
    <x v="9"/>
    <x v="1"/>
    <n v="59"/>
  </r>
  <r>
    <x v="7"/>
    <x v="21"/>
    <x v="1"/>
    <x v="21"/>
    <x v="1"/>
    <x v="606"/>
    <n v="26.4"/>
    <n v="96.34"/>
    <n v="96.88"/>
    <n v="77.38"/>
    <s v="IP68"/>
    <n v="8.1999999999999993"/>
    <n v="3.5"/>
    <x v="3"/>
    <x v="3"/>
    <x v="1"/>
    <n v="60.3"/>
  </r>
  <r>
    <x v="7"/>
    <x v="10"/>
    <x v="7"/>
    <x v="10"/>
    <x v="4"/>
    <x v="607"/>
    <n v="183"/>
    <n v="87.2"/>
    <n v="93.33"/>
    <n v="87.89"/>
    <s v="IPX8"/>
    <n v="8.4"/>
    <m/>
    <x v="2"/>
    <x v="8"/>
    <x v="2"/>
    <n v="74.5"/>
  </r>
  <r>
    <x v="7"/>
    <x v="17"/>
    <x v="3"/>
    <x v="17"/>
    <x v="1"/>
    <x v="608"/>
    <n v="61.5"/>
    <n v="96.42"/>
    <n v="97.03"/>
    <n v="77.3"/>
    <s v="IPX8"/>
    <n v="7.6"/>
    <n v="4.2"/>
    <x v="1"/>
    <x v="10"/>
    <x v="2"/>
    <n v="59.5"/>
  </r>
  <r>
    <x v="7"/>
    <x v="3"/>
    <x v="2"/>
    <x v="3"/>
    <x v="1"/>
    <x v="609"/>
    <n v="30.8"/>
    <n v="93.95"/>
    <n v="94.49"/>
    <n v="83.23"/>
    <s v="IPX8"/>
    <n v="7.1"/>
    <n v="3"/>
    <x v="1"/>
    <x v="1"/>
    <x v="0"/>
    <n v="59.1"/>
  </r>
  <r>
    <x v="7"/>
    <x v="10"/>
    <x v="7"/>
    <x v="10"/>
    <x v="4"/>
    <x v="610"/>
    <n v="177.3"/>
    <n v="90.21"/>
    <n v="95.62"/>
    <n v="86.24"/>
    <s v="IPX8"/>
    <n v="7.1"/>
    <m/>
    <x v="2"/>
    <x v="11"/>
    <x v="2"/>
    <n v="72.599999999999994"/>
  </r>
  <r>
    <x v="7"/>
    <x v="10"/>
    <x v="7"/>
    <x v="10"/>
    <x v="4"/>
    <x v="611"/>
    <n v="181.1"/>
    <n v="87.4"/>
    <n v="95.9"/>
    <n v="91.93"/>
    <s v="IPX7"/>
    <n v="7.8"/>
    <m/>
    <x v="2"/>
    <x v="11"/>
    <x v="2"/>
    <n v="74.599999999999994"/>
  </r>
  <r>
    <x v="7"/>
    <x v="6"/>
    <x v="5"/>
    <x v="6"/>
    <x v="2"/>
    <x v="612"/>
    <n v="125"/>
    <n v="93.69"/>
    <n v="96.83"/>
    <n v="79.28"/>
    <s v="IPX8"/>
    <n v="7.3"/>
    <n v="3.2"/>
    <x v="0"/>
    <x v="0"/>
    <x v="2"/>
    <n v="60.8"/>
  </r>
  <r>
    <x v="7"/>
    <x v="4"/>
    <x v="3"/>
    <x v="4"/>
    <x v="1"/>
    <x v="613"/>
    <n v="47.2"/>
    <n v="97.82"/>
    <n v="97.47"/>
    <n v="80.540000000000006"/>
    <s v="IPX8"/>
    <n v="8.1999999999999993"/>
    <n v="3"/>
    <x v="3"/>
    <x v="7"/>
    <x v="2"/>
    <n v="61.9"/>
  </r>
  <r>
    <x v="7"/>
    <x v="5"/>
    <x v="4"/>
    <x v="5"/>
    <x v="1"/>
    <x v="614"/>
    <n v="494.1"/>
    <n v="94.33"/>
    <n v="98.63"/>
    <n v="76.27"/>
    <s v="IP68"/>
    <n v="8.8000000000000007"/>
    <n v="4"/>
    <x v="1"/>
    <x v="9"/>
    <x v="0"/>
    <n v="63.5"/>
  </r>
  <r>
    <x v="7"/>
    <x v="7"/>
    <x v="4"/>
    <x v="7"/>
    <x v="2"/>
    <x v="615"/>
    <n v="601.70000000000005"/>
    <n v="97.55"/>
    <n v="99"/>
    <n v="71.41"/>
    <s v="10ATM"/>
    <n v="8.8000000000000007"/>
    <n v="3.3"/>
    <x v="2"/>
    <x v="6"/>
    <x v="0"/>
    <n v="63.8"/>
  </r>
  <r>
    <x v="7"/>
    <x v="9"/>
    <x v="6"/>
    <x v="9"/>
    <x v="3"/>
    <x v="9"/>
    <n v="152.6"/>
    <n v="91.42"/>
    <n v="95.19"/>
    <n v="78.31"/>
    <s v="IPX4"/>
    <n v="7"/>
    <m/>
    <x v="2"/>
    <x v="11"/>
    <x v="2"/>
    <n v="70.599999999999994"/>
  </r>
  <r>
    <x v="7"/>
    <x v="1"/>
    <x v="1"/>
    <x v="1"/>
    <x v="1"/>
    <x v="616"/>
    <n v="71.900000000000006"/>
    <n v="96.87"/>
    <n v="96.36"/>
    <n v="75"/>
    <s v="IPX8"/>
    <n v="9.1"/>
    <n v="4.9000000000000004"/>
    <x v="1"/>
    <x v="5"/>
    <x v="1"/>
    <n v="61.4"/>
  </r>
  <r>
    <x v="7"/>
    <x v="25"/>
    <x v="5"/>
    <x v="25"/>
    <x v="1"/>
    <x v="617"/>
    <n v="36.700000000000003"/>
    <n v="97.23"/>
    <n v="96.82"/>
    <n v="83.72"/>
    <s v="IP68"/>
    <n v="8.3000000000000007"/>
    <n v="4.5"/>
    <x v="1"/>
    <x v="10"/>
    <x v="2"/>
    <n v="61.2"/>
  </r>
  <r>
    <x v="7"/>
    <x v="10"/>
    <x v="7"/>
    <x v="10"/>
    <x v="4"/>
    <x v="618"/>
    <n v="173.1"/>
    <n v="89.52"/>
    <n v="95.46"/>
    <n v="85.87"/>
    <s v="IPX7"/>
    <n v="9"/>
    <m/>
    <x v="2"/>
    <x v="12"/>
    <x v="2"/>
    <n v="76.2"/>
  </r>
  <r>
    <x v="7"/>
    <x v="3"/>
    <x v="2"/>
    <x v="3"/>
    <x v="2"/>
    <x v="619"/>
    <n v="77.2"/>
    <n v="97.99"/>
    <n v="96.39"/>
    <n v="74.260000000000005"/>
    <s v="5ATM"/>
    <n v="7.7"/>
    <n v="4.7"/>
    <x v="2"/>
    <x v="0"/>
    <x v="0"/>
    <n v="59.3"/>
  </r>
  <r>
    <x v="7"/>
    <x v="3"/>
    <x v="2"/>
    <x v="3"/>
    <x v="2"/>
    <x v="620"/>
    <n v="78.8"/>
    <n v="93.45"/>
    <n v="96.59"/>
    <n v="70.05"/>
    <s v="IP68"/>
    <n v="9.5"/>
    <n v="4.2"/>
    <x v="2"/>
    <x v="12"/>
    <x v="0"/>
    <n v="61.3"/>
  </r>
  <r>
    <x v="7"/>
    <x v="4"/>
    <x v="3"/>
    <x v="4"/>
    <x v="1"/>
    <x v="621"/>
    <n v="58.5"/>
    <n v="96.61"/>
    <n v="96.85"/>
    <n v="77.94"/>
    <s v="5ATM"/>
    <n v="8.6999999999999993"/>
    <n v="4.8"/>
    <x v="3"/>
    <x v="3"/>
    <x v="2"/>
    <n v="61"/>
  </r>
  <r>
    <x v="7"/>
    <x v="28"/>
    <x v="4"/>
    <x v="28"/>
    <x v="2"/>
    <x v="622"/>
    <n v="1883"/>
    <n v="97.04"/>
    <n v="99.46"/>
    <n v="71.11"/>
    <s v="5ATM"/>
    <n v="8.5"/>
    <n v="3.7"/>
    <x v="2"/>
    <x v="12"/>
    <x v="0"/>
    <n v="63"/>
  </r>
  <r>
    <x v="7"/>
    <x v="12"/>
    <x v="8"/>
    <x v="12"/>
    <x v="1"/>
    <x v="623"/>
    <n v="34.9"/>
    <n v="96.43"/>
    <n v="93.38"/>
    <n v="82.58"/>
    <s v="5ATM"/>
    <n v="8"/>
    <n v="2"/>
    <x v="3"/>
    <x v="9"/>
    <x v="0"/>
    <n v="61.4"/>
  </r>
  <r>
    <x v="7"/>
    <x v="8"/>
    <x v="3"/>
    <x v="8"/>
    <x v="1"/>
    <x v="624"/>
    <n v="59.1"/>
    <n v="96.22"/>
    <n v="96.25"/>
    <n v="76.66"/>
    <s v="IPX8"/>
    <n v="9.4"/>
    <n v="1.7"/>
    <x v="3"/>
    <x v="3"/>
    <x v="2"/>
    <n v="63.9"/>
  </r>
  <r>
    <x v="7"/>
    <x v="25"/>
    <x v="5"/>
    <x v="25"/>
    <x v="2"/>
    <x v="625"/>
    <n v="96.6"/>
    <n v="97.05"/>
    <n v="94.51"/>
    <n v="77.180000000000007"/>
    <s v="IPX8"/>
    <n v="8.1"/>
    <n v="1.7"/>
    <x v="0"/>
    <x v="2"/>
    <x v="0"/>
    <n v="62.4"/>
  </r>
  <r>
    <x v="7"/>
    <x v="3"/>
    <x v="2"/>
    <x v="3"/>
    <x v="1"/>
    <x v="626"/>
    <n v="23.3"/>
    <n v="95.21"/>
    <n v="95.19"/>
    <n v="78.62"/>
    <s v="5ATM"/>
    <n v="7.3"/>
    <n v="4.2"/>
    <x v="3"/>
    <x v="6"/>
    <x v="0"/>
    <n v="58"/>
  </r>
  <r>
    <x v="7"/>
    <x v="24"/>
    <x v="2"/>
    <x v="24"/>
    <x v="1"/>
    <x v="627"/>
    <n v="18.100000000000001"/>
    <n v="96.01"/>
    <n v="93.93"/>
    <n v="77.25"/>
    <s v="IP68"/>
    <n v="7.9"/>
    <n v="2.5"/>
    <x v="3"/>
    <x v="10"/>
    <x v="0"/>
    <n v="59.7"/>
  </r>
  <r>
    <x v="7"/>
    <x v="23"/>
    <x v="8"/>
    <x v="23"/>
    <x v="1"/>
    <x v="628"/>
    <n v="26"/>
    <n v="93.48"/>
    <n v="95.31"/>
    <n v="81.63"/>
    <s v="5ATM"/>
    <n v="8"/>
    <n v="4.2"/>
    <x v="3"/>
    <x v="4"/>
    <x v="0"/>
    <n v="59.5"/>
  </r>
  <r>
    <x v="7"/>
    <x v="8"/>
    <x v="3"/>
    <x v="8"/>
    <x v="1"/>
    <x v="629"/>
    <n v="28.7"/>
    <n v="95.64"/>
    <n v="96.71"/>
    <n v="80.86"/>
    <s v="IPX8"/>
    <n v="9.4"/>
    <n v="1.9"/>
    <x v="3"/>
    <x v="7"/>
    <x v="2"/>
    <n v="63.8"/>
  </r>
  <r>
    <x v="7"/>
    <x v="11"/>
    <x v="1"/>
    <x v="11"/>
    <x v="1"/>
    <x v="630"/>
    <n v="22.5"/>
    <n v="97.44"/>
    <n v="96.75"/>
    <n v="80.37"/>
    <s v="IP68"/>
    <n v="9.1"/>
    <n v="2.4"/>
    <x v="1"/>
    <x v="7"/>
    <x v="1"/>
    <n v="63.1"/>
  </r>
  <r>
    <x v="7"/>
    <x v="19"/>
    <x v="9"/>
    <x v="19"/>
    <x v="0"/>
    <x v="631"/>
    <n v="74.7"/>
    <n v="91.05"/>
    <n v="95.55"/>
    <n v="71.47"/>
    <s v="3ATM"/>
    <n v="7.6"/>
    <m/>
    <x v="0"/>
    <x v="10"/>
    <x v="0"/>
    <n v="68.599999999999994"/>
  </r>
  <r>
    <x v="7"/>
    <x v="23"/>
    <x v="8"/>
    <x v="23"/>
    <x v="1"/>
    <x v="632"/>
    <n v="23.9"/>
    <n v="95.68"/>
    <n v="94.61"/>
    <n v="78.23"/>
    <s v="IP68"/>
    <n v="9.1"/>
    <n v="3.6"/>
    <x v="1"/>
    <x v="3"/>
    <x v="2"/>
    <n v="61.3"/>
  </r>
  <r>
    <x v="7"/>
    <x v="10"/>
    <x v="7"/>
    <x v="10"/>
    <x v="4"/>
    <x v="633"/>
    <n v="182.2"/>
    <n v="89.53"/>
    <n v="94.64"/>
    <n v="86.71"/>
    <s v="IPX7"/>
    <n v="8.9"/>
    <m/>
    <x v="2"/>
    <x v="11"/>
    <x v="2"/>
    <n v="76"/>
  </r>
  <r>
    <x v="7"/>
    <x v="21"/>
    <x v="1"/>
    <x v="21"/>
    <x v="1"/>
    <x v="634"/>
    <n v="26.6"/>
    <n v="96.45"/>
    <n v="97.33"/>
    <n v="77.69"/>
    <s v="5ATM"/>
    <n v="8.4"/>
    <n v="2.2000000000000002"/>
    <x v="3"/>
    <x v="6"/>
    <x v="1"/>
    <n v="61.6"/>
  </r>
  <r>
    <x v="7"/>
    <x v="9"/>
    <x v="6"/>
    <x v="9"/>
    <x v="3"/>
    <x v="9"/>
    <n v="136.9"/>
    <n v="86.39"/>
    <n v="94.71"/>
    <n v="80"/>
    <s v="IPX7"/>
    <n v="7.8"/>
    <m/>
    <x v="2"/>
    <x v="11"/>
    <x v="0"/>
    <n v="71.099999999999994"/>
  </r>
  <r>
    <x v="7"/>
    <x v="9"/>
    <x v="6"/>
    <x v="9"/>
    <x v="3"/>
    <x v="9"/>
    <n v="142.19999999999999"/>
    <n v="90.04"/>
    <n v="93.62"/>
    <n v="74.09"/>
    <s v="3ATM"/>
    <n v="7.4"/>
    <m/>
    <x v="2"/>
    <x v="8"/>
    <x v="2"/>
    <n v="69.7"/>
  </r>
  <r>
    <x v="7"/>
    <x v="12"/>
    <x v="8"/>
    <x v="12"/>
    <x v="1"/>
    <x v="635"/>
    <n v="66.5"/>
    <n v="96.08"/>
    <n v="93.2"/>
    <n v="84.86"/>
    <s v="IPX8"/>
    <n v="7.5"/>
    <n v="4.5"/>
    <x v="1"/>
    <x v="7"/>
    <x v="0"/>
    <n v="59.8"/>
  </r>
  <r>
    <x v="7"/>
    <x v="7"/>
    <x v="4"/>
    <x v="7"/>
    <x v="1"/>
    <x v="636"/>
    <n v="346.7"/>
    <n v="96.58"/>
    <n v="98.38"/>
    <n v="82.54"/>
    <s v="5ATM"/>
    <n v="9.1999999999999993"/>
    <n v="4.2"/>
    <x v="1"/>
    <x v="1"/>
    <x v="0"/>
    <n v="65.5"/>
  </r>
  <r>
    <x v="7"/>
    <x v="25"/>
    <x v="5"/>
    <x v="25"/>
    <x v="1"/>
    <x v="637"/>
    <n v="48.9"/>
    <n v="92.24"/>
    <n v="93.61"/>
    <n v="78.709999999999994"/>
    <s v="IPX8"/>
    <n v="7.5"/>
    <n v="3.2"/>
    <x v="3"/>
    <x v="10"/>
    <x v="0"/>
    <n v="58.8"/>
  </r>
  <r>
    <x v="7"/>
    <x v="13"/>
    <x v="0"/>
    <x v="13"/>
    <x v="0"/>
    <x v="638"/>
    <n v="236.9"/>
    <n v="91.71"/>
    <n v="96.57"/>
    <n v="77.64"/>
    <s v="IPX7"/>
    <n v="7.1"/>
    <m/>
    <x v="2"/>
    <x v="12"/>
    <x v="0"/>
    <n v="71.400000000000006"/>
  </r>
  <r>
    <x v="7"/>
    <x v="14"/>
    <x v="9"/>
    <x v="14"/>
    <x v="2"/>
    <x v="639"/>
    <n v="134.1"/>
    <n v="94.23"/>
    <n v="93.69"/>
    <n v="75.27"/>
    <s v="IP68"/>
    <n v="7.8"/>
    <n v="4.5999999999999996"/>
    <x v="2"/>
    <x v="12"/>
    <x v="2"/>
    <n v="59.8"/>
  </r>
  <r>
    <x v="7"/>
    <x v="24"/>
    <x v="2"/>
    <x v="24"/>
    <x v="2"/>
    <x v="640"/>
    <n v="152.4"/>
    <n v="94.26"/>
    <n v="96.83"/>
    <n v="74.599999999999994"/>
    <s v="IP68"/>
    <n v="8.5"/>
    <n v="2.7"/>
    <x v="0"/>
    <x v="10"/>
    <x v="0"/>
    <n v="63"/>
  </r>
  <r>
    <x v="7"/>
    <x v="7"/>
    <x v="4"/>
    <x v="7"/>
    <x v="2"/>
    <x v="641"/>
    <n v="662.3"/>
    <n v="92.35"/>
    <n v="99.17"/>
    <n v="77.510000000000005"/>
    <s v="5ATM"/>
    <n v="7.5"/>
    <n v="4.5999999999999996"/>
    <x v="2"/>
    <x v="12"/>
    <x v="0"/>
    <n v="60.9"/>
  </r>
  <r>
    <x v="7"/>
    <x v="19"/>
    <x v="9"/>
    <x v="19"/>
    <x v="0"/>
    <x v="642"/>
    <n v="180.3"/>
    <n v="90.04"/>
    <n v="93.25"/>
    <n v="78.72"/>
    <s v="IPX4"/>
    <n v="7.7"/>
    <m/>
    <x v="2"/>
    <x v="2"/>
    <x v="0"/>
    <n v="71.8"/>
  </r>
  <r>
    <x v="7"/>
    <x v="9"/>
    <x v="6"/>
    <x v="9"/>
    <x v="3"/>
    <x v="9"/>
    <n v="130.9"/>
    <n v="90.24"/>
    <n v="94.9"/>
    <n v="75.16"/>
    <s v="3ATM"/>
    <n v="7.5"/>
    <m/>
    <x v="2"/>
    <x v="0"/>
    <x v="0"/>
    <n v="70.2"/>
  </r>
  <r>
    <x v="7"/>
    <x v="6"/>
    <x v="5"/>
    <x v="6"/>
    <x v="2"/>
    <x v="643"/>
    <n v="122.3"/>
    <n v="96.93"/>
    <n v="96.13"/>
    <n v="74.040000000000006"/>
    <s v="IPX8"/>
    <n v="8.1999999999999993"/>
    <n v="4.2"/>
    <x v="2"/>
    <x v="10"/>
    <x v="2"/>
    <n v="61.1"/>
  </r>
  <r>
    <x v="7"/>
    <x v="27"/>
    <x v="9"/>
    <x v="27"/>
    <x v="1"/>
    <x v="644"/>
    <n v="54.2"/>
    <n v="95.77"/>
    <n v="93.04"/>
    <n v="79.44"/>
    <s v="IPX8"/>
    <n v="7.8"/>
    <n v="3.5"/>
    <x v="3"/>
    <x v="7"/>
    <x v="0"/>
    <n v="59.8"/>
  </r>
  <r>
    <x v="7"/>
    <x v="2"/>
    <x v="0"/>
    <x v="2"/>
    <x v="1"/>
    <x v="645"/>
    <n v="46.7"/>
    <n v="95.34"/>
    <n v="96.83"/>
    <n v="78.09"/>
    <s v="IPX8"/>
    <n v="8.3000000000000007"/>
    <n v="1.8"/>
    <x v="1"/>
    <x v="10"/>
    <x v="0"/>
    <n v="61.9"/>
  </r>
  <r>
    <x v="7"/>
    <x v="21"/>
    <x v="1"/>
    <x v="21"/>
    <x v="1"/>
    <x v="646"/>
    <n v="22.8"/>
    <n v="95.36"/>
    <n v="98.3"/>
    <n v="81.62"/>
    <s v="IP68"/>
    <n v="8.1999999999999993"/>
    <n v="4.4000000000000004"/>
    <x v="1"/>
    <x v="3"/>
    <x v="1"/>
    <n v="60.4"/>
  </r>
  <r>
    <x v="7"/>
    <x v="9"/>
    <x v="6"/>
    <x v="9"/>
    <x v="3"/>
    <x v="9"/>
    <n v="128.9"/>
    <n v="88.23"/>
    <n v="94.06"/>
    <n v="75.510000000000005"/>
    <s v="3ATM"/>
    <n v="6.8"/>
    <m/>
    <x v="2"/>
    <x v="8"/>
    <x v="0"/>
    <n v="68.2"/>
  </r>
  <r>
    <x v="7"/>
    <x v="18"/>
    <x v="4"/>
    <x v="18"/>
    <x v="1"/>
    <x v="647"/>
    <n v="521.1"/>
    <n v="96.74"/>
    <n v="98.82"/>
    <n v="83.06"/>
    <s v="5ATM"/>
    <n v="9.3000000000000007"/>
    <n v="4.3"/>
    <x v="3"/>
    <x v="4"/>
    <x v="0"/>
    <n v="65.7"/>
  </r>
  <r>
    <x v="7"/>
    <x v="20"/>
    <x v="0"/>
    <x v="20"/>
    <x v="2"/>
    <x v="648"/>
    <n v="150.69999999999999"/>
    <n v="97.21"/>
    <n v="95.39"/>
    <n v="78.61"/>
    <s v="5ATM"/>
    <n v="6.1"/>
    <n v="2"/>
    <x v="2"/>
    <x v="2"/>
    <x v="0"/>
    <n v="60.4"/>
  </r>
  <r>
    <x v="7"/>
    <x v="3"/>
    <x v="2"/>
    <x v="3"/>
    <x v="1"/>
    <x v="649"/>
    <n v="52.4"/>
    <n v="93.05"/>
    <n v="96.87"/>
    <n v="84.99"/>
    <s v="5ATM"/>
    <n v="7.6"/>
    <n v="1.6"/>
    <x v="3"/>
    <x v="10"/>
    <x v="0"/>
    <n v="61.8"/>
  </r>
  <r>
    <x v="7"/>
    <x v="10"/>
    <x v="7"/>
    <x v="10"/>
    <x v="4"/>
    <x v="650"/>
    <n v="188.3"/>
    <n v="86.55"/>
    <n v="94.84"/>
    <n v="86.16"/>
    <s v="IPX7"/>
    <n v="8.4"/>
    <m/>
    <x v="2"/>
    <x v="0"/>
    <x v="2"/>
    <n v="74.3"/>
  </r>
  <r>
    <x v="7"/>
    <x v="8"/>
    <x v="3"/>
    <x v="8"/>
    <x v="1"/>
    <x v="651"/>
    <n v="34.299999999999997"/>
    <n v="92.06"/>
    <n v="96.24"/>
    <n v="76.239999999999995"/>
    <s v="IP68"/>
    <n v="7.3"/>
    <n v="4.7"/>
    <x v="1"/>
    <x v="9"/>
    <x v="2"/>
    <n v="57.1"/>
  </r>
  <r>
    <x v="7"/>
    <x v="24"/>
    <x v="2"/>
    <x v="24"/>
    <x v="1"/>
    <x v="652"/>
    <n v="65.5"/>
    <n v="92.71"/>
    <n v="94.8"/>
    <n v="83.53"/>
    <s v="IPX8"/>
    <n v="8.6999999999999993"/>
    <n v="1.6"/>
    <x v="3"/>
    <x v="3"/>
    <x v="0"/>
    <n v="63.2"/>
  </r>
  <r>
    <x v="7"/>
    <x v="8"/>
    <x v="3"/>
    <x v="8"/>
    <x v="1"/>
    <x v="653"/>
    <n v="19.600000000000001"/>
    <n v="97.43"/>
    <n v="98.37"/>
    <n v="82.15"/>
    <s v="5ATM"/>
    <n v="7.7"/>
    <n v="3"/>
    <x v="3"/>
    <x v="5"/>
    <x v="2"/>
    <n v="60.9"/>
  </r>
  <r>
    <x v="7"/>
    <x v="19"/>
    <x v="9"/>
    <x v="19"/>
    <x v="0"/>
    <x v="654"/>
    <n v="228.8"/>
    <n v="88.56"/>
    <n v="95.57"/>
    <n v="75.25"/>
    <s v="3ATM"/>
    <n v="7.1"/>
    <m/>
    <x v="2"/>
    <x v="10"/>
    <x v="0"/>
    <n v="70.099999999999994"/>
  </r>
  <r>
    <x v="7"/>
    <x v="9"/>
    <x v="6"/>
    <x v="9"/>
    <x v="3"/>
    <x v="9"/>
    <n v="123.7"/>
    <n v="90.42"/>
    <n v="96.03"/>
    <n v="70.430000000000007"/>
    <s v="IPX4"/>
    <n v="6.1"/>
    <m/>
    <x v="2"/>
    <x v="13"/>
    <x v="0"/>
    <n v="66.5"/>
  </r>
  <r>
    <x v="7"/>
    <x v="18"/>
    <x v="4"/>
    <x v="18"/>
    <x v="1"/>
    <x v="655"/>
    <n v="635.20000000000005"/>
    <n v="94.83"/>
    <n v="98.9"/>
    <n v="75.88"/>
    <s v="IPX8"/>
    <n v="8.3000000000000007"/>
    <n v="1.8"/>
    <x v="1"/>
    <x v="4"/>
    <x v="0"/>
    <n v="64.2"/>
  </r>
  <r>
    <x v="7"/>
    <x v="28"/>
    <x v="4"/>
    <x v="28"/>
    <x v="2"/>
    <x v="656"/>
    <n v="1785.7"/>
    <n v="92.51"/>
    <n v="98.31"/>
    <n v="70.09"/>
    <s v="5ATM"/>
    <n v="9"/>
    <n v="2.4"/>
    <x v="0"/>
    <x v="1"/>
    <x v="0"/>
    <n v="63.6"/>
  </r>
  <r>
    <x v="7"/>
    <x v="8"/>
    <x v="3"/>
    <x v="8"/>
    <x v="1"/>
    <x v="657"/>
    <n v="44.7"/>
    <n v="95.31"/>
    <n v="97.65"/>
    <n v="80.66"/>
    <s v="IP68"/>
    <n v="8.9"/>
    <n v="2.1"/>
    <x v="3"/>
    <x v="6"/>
    <x v="2"/>
    <n v="63.3"/>
  </r>
  <r>
    <x v="7"/>
    <x v="19"/>
    <x v="9"/>
    <x v="19"/>
    <x v="0"/>
    <x v="658"/>
    <n v="232.9"/>
    <n v="91.15"/>
    <n v="96.24"/>
    <n v="78.37"/>
    <s v="3ATM"/>
    <n v="6.2"/>
    <m/>
    <x v="2"/>
    <x v="0"/>
    <x v="2"/>
    <n v="69.599999999999994"/>
  </r>
  <r>
    <x v="7"/>
    <x v="28"/>
    <x v="4"/>
    <x v="28"/>
    <x v="1"/>
    <x v="659"/>
    <n v="1892.7"/>
    <n v="93.11"/>
    <n v="98.09"/>
    <n v="76.83"/>
    <s v="10ATM"/>
    <n v="8.4"/>
    <n v="4.7"/>
    <x v="1"/>
    <x v="6"/>
    <x v="0"/>
    <n v="62.2"/>
  </r>
  <r>
    <x v="7"/>
    <x v="15"/>
    <x v="8"/>
    <x v="15"/>
    <x v="1"/>
    <x v="660"/>
    <n v="62.1"/>
    <n v="96.47"/>
    <n v="95.31"/>
    <n v="75.45"/>
    <s v="IPX8"/>
    <n v="8.1"/>
    <n v="3.4"/>
    <x v="1"/>
    <x v="6"/>
    <x v="0"/>
    <n v="60.3"/>
  </r>
  <r>
    <x v="7"/>
    <x v="20"/>
    <x v="0"/>
    <x v="20"/>
    <x v="1"/>
    <x v="661"/>
    <n v="70.400000000000006"/>
    <n v="94.64"/>
    <n v="94.02"/>
    <n v="80.89"/>
    <s v="IPX8"/>
    <n v="7.1"/>
    <n v="3.9"/>
    <x v="1"/>
    <x v="4"/>
    <x v="0"/>
    <n v="58.9"/>
  </r>
  <r>
    <x v="7"/>
    <x v="25"/>
    <x v="5"/>
    <x v="25"/>
    <x v="1"/>
    <x v="662"/>
    <n v="63.9"/>
    <n v="96.97"/>
    <n v="93.14"/>
    <n v="78.2"/>
    <s v="IP68"/>
    <n v="9.5"/>
    <n v="1.9"/>
    <x v="3"/>
    <x v="7"/>
    <x v="2"/>
    <n v="63.9"/>
  </r>
  <r>
    <x v="7"/>
    <x v="10"/>
    <x v="7"/>
    <x v="10"/>
    <x v="4"/>
    <x v="663"/>
    <n v="178.7"/>
    <n v="86.55"/>
    <n v="93.08"/>
    <n v="86.97"/>
    <s v="IPX8"/>
    <n v="8.3000000000000007"/>
    <m/>
    <x v="2"/>
    <x v="0"/>
    <x v="2"/>
    <n v="73.900000000000006"/>
  </r>
  <r>
    <x v="7"/>
    <x v="26"/>
    <x v="9"/>
    <x v="26"/>
    <x v="2"/>
    <x v="664"/>
    <n v="156.4"/>
    <n v="94.94"/>
    <n v="95.46"/>
    <n v="74.489999999999995"/>
    <s v="5ATM"/>
    <n v="6.7"/>
    <n v="1.7"/>
    <x v="0"/>
    <x v="0"/>
    <x v="0"/>
    <n v="60.6"/>
  </r>
  <r>
    <x v="7"/>
    <x v="26"/>
    <x v="9"/>
    <x v="26"/>
    <x v="1"/>
    <x v="665"/>
    <n v="39.4"/>
    <n v="96.97"/>
    <n v="93.61"/>
    <n v="75.09"/>
    <s v="IP68"/>
    <n v="6.1"/>
    <n v="2.9"/>
    <x v="3"/>
    <x v="5"/>
    <x v="0"/>
    <n v="56.6"/>
  </r>
  <r>
    <x v="8"/>
    <x v="18"/>
    <x v="4"/>
    <x v="18"/>
    <x v="1"/>
    <x v="666"/>
    <n v="466"/>
    <n v="95.55"/>
    <n v="98.4"/>
    <n v="82.78"/>
    <s v="5ATM"/>
    <n v="8.1999999999999993"/>
    <n v="3.3"/>
    <x v="3"/>
    <x v="4"/>
    <x v="0"/>
    <n v="64.3"/>
  </r>
  <r>
    <x v="8"/>
    <x v="24"/>
    <x v="2"/>
    <x v="24"/>
    <x v="2"/>
    <x v="667"/>
    <n v="131.30000000000001"/>
    <n v="96.88"/>
    <n v="96.31"/>
    <n v="73.58"/>
    <s v="5ATM"/>
    <n v="9.3000000000000007"/>
    <n v="4.3"/>
    <x v="0"/>
    <x v="0"/>
    <x v="0"/>
    <n v="63"/>
  </r>
  <r>
    <x v="8"/>
    <x v="26"/>
    <x v="9"/>
    <x v="26"/>
    <x v="2"/>
    <x v="668"/>
    <n v="205.9"/>
    <n v="96.35"/>
    <n v="95.75"/>
    <n v="70.27"/>
    <s v="IPX8"/>
    <n v="6.5"/>
    <n v="3.8"/>
    <x v="0"/>
    <x v="6"/>
    <x v="2"/>
    <n v="58.7"/>
  </r>
  <r>
    <x v="8"/>
    <x v="4"/>
    <x v="3"/>
    <x v="4"/>
    <x v="1"/>
    <x v="669"/>
    <n v="37.6"/>
    <n v="93.34"/>
    <n v="96.48"/>
    <n v="82.15"/>
    <s v="IPX8"/>
    <n v="7.5"/>
    <n v="2.7"/>
    <x v="1"/>
    <x v="4"/>
    <x v="2"/>
    <n v="60.1"/>
  </r>
  <r>
    <x v="8"/>
    <x v="24"/>
    <x v="2"/>
    <x v="24"/>
    <x v="2"/>
    <x v="670"/>
    <n v="234.2"/>
    <n v="97.66"/>
    <n v="93.79"/>
    <n v="79.72"/>
    <s v="5ATM"/>
    <n v="8.1999999999999993"/>
    <n v="2.7"/>
    <x v="0"/>
    <x v="0"/>
    <x v="0"/>
    <n v="63.7"/>
  </r>
  <r>
    <x v="8"/>
    <x v="8"/>
    <x v="3"/>
    <x v="8"/>
    <x v="1"/>
    <x v="671"/>
    <n v="71.400000000000006"/>
    <n v="95.84"/>
    <n v="98.15"/>
    <n v="77.61"/>
    <s v="IP68"/>
    <n v="8.4"/>
    <n v="3.8"/>
    <x v="1"/>
    <x v="5"/>
    <x v="2"/>
    <n v="61.5"/>
  </r>
  <r>
    <x v="8"/>
    <x v="6"/>
    <x v="5"/>
    <x v="6"/>
    <x v="2"/>
    <x v="672"/>
    <n v="164.7"/>
    <n v="96.65"/>
    <n v="94.52"/>
    <n v="75.34"/>
    <s v="IPX8"/>
    <n v="8.5"/>
    <n v="2.8"/>
    <x v="0"/>
    <x v="1"/>
    <x v="2"/>
    <n v="63.3"/>
  </r>
  <r>
    <x v="8"/>
    <x v="25"/>
    <x v="5"/>
    <x v="25"/>
    <x v="1"/>
    <x v="673"/>
    <n v="46.2"/>
    <n v="96.23"/>
    <n v="95.33"/>
    <n v="77.69"/>
    <s v="5ATM"/>
    <n v="7.1"/>
    <n v="2.8"/>
    <x v="1"/>
    <x v="6"/>
    <x v="0"/>
    <n v="59.1"/>
  </r>
  <r>
    <x v="8"/>
    <x v="16"/>
    <x v="4"/>
    <x v="16"/>
    <x v="2"/>
    <x v="674"/>
    <n v="439.8"/>
    <n v="92.9"/>
    <n v="98.1"/>
    <n v="79.77"/>
    <s v="IPX8"/>
    <n v="7.4"/>
    <n v="2.2000000000000002"/>
    <x v="2"/>
    <x v="1"/>
    <x v="0"/>
    <n v="62.7"/>
  </r>
  <r>
    <x v="8"/>
    <x v="5"/>
    <x v="4"/>
    <x v="5"/>
    <x v="1"/>
    <x v="675"/>
    <n v="718.3"/>
    <n v="93.43"/>
    <n v="98.58"/>
    <n v="82.93"/>
    <s v="IP68"/>
    <n v="6.6"/>
    <n v="3.4"/>
    <x v="3"/>
    <x v="7"/>
    <x v="0"/>
    <n v="61.2"/>
  </r>
  <r>
    <x v="8"/>
    <x v="22"/>
    <x v="8"/>
    <x v="22"/>
    <x v="1"/>
    <x v="676"/>
    <n v="48.9"/>
    <n v="94.23"/>
    <n v="96.81"/>
    <n v="76.42"/>
    <s v="5ATM"/>
    <n v="8"/>
    <n v="2.2999999999999998"/>
    <x v="3"/>
    <x v="1"/>
    <x v="0"/>
    <n v="60.7"/>
  </r>
  <r>
    <x v="8"/>
    <x v="9"/>
    <x v="6"/>
    <x v="9"/>
    <x v="3"/>
    <x v="9"/>
    <n v="125"/>
    <n v="87.55"/>
    <n v="95.22"/>
    <n v="77.3"/>
    <s v="IPX4"/>
    <n v="6.4"/>
    <m/>
    <x v="2"/>
    <x v="13"/>
    <x v="2"/>
    <n v="67.8"/>
  </r>
  <r>
    <x v="8"/>
    <x v="10"/>
    <x v="7"/>
    <x v="10"/>
    <x v="4"/>
    <x v="677"/>
    <n v="190.6"/>
    <n v="87.15"/>
    <n v="95.72"/>
    <n v="91.6"/>
    <s v="IPX7"/>
    <n v="9.1"/>
    <m/>
    <x v="2"/>
    <x v="11"/>
    <x v="0"/>
    <n v="77.099999999999994"/>
  </r>
  <r>
    <x v="8"/>
    <x v="9"/>
    <x v="6"/>
    <x v="9"/>
    <x v="3"/>
    <x v="9"/>
    <n v="121"/>
    <n v="86.46"/>
    <n v="94.55"/>
    <n v="74.02"/>
    <s v="3ATM"/>
    <n v="7.5"/>
    <m/>
    <x v="2"/>
    <x v="8"/>
    <x v="2"/>
    <n v="68.900000000000006"/>
  </r>
  <r>
    <x v="8"/>
    <x v="4"/>
    <x v="3"/>
    <x v="4"/>
    <x v="1"/>
    <x v="678"/>
    <n v="64.7"/>
    <n v="94.94"/>
    <n v="96.62"/>
    <n v="76.41"/>
    <s v="IP68"/>
    <n v="8.3000000000000007"/>
    <n v="3.3"/>
    <x v="3"/>
    <x v="5"/>
    <x v="2"/>
    <n v="60.9"/>
  </r>
  <r>
    <x v="8"/>
    <x v="10"/>
    <x v="7"/>
    <x v="10"/>
    <x v="4"/>
    <x v="679"/>
    <n v="184.9"/>
    <n v="85.49"/>
    <n v="96.16"/>
    <n v="87.95"/>
    <s v="IPX8"/>
    <n v="8.5"/>
    <m/>
    <x v="2"/>
    <x v="8"/>
    <x v="2"/>
    <n v="74.900000000000006"/>
  </r>
  <r>
    <x v="8"/>
    <x v="10"/>
    <x v="7"/>
    <x v="10"/>
    <x v="4"/>
    <x v="680"/>
    <n v="169.3"/>
    <n v="89.33"/>
    <n v="94.99"/>
    <n v="88.05"/>
    <s v="IPX7"/>
    <n v="8"/>
    <m/>
    <x v="2"/>
    <x v="12"/>
    <x v="2"/>
    <n v="74.5"/>
  </r>
  <r>
    <x v="8"/>
    <x v="10"/>
    <x v="7"/>
    <x v="10"/>
    <x v="4"/>
    <x v="681"/>
    <n v="191.2"/>
    <n v="91.01"/>
    <n v="95.45"/>
    <n v="89.79"/>
    <s v="IPX7"/>
    <n v="9.4"/>
    <m/>
    <x v="2"/>
    <x v="0"/>
    <x v="2"/>
    <n v="78"/>
  </r>
  <r>
    <x v="8"/>
    <x v="6"/>
    <x v="5"/>
    <x v="6"/>
    <x v="1"/>
    <x v="682"/>
    <n v="28.8"/>
    <n v="94.82"/>
    <n v="94.55"/>
    <n v="81.95"/>
    <s v="IPX8"/>
    <n v="8"/>
    <n v="2.7"/>
    <x v="3"/>
    <x v="4"/>
    <x v="0"/>
    <n v="60.7"/>
  </r>
  <r>
    <x v="8"/>
    <x v="21"/>
    <x v="1"/>
    <x v="21"/>
    <x v="1"/>
    <x v="683"/>
    <n v="21.4"/>
    <n v="96.19"/>
    <n v="96.26"/>
    <n v="79.47"/>
    <s v="IP68"/>
    <n v="7.9"/>
    <n v="4.7"/>
    <x v="1"/>
    <x v="6"/>
    <x v="1"/>
    <n v="59.1"/>
  </r>
  <r>
    <x v="8"/>
    <x v="21"/>
    <x v="1"/>
    <x v="21"/>
    <x v="1"/>
    <x v="684"/>
    <n v="62"/>
    <n v="94.23"/>
    <n v="96.49"/>
    <n v="82.5"/>
    <s v="5ATM"/>
    <n v="8.1999999999999993"/>
    <n v="2.2000000000000002"/>
    <x v="3"/>
    <x v="6"/>
    <x v="1"/>
    <n v="62.3"/>
  </r>
  <r>
    <x v="8"/>
    <x v="18"/>
    <x v="4"/>
    <x v="18"/>
    <x v="2"/>
    <x v="685"/>
    <n v="472.5"/>
    <n v="93.62"/>
    <n v="98.85"/>
    <n v="75.37"/>
    <s v="5ATM"/>
    <n v="7.4"/>
    <n v="1.8"/>
    <x v="2"/>
    <x v="1"/>
    <x v="0"/>
    <n v="62.4"/>
  </r>
  <r>
    <x v="8"/>
    <x v="0"/>
    <x v="0"/>
    <x v="0"/>
    <x v="0"/>
    <x v="686"/>
    <n v="199.4"/>
    <n v="92.83"/>
    <n v="95.58"/>
    <n v="74.91"/>
    <s v="IPX4"/>
    <n v="7.1"/>
    <m/>
    <x v="2"/>
    <x v="10"/>
    <x v="0"/>
    <n v="70.900000000000006"/>
  </r>
  <r>
    <x v="8"/>
    <x v="2"/>
    <x v="0"/>
    <x v="2"/>
    <x v="2"/>
    <x v="687"/>
    <n v="239.9"/>
    <n v="95.21"/>
    <n v="93.65"/>
    <n v="73.180000000000007"/>
    <s v="5ATM"/>
    <n v="7.5"/>
    <n v="1.9"/>
    <x v="2"/>
    <x v="12"/>
    <x v="0"/>
    <n v="61.6"/>
  </r>
  <r>
    <x v="8"/>
    <x v="12"/>
    <x v="8"/>
    <x v="12"/>
    <x v="1"/>
    <x v="688"/>
    <n v="20.5"/>
    <n v="97.25"/>
    <n v="95.62"/>
    <n v="83.94"/>
    <s v="IPX8"/>
    <n v="7.6"/>
    <n v="2.2999999999999998"/>
    <x v="3"/>
    <x v="4"/>
    <x v="2"/>
    <n v="61"/>
  </r>
  <r>
    <x v="8"/>
    <x v="11"/>
    <x v="1"/>
    <x v="11"/>
    <x v="1"/>
    <x v="689"/>
    <n v="22.6"/>
    <n v="93.57"/>
    <n v="97.1"/>
    <n v="75.819999999999993"/>
    <s v="5ATM"/>
    <n v="9.4"/>
    <n v="2.2999999999999998"/>
    <x v="3"/>
    <x v="7"/>
    <x v="1"/>
    <n v="62.3"/>
  </r>
  <r>
    <x v="8"/>
    <x v="6"/>
    <x v="5"/>
    <x v="6"/>
    <x v="2"/>
    <x v="690"/>
    <n v="146.4"/>
    <n v="97.16"/>
    <n v="96.96"/>
    <n v="73.05"/>
    <s v="IP68"/>
    <n v="7.1"/>
    <n v="4.9000000000000004"/>
    <x v="2"/>
    <x v="12"/>
    <x v="2"/>
    <n v="59.3"/>
  </r>
  <r>
    <x v="8"/>
    <x v="9"/>
    <x v="6"/>
    <x v="9"/>
    <x v="3"/>
    <x v="9"/>
    <n v="161.4"/>
    <n v="85.16"/>
    <n v="93.91"/>
    <n v="71.260000000000005"/>
    <s v="IPX7"/>
    <n v="7.1"/>
    <m/>
    <x v="2"/>
    <x v="13"/>
    <x v="0"/>
    <n v="68.099999999999994"/>
  </r>
  <r>
    <x v="8"/>
    <x v="17"/>
    <x v="3"/>
    <x v="17"/>
    <x v="1"/>
    <x v="691"/>
    <n v="43.8"/>
    <n v="97.61"/>
    <n v="96.02"/>
    <n v="78.84"/>
    <s v="IPX8"/>
    <n v="9.1"/>
    <n v="4.8"/>
    <x v="1"/>
    <x v="1"/>
    <x v="2"/>
    <n v="61.6"/>
  </r>
  <r>
    <x v="8"/>
    <x v="18"/>
    <x v="4"/>
    <x v="18"/>
    <x v="1"/>
    <x v="692"/>
    <n v="413.7"/>
    <n v="92.97"/>
    <n v="98.35"/>
    <n v="79.95"/>
    <s v="5ATM"/>
    <n v="8.1999999999999993"/>
    <n v="3.7"/>
    <x v="1"/>
    <x v="6"/>
    <x v="0"/>
    <n v="63.1"/>
  </r>
  <r>
    <x v="8"/>
    <x v="0"/>
    <x v="0"/>
    <x v="0"/>
    <x v="0"/>
    <x v="693"/>
    <n v="121.7"/>
    <n v="90.05"/>
    <n v="96.03"/>
    <n v="78.430000000000007"/>
    <s v="IPX7"/>
    <n v="7.5"/>
    <m/>
    <x v="2"/>
    <x v="1"/>
    <x v="0"/>
    <n v="70.8"/>
  </r>
  <r>
    <x v="8"/>
    <x v="10"/>
    <x v="7"/>
    <x v="10"/>
    <x v="4"/>
    <x v="694"/>
    <n v="190.1"/>
    <n v="89.46"/>
    <n v="94.76"/>
    <n v="86.32"/>
    <s v="IPX7"/>
    <n v="8.3000000000000007"/>
    <m/>
    <x v="2"/>
    <x v="8"/>
    <x v="0"/>
    <n v="74.7"/>
  </r>
  <r>
    <x v="8"/>
    <x v="20"/>
    <x v="0"/>
    <x v="20"/>
    <x v="2"/>
    <x v="695"/>
    <n v="153.4"/>
    <n v="93.12"/>
    <n v="94.99"/>
    <n v="71.319999999999993"/>
    <s v="IP68"/>
    <n v="7.8"/>
    <n v="4.8"/>
    <x v="0"/>
    <x v="10"/>
    <x v="0"/>
    <n v="59.4"/>
  </r>
  <r>
    <x v="8"/>
    <x v="23"/>
    <x v="8"/>
    <x v="23"/>
    <x v="1"/>
    <x v="696"/>
    <n v="57.7"/>
    <n v="97.53"/>
    <n v="96.61"/>
    <n v="81.040000000000006"/>
    <s v="IPX8"/>
    <n v="9"/>
    <n v="4.4000000000000004"/>
    <x v="3"/>
    <x v="7"/>
    <x v="0"/>
    <n v="62.4"/>
  </r>
  <r>
    <x v="8"/>
    <x v="9"/>
    <x v="6"/>
    <x v="9"/>
    <x v="3"/>
    <x v="9"/>
    <n v="137.80000000000001"/>
    <n v="89.1"/>
    <n v="94.86"/>
    <n v="71.180000000000007"/>
    <s v="IPX4"/>
    <n v="7.7"/>
    <m/>
    <x v="2"/>
    <x v="13"/>
    <x v="0"/>
    <n v="69.7"/>
  </r>
  <r>
    <x v="8"/>
    <x v="25"/>
    <x v="5"/>
    <x v="25"/>
    <x v="2"/>
    <x v="697"/>
    <n v="154"/>
    <n v="93.49"/>
    <n v="93.44"/>
    <n v="78.19"/>
    <s v="IP68"/>
    <n v="8"/>
    <n v="2.5"/>
    <x v="2"/>
    <x v="6"/>
    <x v="2"/>
    <n v="62.2"/>
  </r>
  <r>
    <x v="8"/>
    <x v="12"/>
    <x v="8"/>
    <x v="12"/>
    <x v="1"/>
    <x v="698"/>
    <n v="23.1"/>
    <n v="95.02"/>
    <n v="95.8"/>
    <n v="79.77"/>
    <s v="IPX8"/>
    <n v="9.3000000000000007"/>
    <n v="3.9"/>
    <x v="1"/>
    <x v="6"/>
    <x v="2"/>
    <n v="61.8"/>
  </r>
  <r>
    <x v="8"/>
    <x v="24"/>
    <x v="2"/>
    <x v="24"/>
    <x v="1"/>
    <x v="699"/>
    <n v="38.700000000000003"/>
    <n v="94.59"/>
    <n v="95.75"/>
    <n v="77.150000000000006"/>
    <s v="IPX8"/>
    <n v="7"/>
    <n v="3.4"/>
    <x v="1"/>
    <x v="10"/>
    <x v="0"/>
    <n v="58.1"/>
  </r>
  <r>
    <x v="8"/>
    <x v="0"/>
    <x v="0"/>
    <x v="0"/>
    <x v="0"/>
    <x v="700"/>
    <n v="136"/>
    <n v="92.12"/>
    <n v="95.97"/>
    <n v="77.62"/>
    <s v="3ATM"/>
    <n v="7.9"/>
    <m/>
    <x v="2"/>
    <x v="2"/>
    <x v="0"/>
    <n v="72.2"/>
  </r>
  <r>
    <x v="8"/>
    <x v="1"/>
    <x v="1"/>
    <x v="1"/>
    <x v="1"/>
    <x v="701"/>
    <n v="32.9"/>
    <n v="95.66"/>
    <n v="96.79"/>
    <n v="75.64"/>
    <s v="5ATM"/>
    <n v="8.4"/>
    <n v="4.3"/>
    <x v="1"/>
    <x v="7"/>
    <x v="1"/>
    <n v="59.8"/>
  </r>
  <r>
    <x v="8"/>
    <x v="21"/>
    <x v="1"/>
    <x v="21"/>
    <x v="1"/>
    <x v="702"/>
    <n v="23.8"/>
    <n v="92.45"/>
    <n v="96.93"/>
    <n v="76.540000000000006"/>
    <s v="5ATM"/>
    <n v="9.1999999999999993"/>
    <n v="4.5"/>
    <x v="1"/>
    <x v="1"/>
    <x v="1"/>
    <n v="60.5"/>
  </r>
  <r>
    <x v="8"/>
    <x v="4"/>
    <x v="3"/>
    <x v="4"/>
    <x v="1"/>
    <x v="703"/>
    <n v="50.9"/>
    <n v="95.43"/>
    <n v="96.39"/>
    <n v="76.56"/>
    <s v="IPX8"/>
    <n v="8.1999999999999993"/>
    <n v="4.5"/>
    <x v="3"/>
    <x v="10"/>
    <x v="2"/>
    <n v="59.7"/>
  </r>
  <r>
    <x v="8"/>
    <x v="24"/>
    <x v="2"/>
    <x v="24"/>
    <x v="1"/>
    <x v="704"/>
    <n v="40.9"/>
    <n v="97.69"/>
    <n v="94.82"/>
    <n v="82.11"/>
    <s v="IPX8"/>
    <n v="8.4"/>
    <n v="3.3"/>
    <x v="3"/>
    <x v="4"/>
    <x v="0"/>
    <n v="61.7"/>
  </r>
  <r>
    <x v="8"/>
    <x v="3"/>
    <x v="2"/>
    <x v="3"/>
    <x v="2"/>
    <x v="705"/>
    <n v="224.4"/>
    <n v="94.76"/>
    <n v="96.01"/>
    <n v="78.91"/>
    <s v="IPX8"/>
    <n v="8.4"/>
    <n v="2.9"/>
    <x v="2"/>
    <x v="6"/>
    <x v="0"/>
    <n v="63.7"/>
  </r>
  <r>
    <x v="8"/>
    <x v="3"/>
    <x v="2"/>
    <x v="3"/>
    <x v="2"/>
    <x v="706"/>
    <n v="239.5"/>
    <n v="97.83"/>
    <n v="96.08"/>
    <n v="70.290000000000006"/>
    <s v="5ATM"/>
    <n v="7.6"/>
    <n v="4.5"/>
    <x v="2"/>
    <x v="10"/>
    <x v="0"/>
    <n v="60.4"/>
  </r>
  <r>
    <x v="8"/>
    <x v="11"/>
    <x v="1"/>
    <x v="11"/>
    <x v="1"/>
    <x v="707"/>
    <n v="31.4"/>
    <n v="93.54"/>
    <n v="97.85"/>
    <n v="81.900000000000006"/>
    <s v="IP68"/>
    <n v="9.3000000000000007"/>
    <n v="2.2999999999999998"/>
    <x v="3"/>
    <x v="10"/>
    <x v="1"/>
    <n v="63.5"/>
  </r>
  <r>
    <x v="8"/>
    <x v="6"/>
    <x v="5"/>
    <x v="6"/>
    <x v="2"/>
    <x v="708"/>
    <n v="169"/>
    <n v="93.72"/>
    <n v="94"/>
    <n v="71.52"/>
    <s v="IPX8"/>
    <n v="7.4"/>
    <n v="1.7"/>
    <x v="0"/>
    <x v="0"/>
    <x v="0"/>
    <n v="61.1"/>
  </r>
  <r>
    <x v="8"/>
    <x v="24"/>
    <x v="2"/>
    <x v="24"/>
    <x v="2"/>
    <x v="709"/>
    <n v="187.3"/>
    <n v="93.05"/>
    <n v="96.91"/>
    <n v="76.98"/>
    <s v="IPX8"/>
    <n v="7.5"/>
    <n v="1.5"/>
    <x v="2"/>
    <x v="1"/>
    <x v="0"/>
    <n v="62.7"/>
  </r>
  <r>
    <x v="8"/>
    <x v="12"/>
    <x v="8"/>
    <x v="12"/>
    <x v="1"/>
    <x v="710"/>
    <n v="56.5"/>
    <n v="96.03"/>
    <n v="95.13"/>
    <n v="84.74"/>
    <s v="IPX8"/>
    <n v="8.9"/>
    <n v="1.8"/>
    <x v="3"/>
    <x v="7"/>
    <x v="2"/>
    <n v="64.099999999999994"/>
  </r>
  <r>
    <x v="8"/>
    <x v="21"/>
    <x v="1"/>
    <x v="21"/>
    <x v="1"/>
    <x v="711"/>
    <n v="48.2"/>
    <n v="97.67"/>
    <n v="97.06"/>
    <n v="78.38"/>
    <s v="IPX8"/>
    <n v="8.1"/>
    <n v="4.0999999999999996"/>
    <x v="3"/>
    <x v="10"/>
    <x v="1"/>
    <n v="60.6"/>
  </r>
  <r>
    <x v="8"/>
    <x v="0"/>
    <x v="0"/>
    <x v="0"/>
    <x v="0"/>
    <x v="712"/>
    <n v="104"/>
    <n v="88.68"/>
    <n v="94.72"/>
    <n v="74.239999999999995"/>
    <s v="IPX7"/>
    <n v="8.3000000000000007"/>
    <m/>
    <x v="2"/>
    <x v="10"/>
    <x v="0"/>
    <n v="70.599999999999994"/>
  </r>
  <r>
    <x v="8"/>
    <x v="23"/>
    <x v="8"/>
    <x v="23"/>
    <x v="1"/>
    <x v="713"/>
    <n v="26.3"/>
    <n v="94.53"/>
    <n v="96.69"/>
    <n v="75.16"/>
    <s v="5ATM"/>
    <n v="8.5"/>
    <n v="5"/>
    <x v="1"/>
    <x v="9"/>
    <x v="2"/>
    <n v="59.1"/>
  </r>
  <r>
    <x v="8"/>
    <x v="15"/>
    <x v="8"/>
    <x v="15"/>
    <x v="1"/>
    <x v="714"/>
    <n v="28.1"/>
    <n v="94.69"/>
    <n v="95.22"/>
    <n v="79.08"/>
    <s v="5ATM"/>
    <n v="6.2"/>
    <n v="3.4"/>
    <x v="3"/>
    <x v="9"/>
    <x v="0"/>
    <n v="56.8"/>
  </r>
  <r>
    <x v="8"/>
    <x v="11"/>
    <x v="1"/>
    <x v="11"/>
    <x v="1"/>
    <x v="715"/>
    <n v="27.4"/>
    <n v="97.61"/>
    <n v="96.45"/>
    <n v="75.13"/>
    <s v="IPX8"/>
    <n v="9.3000000000000007"/>
    <n v="4.5999999999999996"/>
    <x v="1"/>
    <x v="4"/>
    <x v="1"/>
    <n v="61.2"/>
  </r>
  <r>
    <x v="8"/>
    <x v="24"/>
    <x v="2"/>
    <x v="24"/>
    <x v="1"/>
    <x v="716"/>
    <n v="59.9"/>
    <n v="93.94"/>
    <n v="96.7"/>
    <n v="75.900000000000006"/>
    <s v="IP68"/>
    <n v="7.6"/>
    <n v="2.8"/>
    <x v="1"/>
    <x v="9"/>
    <x v="0"/>
    <n v="59.7"/>
  </r>
  <r>
    <x v="8"/>
    <x v="9"/>
    <x v="6"/>
    <x v="9"/>
    <x v="3"/>
    <x v="9"/>
    <n v="120.4"/>
    <n v="88.02"/>
    <n v="93.79"/>
    <n v="75.290000000000006"/>
    <s v="IPX4"/>
    <n v="6.8"/>
    <m/>
    <x v="2"/>
    <x v="0"/>
    <x v="2"/>
    <n v="67.900000000000006"/>
  </r>
  <r>
    <x v="8"/>
    <x v="9"/>
    <x v="6"/>
    <x v="9"/>
    <x v="3"/>
    <x v="9"/>
    <n v="147.4"/>
    <n v="87.73"/>
    <n v="95.38"/>
    <n v="78.650000000000006"/>
    <s v="IPX7"/>
    <n v="7.4"/>
    <m/>
    <x v="2"/>
    <x v="11"/>
    <x v="2"/>
    <n v="70.7"/>
  </r>
  <r>
    <x v="8"/>
    <x v="10"/>
    <x v="7"/>
    <x v="10"/>
    <x v="4"/>
    <x v="717"/>
    <n v="179.6"/>
    <n v="89.39"/>
    <n v="96.57"/>
    <n v="88.76"/>
    <s v="IPX8"/>
    <n v="8.6999999999999993"/>
    <m/>
    <x v="2"/>
    <x v="12"/>
    <x v="2"/>
    <n v="76.3"/>
  </r>
  <r>
    <x v="8"/>
    <x v="4"/>
    <x v="3"/>
    <x v="4"/>
    <x v="1"/>
    <x v="718"/>
    <n v="36"/>
    <n v="92.27"/>
    <n v="97.37"/>
    <n v="83.14"/>
    <s v="5ATM"/>
    <n v="9.1999999999999993"/>
    <n v="3.9"/>
    <x v="3"/>
    <x v="7"/>
    <x v="2"/>
    <n v="62.2"/>
  </r>
  <r>
    <x v="8"/>
    <x v="22"/>
    <x v="8"/>
    <x v="22"/>
    <x v="1"/>
    <x v="719"/>
    <n v="66.599999999999994"/>
    <n v="95.3"/>
    <n v="93.01"/>
    <n v="78.55"/>
    <s v="IP68"/>
    <n v="8.1999999999999993"/>
    <n v="3"/>
    <x v="3"/>
    <x v="10"/>
    <x v="2"/>
    <n v="60.8"/>
  </r>
  <r>
    <x v="8"/>
    <x v="5"/>
    <x v="4"/>
    <x v="5"/>
    <x v="1"/>
    <x v="720"/>
    <n v="374.1"/>
    <n v="96.2"/>
    <n v="99.22"/>
    <n v="78.680000000000007"/>
    <s v="IP68"/>
    <n v="9"/>
    <n v="4.5"/>
    <x v="3"/>
    <x v="5"/>
    <x v="0"/>
    <n v="64.400000000000006"/>
  </r>
  <r>
    <x v="8"/>
    <x v="10"/>
    <x v="7"/>
    <x v="10"/>
    <x v="4"/>
    <x v="721"/>
    <n v="168.2"/>
    <n v="87.77"/>
    <n v="96.37"/>
    <n v="87.66"/>
    <s v="IPX8"/>
    <n v="7.7"/>
    <m/>
    <x v="2"/>
    <x v="12"/>
    <x v="2"/>
    <n v="73.8"/>
  </r>
  <r>
    <x v="8"/>
    <x v="3"/>
    <x v="2"/>
    <x v="3"/>
    <x v="1"/>
    <x v="722"/>
    <n v="40.1"/>
    <n v="95.93"/>
    <n v="93.62"/>
    <n v="79.69"/>
    <s v="IPX8"/>
    <n v="8.5"/>
    <n v="3.9"/>
    <x v="3"/>
    <x v="9"/>
    <x v="0"/>
    <n v="60.6"/>
  </r>
  <r>
    <x v="8"/>
    <x v="19"/>
    <x v="9"/>
    <x v="19"/>
    <x v="0"/>
    <x v="723"/>
    <n v="139.80000000000001"/>
    <n v="92.15"/>
    <n v="96.48"/>
    <n v="75.959999999999994"/>
    <s v="3ATM"/>
    <n v="7.3"/>
    <m/>
    <x v="0"/>
    <x v="2"/>
    <x v="0"/>
    <n v="70.8"/>
  </r>
  <r>
    <x v="8"/>
    <x v="23"/>
    <x v="8"/>
    <x v="23"/>
    <x v="1"/>
    <x v="724"/>
    <n v="35.1"/>
    <n v="94.35"/>
    <n v="94.34"/>
    <n v="83.8"/>
    <s v="5ATM"/>
    <n v="9.5"/>
    <n v="2.2999999999999998"/>
    <x v="3"/>
    <x v="6"/>
    <x v="2"/>
    <n v="63.7"/>
  </r>
  <r>
    <x v="8"/>
    <x v="20"/>
    <x v="0"/>
    <x v="20"/>
    <x v="2"/>
    <x v="725"/>
    <n v="230"/>
    <n v="96.77"/>
    <n v="93.4"/>
    <n v="70.849999999999994"/>
    <s v="5ATM"/>
    <n v="7.2"/>
    <n v="3.1"/>
    <x v="2"/>
    <x v="12"/>
    <x v="0"/>
    <n v="60.1"/>
  </r>
  <r>
    <x v="8"/>
    <x v="6"/>
    <x v="5"/>
    <x v="6"/>
    <x v="2"/>
    <x v="726"/>
    <n v="85.2"/>
    <n v="93.2"/>
    <n v="96.42"/>
    <n v="71.45"/>
    <s v="IPX8"/>
    <n v="8.6"/>
    <n v="1.8"/>
    <x v="2"/>
    <x v="6"/>
    <x v="0"/>
    <n v="61.7"/>
  </r>
  <r>
    <x v="8"/>
    <x v="28"/>
    <x v="4"/>
    <x v="28"/>
    <x v="2"/>
    <x v="727"/>
    <n v="2055.1999999999998"/>
    <n v="94.69"/>
    <n v="99.02"/>
    <n v="79.62"/>
    <s v="10ATM"/>
    <n v="6.2"/>
    <n v="3.4"/>
    <x v="2"/>
    <x v="1"/>
    <x v="0"/>
    <n v="60.3"/>
  </r>
  <r>
    <x v="8"/>
    <x v="24"/>
    <x v="2"/>
    <x v="24"/>
    <x v="2"/>
    <x v="728"/>
    <n v="117.9"/>
    <n v="96.57"/>
    <n v="96.69"/>
    <n v="73.510000000000005"/>
    <s v="5ATM"/>
    <n v="8.3000000000000007"/>
    <n v="3.5"/>
    <x v="2"/>
    <x v="12"/>
    <x v="0"/>
    <n v="61.6"/>
  </r>
  <r>
    <x v="8"/>
    <x v="4"/>
    <x v="3"/>
    <x v="4"/>
    <x v="1"/>
    <x v="729"/>
    <n v="71.3"/>
    <n v="94.43"/>
    <n v="96.32"/>
    <n v="77.94"/>
    <s v="IPX8"/>
    <n v="8.4"/>
    <n v="4.9000000000000004"/>
    <x v="1"/>
    <x v="9"/>
    <x v="2"/>
    <n v="60.3"/>
  </r>
  <r>
    <x v="8"/>
    <x v="10"/>
    <x v="7"/>
    <x v="10"/>
    <x v="4"/>
    <x v="730"/>
    <n v="168"/>
    <n v="87.95"/>
    <n v="95.25"/>
    <n v="87.77"/>
    <s v="IPX8"/>
    <n v="8.8000000000000007"/>
    <m/>
    <x v="2"/>
    <x v="12"/>
    <x v="0"/>
    <n v="75.8"/>
  </r>
  <r>
    <x v="8"/>
    <x v="25"/>
    <x v="5"/>
    <x v="25"/>
    <x v="2"/>
    <x v="731"/>
    <n v="213.9"/>
    <n v="93.46"/>
    <n v="95.36"/>
    <n v="75.239999999999995"/>
    <s v="IPX8"/>
    <n v="8.3000000000000007"/>
    <n v="4.0999999999999996"/>
    <x v="2"/>
    <x v="12"/>
    <x v="2"/>
    <n v="61.8"/>
  </r>
  <r>
    <x v="8"/>
    <x v="25"/>
    <x v="5"/>
    <x v="25"/>
    <x v="1"/>
    <x v="732"/>
    <n v="26.2"/>
    <n v="97.82"/>
    <n v="93.09"/>
    <n v="84.72"/>
    <s v="IPX8"/>
    <n v="7.4"/>
    <n v="4"/>
    <x v="3"/>
    <x v="5"/>
    <x v="2"/>
    <n v="59.5"/>
  </r>
  <r>
    <x v="8"/>
    <x v="2"/>
    <x v="0"/>
    <x v="2"/>
    <x v="1"/>
    <x v="733"/>
    <n v="69.099999999999994"/>
    <n v="93.89"/>
    <n v="94.27"/>
    <n v="82.8"/>
    <s v="IPX8"/>
    <n v="8.4"/>
    <n v="2.1"/>
    <x v="3"/>
    <x v="10"/>
    <x v="0"/>
    <n v="62.5"/>
  </r>
  <r>
    <x v="8"/>
    <x v="16"/>
    <x v="4"/>
    <x v="16"/>
    <x v="1"/>
    <x v="734"/>
    <n v="269"/>
    <n v="93.87"/>
    <n v="98.65"/>
    <n v="84.6"/>
    <s v="IPX8"/>
    <n v="8.5"/>
    <n v="4.5999999999999996"/>
    <x v="3"/>
    <x v="10"/>
    <x v="0"/>
    <n v="64"/>
  </r>
  <r>
    <x v="8"/>
    <x v="24"/>
    <x v="2"/>
    <x v="24"/>
    <x v="2"/>
    <x v="735"/>
    <n v="153.4"/>
    <n v="93.89"/>
    <n v="96.53"/>
    <n v="72"/>
    <s v="IP68"/>
    <n v="8.3000000000000007"/>
    <n v="4.7"/>
    <x v="2"/>
    <x v="2"/>
    <x v="0"/>
    <n v="60.8"/>
  </r>
  <r>
    <x v="8"/>
    <x v="3"/>
    <x v="2"/>
    <x v="3"/>
    <x v="1"/>
    <x v="736"/>
    <n v="26.1"/>
    <n v="94.85"/>
    <n v="95.78"/>
    <n v="80.77"/>
    <s v="5ATM"/>
    <n v="8"/>
    <n v="3.3"/>
    <x v="1"/>
    <x v="7"/>
    <x v="0"/>
    <n v="60.2"/>
  </r>
  <r>
    <x v="8"/>
    <x v="3"/>
    <x v="2"/>
    <x v="3"/>
    <x v="1"/>
    <x v="737"/>
    <n v="60.7"/>
    <n v="97.93"/>
    <n v="95.6"/>
    <n v="82.11"/>
    <s v="5ATM"/>
    <n v="7.9"/>
    <n v="2.5"/>
    <x v="3"/>
    <x v="1"/>
    <x v="0"/>
    <n v="62"/>
  </r>
  <r>
    <x v="8"/>
    <x v="8"/>
    <x v="3"/>
    <x v="8"/>
    <x v="1"/>
    <x v="738"/>
    <n v="22.5"/>
    <n v="96.86"/>
    <n v="96.33"/>
    <n v="81.540000000000006"/>
    <s v="IP68"/>
    <n v="8.1"/>
    <n v="2.1"/>
    <x v="3"/>
    <x v="6"/>
    <x v="2"/>
    <n v="61.7"/>
  </r>
  <r>
    <x v="8"/>
    <x v="7"/>
    <x v="4"/>
    <x v="7"/>
    <x v="1"/>
    <x v="739"/>
    <n v="360.2"/>
    <n v="94.23"/>
    <n v="99.36"/>
    <n v="76.66"/>
    <s v="5ATM"/>
    <n v="8.9"/>
    <n v="4"/>
    <x v="3"/>
    <x v="4"/>
    <x v="0"/>
    <n v="63.9"/>
  </r>
  <r>
    <x v="8"/>
    <x v="10"/>
    <x v="7"/>
    <x v="10"/>
    <x v="4"/>
    <x v="740"/>
    <n v="182.4"/>
    <n v="87.59"/>
    <n v="94.7"/>
    <n v="89.72"/>
    <s v="IPX7"/>
    <n v="7.8"/>
    <m/>
    <x v="2"/>
    <x v="11"/>
    <x v="0"/>
    <n v="74"/>
  </r>
  <r>
    <x v="9"/>
    <x v="4"/>
    <x v="3"/>
    <x v="4"/>
    <x v="1"/>
    <x v="741"/>
    <n v="23.5"/>
    <n v="95.77"/>
    <n v="97.18"/>
    <n v="81.599999999999994"/>
    <s v="IPX8"/>
    <n v="8.1999999999999993"/>
    <n v="3.4"/>
    <x v="3"/>
    <x v="10"/>
    <x v="2"/>
    <n v="61"/>
  </r>
  <r>
    <x v="9"/>
    <x v="14"/>
    <x v="9"/>
    <x v="14"/>
    <x v="2"/>
    <x v="742"/>
    <n v="89.9"/>
    <n v="92.69"/>
    <n v="94.32"/>
    <n v="71.59"/>
    <s v="IPX8"/>
    <n v="6.6"/>
    <n v="3.9"/>
    <x v="0"/>
    <x v="1"/>
    <x v="0"/>
    <n v="56.6"/>
  </r>
  <r>
    <x v="9"/>
    <x v="27"/>
    <x v="9"/>
    <x v="27"/>
    <x v="1"/>
    <x v="743"/>
    <n v="65.599999999999994"/>
    <n v="95.6"/>
    <n v="93.72"/>
    <n v="81.83"/>
    <s v="IP68"/>
    <n v="7.5"/>
    <n v="1.7"/>
    <x v="1"/>
    <x v="5"/>
    <x v="0"/>
    <n v="61.2"/>
  </r>
  <r>
    <x v="9"/>
    <x v="7"/>
    <x v="4"/>
    <x v="7"/>
    <x v="1"/>
    <x v="744"/>
    <n v="521.6"/>
    <n v="97.5"/>
    <n v="99.16"/>
    <n v="83.46"/>
    <s v="5ATM"/>
    <n v="7.9"/>
    <n v="2.8"/>
    <x v="3"/>
    <x v="4"/>
    <x v="0"/>
    <n v="64.7"/>
  </r>
  <r>
    <x v="9"/>
    <x v="6"/>
    <x v="5"/>
    <x v="6"/>
    <x v="2"/>
    <x v="745"/>
    <n v="216.8"/>
    <n v="93.12"/>
    <n v="94.05"/>
    <n v="72.69"/>
    <s v="IP68"/>
    <n v="7.5"/>
    <n v="2.1"/>
    <x v="2"/>
    <x v="1"/>
    <x v="0"/>
    <n v="61.1"/>
  </r>
  <r>
    <x v="9"/>
    <x v="6"/>
    <x v="5"/>
    <x v="6"/>
    <x v="1"/>
    <x v="746"/>
    <n v="40"/>
    <n v="95.51"/>
    <n v="93.55"/>
    <n v="77.599999999999994"/>
    <s v="IPX8"/>
    <n v="8.5"/>
    <n v="1.9"/>
    <x v="1"/>
    <x v="10"/>
    <x v="0"/>
    <n v="61.5"/>
  </r>
  <r>
    <x v="9"/>
    <x v="25"/>
    <x v="5"/>
    <x v="25"/>
    <x v="2"/>
    <x v="747"/>
    <n v="104.8"/>
    <n v="95.45"/>
    <n v="96.64"/>
    <n v="73.290000000000006"/>
    <s v="IPX8"/>
    <n v="7.3"/>
    <n v="2.6"/>
    <x v="0"/>
    <x v="10"/>
    <x v="2"/>
    <n v="60.1"/>
  </r>
  <r>
    <x v="9"/>
    <x v="27"/>
    <x v="9"/>
    <x v="27"/>
    <x v="2"/>
    <x v="748"/>
    <n v="231.8"/>
    <n v="94.53"/>
    <n v="96.34"/>
    <n v="74.7"/>
    <s v="IP68"/>
    <n v="7.1"/>
    <n v="5"/>
    <x v="2"/>
    <x v="10"/>
    <x v="2"/>
    <n v="59.4"/>
  </r>
  <r>
    <x v="9"/>
    <x v="4"/>
    <x v="3"/>
    <x v="4"/>
    <x v="1"/>
    <x v="749"/>
    <n v="54.8"/>
    <n v="92.18"/>
    <n v="98.33"/>
    <n v="79.77"/>
    <s v="5ATM"/>
    <n v="8.1999999999999993"/>
    <n v="4"/>
    <x v="1"/>
    <x v="3"/>
    <x v="2"/>
    <n v="60.5"/>
  </r>
  <r>
    <x v="9"/>
    <x v="9"/>
    <x v="6"/>
    <x v="9"/>
    <x v="3"/>
    <x v="9"/>
    <n v="145.4"/>
    <n v="85.45"/>
    <n v="94.07"/>
    <n v="71.55"/>
    <s v="IPX4"/>
    <n v="6.3"/>
    <m/>
    <x v="2"/>
    <x v="0"/>
    <x v="0"/>
    <n v="66.3"/>
  </r>
  <r>
    <x v="9"/>
    <x v="6"/>
    <x v="5"/>
    <x v="6"/>
    <x v="2"/>
    <x v="750"/>
    <n v="188.5"/>
    <n v="97.98"/>
    <n v="93.67"/>
    <n v="71.59"/>
    <s v="IP68"/>
    <n v="7.2"/>
    <n v="3.7"/>
    <x v="2"/>
    <x v="10"/>
    <x v="2"/>
    <n v="60.1"/>
  </r>
  <r>
    <x v="9"/>
    <x v="16"/>
    <x v="4"/>
    <x v="16"/>
    <x v="1"/>
    <x v="751"/>
    <n v="536.6"/>
    <n v="92.3"/>
    <n v="98.17"/>
    <n v="75.39"/>
    <s v="IP68"/>
    <n v="7.8"/>
    <n v="3"/>
    <x v="1"/>
    <x v="5"/>
    <x v="0"/>
    <n v="62"/>
  </r>
  <r>
    <x v="9"/>
    <x v="15"/>
    <x v="8"/>
    <x v="15"/>
    <x v="1"/>
    <x v="752"/>
    <n v="58.7"/>
    <n v="93.56"/>
    <n v="96.24"/>
    <n v="82.31"/>
    <s v="IPX8"/>
    <n v="8.4"/>
    <n v="3"/>
    <x v="3"/>
    <x v="9"/>
    <x v="2"/>
    <n v="61.8"/>
  </r>
  <r>
    <x v="9"/>
    <x v="5"/>
    <x v="4"/>
    <x v="5"/>
    <x v="2"/>
    <x v="753"/>
    <n v="601.4"/>
    <n v="95.45"/>
    <n v="98.14"/>
    <n v="74.319999999999993"/>
    <s v="IPX8"/>
    <n v="8.1999999999999993"/>
    <n v="2.7"/>
    <x v="2"/>
    <x v="10"/>
    <x v="0"/>
    <n v="63.2"/>
  </r>
  <r>
    <x v="9"/>
    <x v="12"/>
    <x v="8"/>
    <x v="12"/>
    <x v="1"/>
    <x v="754"/>
    <n v="67.3"/>
    <n v="94.14"/>
    <n v="94.16"/>
    <n v="80.3"/>
    <s v="5ATM"/>
    <n v="7.8"/>
    <n v="4.2"/>
    <x v="1"/>
    <x v="6"/>
    <x v="2"/>
    <n v="59.6"/>
  </r>
  <r>
    <x v="9"/>
    <x v="9"/>
    <x v="6"/>
    <x v="9"/>
    <x v="3"/>
    <x v="9"/>
    <n v="128.5"/>
    <n v="89.86"/>
    <n v="96.12"/>
    <n v="77.77"/>
    <s v="IPX7"/>
    <n v="6"/>
    <m/>
    <x v="2"/>
    <x v="13"/>
    <x v="2"/>
    <n v="67.8"/>
  </r>
  <r>
    <x v="9"/>
    <x v="17"/>
    <x v="3"/>
    <x v="17"/>
    <x v="1"/>
    <x v="755"/>
    <n v="20.3"/>
    <n v="95.71"/>
    <n v="96.08"/>
    <n v="76.36"/>
    <s v="IPX8"/>
    <n v="9"/>
    <n v="4.7"/>
    <x v="3"/>
    <x v="5"/>
    <x v="2"/>
    <n v="60.3"/>
  </r>
  <r>
    <x v="9"/>
    <x v="9"/>
    <x v="6"/>
    <x v="9"/>
    <x v="3"/>
    <x v="9"/>
    <n v="120"/>
    <n v="91.43"/>
    <n v="96.57"/>
    <n v="78.28"/>
    <s v="IPX4"/>
    <n v="7.9"/>
    <m/>
    <x v="2"/>
    <x v="11"/>
    <x v="0"/>
    <n v="71.900000000000006"/>
  </r>
  <r>
    <x v="9"/>
    <x v="24"/>
    <x v="2"/>
    <x v="24"/>
    <x v="1"/>
    <x v="756"/>
    <n v="46.2"/>
    <n v="96.34"/>
    <n v="96.36"/>
    <n v="78.2"/>
    <s v="IP68"/>
    <n v="7.8"/>
    <n v="2.9"/>
    <x v="3"/>
    <x v="3"/>
    <x v="0"/>
    <n v="60.5"/>
  </r>
  <r>
    <x v="9"/>
    <x v="5"/>
    <x v="4"/>
    <x v="5"/>
    <x v="2"/>
    <x v="757"/>
    <n v="267.10000000000002"/>
    <n v="96.1"/>
    <n v="98.04"/>
    <n v="76.430000000000007"/>
    <s v="IP68"/>
    <n v="7.3"/>
    <n v="1.6"/>
    <x v="2"/>
    <x v="12"/>
    <x v="0"/>
    <n v="62.9"/>
  </r>
  <r>
    <x v="9"/>
    <x v="25"/>
    <x v="5"/>
    <x v="25"/>
    <x v="1"/>
    <x v="758"/>
    <n v="19"/>
    <n v="93.95"/>
    <n v="93.25"/>
    <n v="77.88"/>
    <s v="IP68"/>
    <n v="7.9"/>
    <n v="3.1"/>
    <x v="1"/>
    <x v="9"/>
    <x v="0"/>
    <n v="59"/>
  </r>
  <r>
    <x v="9"/>
    <x v="0"/>
    <x v="0"/>
    <x v="0"/>
    <x v="0"/>
    <x v="759"/>
    <n v="194.3"/>
    <n v="88.58"/>
    <n v="96.01"/>
    <n v="78.430000000000007"/>
    <s v="IPX7"/>
    <n v="7.8"/>
    <m/>
    <x v="2"/>
    <x v="1"/>
    <x v="0"/>
    <n v="72.2"/>
  </r>
  <r>
    <x v="9"/>
    <x v="24"/>
    <x v="2"/>
    <x v="24"/>
    <x v="2"/>
    <x v="760"/>
    <n v="185.5"/>
    <n v="96.2"/>
    <n v="95.16"/>
    <n v="71.09"/>
    <s v="5ATM"/>
    <n v="8.1"/>
    <n v="4.9000000000000004"/>
    <x v="2"/>
    <x v="6"/>
    <x v="0"/>
    <n v="60.6"/>
  </r>
  <r>
    <x v="9"/>
    <x v="10"/>
    <x v="7"/>
    <x v="10"/>
    <x v="4"/>
    <x v="761"/>
    <n v="174.3"/>
    <n v="89.24"/>
    <n v="93.51"/>
    <n v="89.85"/>
    <s v="IPX8"/>
    <n v="9.3000000000000007"/>
    <m/>
    <x v="2"/>
    <x v="11"/>
    <x v="2"/>
    <n v="77.099999999999994"/>
  </r>
  <r>
    <x v="9"/>
    <x v="23"/>
    <x v="8"/>
    <x v="23"/>
    <x v="1"/>
    <x v="762"/>
    <n v="38.799999999999997"/>
    <n v="93.46"/>
    <n v="95.09"/>
    <n v="79.08"/>
    <s v="IP68"/>
    <n v="8.6999999999999993"/>
    <n v="3.4"/>
    <x v="1"/>
    <x v="9"/>
    <x v="0"/>
    <n v="60.9"/>
  </r>
  <r>
    <x v="9"/>
    <x v="6"/>
    <x v="5"/>
    <x v="6"/>
    <x v="2"/>
    <x v="763"/>
    <n v="209.5"/>
    <n v="92.37"/>
    <n v="93.44"/>
    <n v="77.84"/>
    <s v="5ATM"/>
    <n v="8.1"/>
    <n v="4.0999999999999996"/>
    <x v="2"/>
    <x v="10"/>
    <x v="2"/>
    <n v="61.4"/>
  </r>
  <r>
    <x v="9"/>
    <x v="8"/>
    <x v="3"/>
    <x v="8"/>
    <x v="1"/>
    <x v="764"/>
    <n v="31"/>
    <n v="97.01"/>
    <n v="96.97"/>
    <n v="83.97"/>
    <s v="IPX8"/>
    <n v="7.6"/>
    <n v="4.0999999999999996"/>
    <x v="3"/>
    <x v="6"/>
    <x v="2"/>
    <n v="60.2"/>
  </r>
  <r>
    <x v="9"/>
    <x v="27"/>
    <x v="9"/>
    <x v="27"/>
    <x v="1"/>
    <x v="765"/>
    <n v="45.4"/>
    <n v="92.07"/>
    <n v="93.41"/>
    <n v="82.44"/>
    <s v="IP68"/>
    <n v="6.5"/>
    <n v="1.6"/>
    <x v="1"/>
    <x v="9"/>
    <x v="2"/>
    <n v="58.7"/>
  </r>
  <r>
    <x v="9"/>
    <x v="9"/>
    <x v="6"/>
    <x v="9"/>
    <x v="3"/>
    <x v="9"/>
    <n v="136.30000000000001"/>
    <n v="87.75"/>
    <n v="96.25"/>
    <n v="75.569999999999993"/>
    <s v="IPX4"/>
    <n v="7.9"/>
    <m/>
    <x v="2"/>
    <x v="11"/>
    <x v="0"/>
    <n v="71"/>
  </r>
  <r>
    <x v="9"/>
    <x v="3"/>
    <x v="2"/>
    <x v="3"/>
    <x v="2"/>
    <x v="766"/>
    <n v="239.2"/>
    <n v="94.94"/>
    <n v="95"/>
    <n v="78.5"/>
    <s v="5ATM"/>
    <n v="7.6"/>
    <n v="4.5999999999999996"/>
    <x v="0"/>
    <x v="10"/>
    <x v="0"/>
    <n v="61"/>
  </r>
  <r>
    <x v="9"/>
    <x v="22"/>
    <x v="8"/>
    <x v="22"/>
    <x v="1"/>
    <x v="767"/>
    <n v="41.3"/>
    <n v="94.82"/>
    <n v="94.97"/>
    <n v="78.36"/>
    <s v="IPX8"/>
    <n v="9.1999999999999993"/>
    <n v="2.1"/>
    <x v="1"/>
    <x v="1"/>
    <x v="0"/>
    <n v="62.8"/>
  </r>
  <r>
    <x v="9"/>
    <x v="26"/>
    <x v="9"/>
    <x v="26"/>
    <x v="1"/>
    <x v="768"/>
    <n v="50.1"/>
    <n v="92.4"/>
    <n v="95.55"/>
    <n v="83.83"/>
    <s v="IPX8"/>
    <n v="7.9"/>
    <n v="4.7"/>
    <x v="1"/>
    <x v="4"/>
    <x v="0"/>
    <n v="59.7"/>
  </r>
  <r>
    <x v="9"/>
    <x v="1"/>
    <x v="1"/>
    <x v="1"/>
    <x v="1"/>
    <x v="769"/>
    <n v="20.7"/>
    <n v="93.83"/>
    <n v="97.87"/>
    <n v="82.9"/>
    <s v="IPX8"/>
    <n v="8.1"/>
    <n v="1.6"/>
    <x v="3"/>
    <x v="3"/>
    <x v="1"/>
    <n v="61.9"/>
  </r>
  <r>
    <x v="9"/>
    <x v="10"/>
    <x v="7"/>
    <x v="10"/>
    <x v="4"/>
    <x v="770"/>
    <n v="177.7"/>
    <n v="90.53"/>
    <n v="94.48"/>
    <n v="88.25"/>
    <s v="IPX7"/>
    <n v="9.3000000000000007"/>
    <m/>
    <x v="2"/>
    <x v="8"/>
    <x v="0"/>
    <n v="77.3"/>
  </r>
  <r>
    <x v="9"/>
    <x v="5"/>
    <x v="4"/>
    <x v="5"/>
    <x v="2"/>
    <x v="771"/>
    <n v="543.79999999999995"/>
    <n v="94.01"/>
    <n v="99.23"/>
    <n v="77.510000000000005"/>
    <s v="IP68"/>
    <n v="8.5"/>
    <n v="4.3"/>
    <x v="2"/>
    <x v="0"/>
    <x v="0"/>
    <n v="63.1"/>
  </r>
  <r>
    <x v="9"/>
    <x v="19"/>
    <x v="9"/>
    <x v="19"/>
    <x v="0"/>
    <x v="772"/>
    <n v="139.5"/>
    <n v="91.27"/>
    <n v="94.39"/>
    <n v="72.92"/>
    <s v="3ATM"/>
    <n v="7.5"/>
    <m/>
    <x v="2"/>
    <x v="6"/>
    <x v="0"/>
    <n v="70"/>
  </r>
  <r>
    <x v="9"/>
    <x v="0"/>
    <x v="0"/>
    <x v="0"/>
    <x v="0"/>
    <x v="773"/>
    <n v="91.2"/>
    <n v="88.38"/>
    <n v="95.4"/>
    <n v="71.56"/>
    <s v="3ATM"/>
    <n v="7.4"/>
    <m/>
    <x v="2"/>
    <x v="0"/>
    <x v="0"/>
    <n v="68"/>
  </r>
  <r>
    <x v="9"/>
    <x v="5"/>
    <x v="4"/>
    <x v="5"/>
    <x v="1"/>
    <x v="774"/>
    <n v="345"/>
    <n v="96.82"/>
    <n v="99.04"/>
    <n v="79.650000000000006"/>
    <s v="IP68"/>
    <n v="8.4"/>
    <n v="4.5"/>
    <x v="1"/>
    <x v="7"/>
    <x v="0"/>
    <n v="63.6"/>
  </r>
  <r>
    <x v="9"/>
    <x v="9"/>
    <x v="6"/>
    <x v="9"/>
    <x v="3"/>
    <x v="9"/>
    <n v="147"/>
    <n v="87.26"/>
    <n v="95.7"/>
    <n v="74.11"/>
    <s v="IPX7"/>
    <n v="6.9"/>
    <m/>
    <x v="2"/>
    <x v="11"/>
    <x v="2"/>
    <n v="68.7"/>
  </r>
  <r>
    <x v="9"/>
    <x v="25"/>
    <x v="5"/>
    <x v="25"/>
    <x v="2"/>
    <x v="775"/>
    <n v="130.69999999999999"/>
    <n v="96.84"/>
    <n v="93.85"/>
    <n v="76.41"/>
    <s v="IP68"/>
    <n v="7.4"/>
    <n v="4.3"/>
    <x v="2"/>
    <x v="6"/>
    <x v="0"/>
    <n v="59.9"/>
  </r>
  <r>
    <x v="9"/>
    <x v="25"/>
    <x v="5"/>
    <x v="25"/>
    <x v="2"/>
    <x v="776"/>
    <n v="227.7"/>
    <n v="92.35"/>
    <n v="95.44"/>
    <n v="76.489999999999995"/>
    <s v="IPX8"/>
    <n v="8"/>
    <n v="4.7"/>
    <x v="2"/>
    <x v="1"/>
    <x v="0"/>
    <n v="60.9"/>
  </r>
  <r>
    <x v="9"/>
    <x v="10"/>
    <x v="7"/>
    <x v="10"/>
    <x v="4"/>
    <x v="777"/>
    <n v="183.8"/>
    <n v="85.37"/>
    <n v="95.42"/>
    <n v="90.22"/>
    <s v="IPX7"/>
    <n v="8.1999999999999993"/>
    <m/>
    <x v="2"/>
    <x v="12"/>
    <x v="0"/>
    <n v="74.599999999999994"/>
  </r>
  <r>
    <x v="9"/>
    <x v="1"/>
    <x v="1"/>
    <x v="1"/>
    <x v="1"/>
    <x v="778"/>
    <n v="46.3"/>
    <n v="95.02"/>
    <n v="96.62"/>
    <n v="78.760000000000005"/>
    <s v="IP68"/>
    <n v="9.1999999999999993"/>
    <n v="1.5"/>
    <x v="1"/>
    <x v="10"/>
    <x v="1"/>
    <n v="63.7"/>
  </r>
  <r>
    <x v="9"/>
    <x v="11"/>
    <x v="1"/>
    <x v="11"/>
    <x v="1"/>
    <x v="779"/>
    <n v="56.2"/>
    <n v="93.55"/>
    <n v="97.29"/>
    <n v="81.150000000000006"/>
    <s v="IPX8"/>
    <n v="8.6999999999999993"/>
    <n v="3.1"/>
    <x v="1"/>
    <x v="7"/>
    <x v="1"/>
    <n v="62.2"/>
  </r>
  <r>
    <x v="9"/>
    <x v="23"/>
    <x v="8"/>
    <x v="23"/>
    <x v="1"/>
    <x v="780"/>
    <n v="70.400000000000006"/>
    <n v="94.72"/>
    <n v="93.53"/>
    <n v="79.13"/>
    <s v="IP68"/>
    <n v="9.3000000000000007"/>
    <n v="3.3"/>
    <x v="3"/>
    <x v="9"/>
    <x v="2"/>
    <n v="62.6"/>
  </r>
  <r>
    <x v="9"/>
    <x v="0"/>
    <x v="0"/>
    <x v="0"/>
    <x v="0"/>
    <x v="781"/>
    <n v="78.2"/>
    <n v="91.45"/>
    <n v="95.82"/>
    <n v="76.06"/>
    <s v="IPX4"/>
    <n v="7.3"/>
    <m/>
    <x v="0"/>
    <x v="1"/>
    <x v="0"/>
    <n v="69.099999999999994"/>
  </r>
  <r>
    <x v="9"/>
    <x v="27"/>
    <x v="9"/>
    <x v="27"/>
    <x v="2"/>
    <x v="782"/>
    <n v="124.8"/>
    <n v="94.34"/>
    <n v="94.42"/>
    <n v="71.3"/>
    <s v="IP68"/>
    <n v="6.2"/>
    <n v="2.9"/>
    <x v="0"/>
    <x v="0"/>
    <x v="2"/>
    <n v="57.6"/>
  </r>
  <r>
    <x v="9"/>
    <x v="20"/>
    <x v="0"/>
    <x v="20"/>
    <x v="1"/>
    <x v="783"/>
    <n v="45.1"/>
    <n v="97.95"/>
    <n v="95.43"/>
    <n v="80.23"/>
    <s v="IPX8"/>
    <n v="7.7"/>
    <n v="2"/>
    <x v="1"/>
    <x v="4"/>
    <x v="0"/>
    <n v="61.3"/>
  </r>
  <r>
    <x v="9"/>
    <x v="20"/>
    <x v="0"/>
    <x v="20"/>
    <x v="2"/>
    <x v="784"/>
    <n v="144"/>
    <n v="92.17"/>
    <n v="95.77"/>
    <n v="71.209999999999994"/>
    <s v="IP68"/>
    <n v="6.5"/>
    <n v="2.5"/>
    <x v="2"/>
    <x v="12"/>
    <x v="0"/>
    <n v="58.5"/>
  </r>
  <r>
    <x v="9"/>
    <x v="9"/>
    <x v="6"/>
    <x v="9"/>
    <x v="3"/>
    <x v="9"/>
    <n v="167.8"/>
    <n v="85.94"/>
    <n v="93.96"/>
    <n v="70.38"/>
    <s v="3ATM"/>
    <n v="7.3"/>
    <m/>
    <x v="2"/>
    <x v="8"/>
    <x v="2"/>
    <n v="68.7"/>
  </r>
  <r>
    <x v="9"/>
    <x v="19"/>
    <x v="9"/>
    <x v="19"/>
    <x v="0"/>
    <x v="785"/>
    <n v="161.9"/>
    <n v="93.73"/>
    <n v="93.44"/>
    <n v="71.8"/>
    <s v="IPX4"/>
    <n v="7.8"/>
    <m/>
    <x v="0"/>
    <x v="1"/>
    <x v="2"/>
    <n v="71.2"/>
  </r>
  <r>
    <x v="9"/>
    <x v="18"/>
    <x v="4"/>
    <x v="18"/>
    <x v="1"/>
    <x v="786"/>
    <n v="597.9"/>
    <n v="93.13"/>
    <n v="99.04"/>
    <n v="82.74"/>
    <s v="IP68"/>
    <n v="6.8"/>
    <n v="2.7"/>
    <x v="3"/>
    <x v="1"/>
    <x v="0"/>
    <n v="62"/>
  </r>
  <r>
    <x v="9"/>
    <x v="10"/>
    <x v="7"/>
    <x v="10"/>
    <x v="4"/>
    <x v="787"/>
    <n v="175"/>
    <n v="91.79"/>
    <n v="95.07"/>
    <n v="89.6"/>
    <s v="IPX7"/>
    <n v="8.1"/>
    <m/>
    <x v="2"/>
    <x v="8"/>
    <x v="0"/>
    <n v="75.5"/>
  </r>
  <r>
    <x v="9"/>
    <x v="5"/>
    <x v="4"/>
    <x v="5"/>
    <x v="2"/>
    <x v="788"/>
    <n v="322.5"/>
    <n v="97.8"/>
    <n v="98.57"/>
    <n v="75.42"/>
    <s v="5ATM"/>
    <n v="9.4"/>
    <n v="1.8"/>
    <x v="0"/>
    <x v="2"/>
    <x v="0"/>
    <n v="66.400000000000006"/>
  </r>
  <r>
    <x v="9"/>
    <x v="17"/>
    <x v="3"/>
    <x v="17"/>
    <x v="1"/>
    <x v="789"/>
    <n v="50.9"/>
    <n v="93.44"/>
    <n v="96.4"/>
    <n v="80.510000000000005"/>
    <s v="IP68"/>
    <n v="8.6"/>
    <n v="2.2999999999999998"/>
    <x v="3"/>
    <x v="6"/>
    <x v="2"/>
    <n v="62.2"/>
  </r>
  <r>
    <x v="9"/>
    <x v="24"/>
    <x v="2"/>
    <x v="24"/>
    <x v="1"/>
    <x v="790"/>
    <n v="24.2"/>
    <n v="93.3"/>
    <n v="94.31"/>
    <n v="77.2"/>
    <s v="IP68"/>
    <n v="9"/>
    <n v="1.9"/>
    <x v="1"/>
    <x v="5"/>
    <x v="0"/>
    <n v="61.7"/>
  </r>
  <r>
    <x v="9"/>
    <x v="9"/>
    <x v="6"/>
    <x v="9"/>
    <x v="3"/>
    <x v="9"/>
    <n v="148"/>
    <n v="90.37"/>
    <n v="94.25"/>
    <n v="77.94"/>
    <s v="3ATM"/>
    <n v="7"/>
    <m/>
    <x v="2"/>
    <x v="0"/>
    <x v="0"/>
    <n v="70"/>
  </r>
  <r>
    <x v="9"/>
    <x v="7"/>
    <x v="4"/>
    <x v="7"/>
    <x v="2"/>
    <x v="791"/>
    <n v="305.39999999999998"/>
    <n v="94.52"/>
    <n v="98.58"/>
    <n v="79.34"/>
    <s v="5ATM"/>
    <n v="7"/>
    <n v="1.7"/>
    <x v="0"/>
    <x v="6"/>
    <x v="0"/>
    <n v="62.6"/>
  </r>
  <r>
    <x v="9"/>
    <x v="8"/>
    <x v="3"/>
    <x v="8"/>
    <x v="1"/>
    <x v="792"/>
    <n v="52.1"/>
    <n v="96.09"/>
    <n v="97.92"/>
    <n v="79.400000000000006"/>
    <s v="5ATM"/>
    <n v="7.5"/>
    <n v="3.8"/>
    <x v="3"/>
    <x v="5"/>
    <x v="2"/>
    <n v="59.9"/>
  </r>
  <r>
    <x v="9"/>
    <x v="8"/>
    <x v="3"/>
    <x v="8"/>
    <x v="1"/>
    <x v="793"/>
    <n v="32.799999999999997"/>
    <n v="96.52"/>
    <n v="97"/>
    <n v="80.56"/>
    <s v="IPX8"/>
    <n v="8.6999999999999993"/>
    <n v="1.7"/>
    <x v="1"/>
    <x v="7"/>
    <x v="2"/>
    <n v="63"/>
  </r>
  <r>
    <x v="9"/>
    <x v="15"/>
    <x v="8"/>
    <x v="15"/>
    <x v="1"/>
    <x v="794"/>
    <n v="42.5"/>
    <n v="93.62"/>
    <n v="93.92"/>
    <n v="78.66"/>
    <s v="5ATM"/>
    <n v="7.5"/>
    <n v="2"/>
    <x v="1"/>
    <x v="3"/>
    <x v="2"/>
    <n v="59.7"/>
  </r>
  <r>
    <x v="9"/>
    <x v="1"/>
    <x v="1"/>
    <x v="1"/>
    <x v="1"/>
    <x v="795"/>
    <n v="36.5"/>
    <n v="94.25"/>
    <n v="96.76"/>
    <n v="81.19"/>
    <s v="IPX8"/>
    <n v="9"/>
    <n v="3.6"/>
    <x v="3"/>
    <x v="1"/>
    <x v="1"/>
    <n v="62"/>
  </r>
  <r>
    <x v="9"/>
    <x v="11"/>
    <x v="1"/>
    <x v="11"/>
    <x v="1"/>
    <x v="796"/>
    <n v="28.4"/>
    <n v="95.08"/>
    <n v="98.37"/>
    <n v="76.67"/>
    <s v="IP68"/>
    <n v="8.8000000000000007"/>
    <n v="3.7"/>
    <x v="1"/>
    <x v="5"/>
    <x v="1"/>
    <n v="61.1"/>
  </r>
  <r>
    <x v="9"/>
    <x v="9"/>
    <x v="6"/>
    <x v="9"/>
    <x v="3"/>
    <x v="9"/>
    <n v="133.9"/>
    <n v="91.78"/>
    <n v="93.88"/>
    <n v="70.78"/>
    <s v="IPX4"/>
    <n v="6.4"/>
    <m/>
    <x v="2"/>
    <x v="13"/>
    <x v="2"/>
    <n v="67.3"/>
  </r>
  <r>
    <x v="9"/>
    <x v="6"/>
    <x v="5"/>
    <x v="6"/>
    <x v="2"/>
    <x v="797"/>
    <n v="173.4"/>
    <n v="93.47"/>
    <n v="95.43"/>
    <n v="78.34"/>
    <s v="IPX8"/>
    <n v="7.4"/>
    <n v="3.1"/>
    <x v="2"/>
    <x v="2"/>
    <x v="0"/>
    <n v="61.5"/>
  </r>
  <r>
    <x v="9"/>
    <x v="2"/>
    <x v="0"/>
    <x v="2"/>
    <x v="2"/>
    <x v="798"/>
    <n v="214.2"/>
    <n v="96.25"/>
    <n v="94.56"/>
    <n v="77.27"/>
    <s v="IPX8"/>
    <n v="8.1"/>
    <n v="3.5"/>
    <x v="2"/>
    <x v="10"/>
    <x v="0"/>
    <n v="62.5"/>
  </r>
  <r>
    <x v="9"/>
    <x v="8"/>
    <x v="3"/>
    <x v="8"/>
    <x v="1"/>
    <x v="799"/>
    <n v="30"/>
    <n v="97.71"/>
    <n v="97.96"/>
    <n v="76.239999999999995"/>
    <s v="IP68"/>
    <n v="9.1"/>
    <n v="2.6"/>
    <x v="3"/>
    <x v="7"/>
    <x v="2"/>
    <n v="62.7"/>
  </r>
  <r>
    <x v="9"/>
    <x v="10"/>
    <x v="7"/>
    <x v="10"/>
    <x v="4"/>
    <x v="800"/>
    <n v="190.9"/>
    <n v="85.94"/>
    <n v="95"/>
    <n v="88.71"/>
    <s v="IPX7"/>
    <n v="8.8000000000000007"/>
    <m/>
    <x v="2"/>
    <x v="12"/>
    <x v="0"/>
    <n v="75.5"/>
  </r>
  <r>
    <x v="9"/>
    <x v="23"/>
    <x v="8"/>
    <x v="23"/>
    <x v="1"/>
    <x v="801"/>
    <n v="63.7"/>
    <n v="92.35"/>
    <n v="93.34"/>
    <n v="79.34"/>
    <s v="IPX8"/>
    <n v="8.9"/>
    <n v="1.7"/>
    <x v="3"/>
    <x v="10"/>
    <x v="2"/>
    <n v="62.5"/>
  </r>
  <r>
    <x v="9"/>
    <x v="4"/>
    <x v="3"/>
    <x v="4"/>
    <x v="1"/>
    <x v="802"/>
    <n v="61.1"/>
    <n v="96.89"/>
    <n v="96.67"/>
    <n v="77.099999999999994"/>
    <s v="IP68"/>
    <n v="8.6"/>
    <n v="2.6"/>
    <x v="3"/>
    <x v="7"/>
    <x v="2"/>
    <n v="62.3"/>
  </r>
  <r>
    <x v="9"/>
    <x v="9"/>
    <x v="6"/>
    <x v="9"/>
    <x v="3"/>
    <x v="9"/>
    <n v="141"/>
    <n v="86"/>
    <n v="95.39"/>
    <n v="70.41"/>
    <s v="3ATM"/>
    <n v="7.5"/>
    <m/>
    <x v="2"/>
    <x v="8"/>
    <x v="2"/>
    <n v="68.7"/>
  </r>
  <r>
    <x v="9"/>
    <x v="19"/>
    <x v="9"/>
    <x v="19"/>
    <x v="0"/>
    <x v="803"/>
    <n v="211.2"/>
    <n v="93.47"/>
    <n v="93.89"/>
    <n v="73.540000000000006"/>
    <s v="IPX4"/>
    <n v="7.3"/>
    <m/>
    <x v="2"/>
    <x v="6"/>
    <x v="0"/>
    <n v="70.8"/>
  </r>
  <r>
    <x v="9"/>
    <x v="2"/>
    <x v="0"/>
    <x v="2"/>
    <x v="1"/>
    <x v="804"/>
    <n v="70.099999999999994"/>
    <n v="93.77"/>
    <n v="93.71"/>
    <n v="81.83"/>
    <s v="5ATM"/>
    <n v="8.4"/>
    <n v="4.0999999999999996"/>
    <x v="1"/>
    <x v="1"/>
    <x v="0"/>
    <n v="60.9"/>
  </r>
  <r>
    <x v="9"/>
    <x v="24"/>
    <x v="2"/>
    <x v="24"/>
    <x v="2"/>
    <x v="805"/>
    <n v="110.4"/>
    <n v="94.03"/>
    <n v="94.81"/>
    <n v="74.16"/>
    <s v="5ATM"/>
    <n v="7.5"/>
    <n v="2.6"/>
    <x v="2"/>
    <x v="12"/>
    <x v="0"/>
    <n v="60.1"/>
  </r>
  <r>
    <x v="9"/>
    <x v="10"/>
    <x v="7"/>
    <x v="10"/>
    <x v="4"/>
    <x v="806"/>
    <n v="174.1"/>
    <n v="88.32"/>
    <n v="96.19"/>
    <n v="90.27"/>
    <s v="IPX7"/>
    <n v="7.6"/>
    <m/>
    <x v="2"/>
    <x v="0"/>
    <x v="0"/>
    <n v="74.2"/>
  </r>
  <r>
    <x v="9"/>
    <x v="23"/>
    <x v="8"/>
    <x v="23"/>
    <x v="1"/>
    <x v="807"/>
    <n v="18.3"/>
    <n v="96.63"/>
    <n v="96.07"/>
    <n v="84.29"/>
    <s v="IPX8"/>
    <n v="7.8"/>
    <n v="2.2000000000000002"/>
    <x v="1"/>
    <x v="1"/>
    <x v="2"/>
    <n v="61.4"/>
  </r>
  <r>
    <x v="9"/>
    <x v="28"/>
    <x v="4"/>
    <x v="28"/>
    <x v="2"/>
    <x v="808"/>
    <n v="1696.6"/>
    <n v="92.64"/>
    <n v="98.02"/>
    <n v="71.47"/>
    <s v="10ATM"/>
    <n v="9.4"/>
    <n v="4.8"/>
    <x v="2"/>
    <x v="1"/>
    <x v="0"/>
    <n v="62.8"/>
  </r>
  <r>
    <x v="9"/>
    <x v="4"/>
    <x v="3"/>
    <x v="4"/>
    <x v="1"/>
    <x v="809"/>
    <n v="25"/>
    <n v="93.78"/>
    <n v="96.45"/>
    <n v="81.11"/>
    <s v="IP68"/>
    <n v="9.4"/>
    <n v="4.3"/>
    <x v="1"/>
    <x v="5"/>
    <x v="2"/>
    <n v="61.9"/>
  </r>
  <r>
    <x v="9"/>
    <x v="24"/>
    <x v="2"/>
    <x v="24"/>
    <x v="1"/>
    <x v="810"/>
    <n v="18.100000000000001"/>
    <n v="94.12"/>
    <n v="95.28"/>
    <n v="76.87"/>
    <s v="IP68"/>
    <n v="7.1"/>
    <n v="4.9000000000000004"/>
    <x v="1"/>
    <x v="1"/>
    <x v="0"/>
    <n v="56.6"/>
  </r>
  <r>
    <x v="9"/>
    <x v="11"/>
    <x v="1"/>
    <x v="11"/>
    <x v="1"/>
    <x v="811"/>
    <n v="53.6"/>
    <n v="95.85"/>
    <n v="98.26"/>
    <n v="75.58"/>
    <s v="IP68"/>
    <n v="9.5"/>
    <n v="4.3"/>
    <x v="3"/>
    <x v="3"/>
    <x v="1"/>
    <n v="62.3"/>
  </r>
  <r>
    <x v="9"/>
    <x v="2"/>
    <x v="0"/>
    <x v="2"/>
    <x v="2"/>
    <x v="812"/>
    <n v="107.1"/>
    <n v="93.45"/>
    <n v="95.47"/>
    <n v="77.040000000000006"/>
    <s v="IP68"/>
    <n v="7.5"/>
    <n v="2.6"/>
    <x v="0"/>
    <x v="1"/>
    <x v="0"/>
    <n v="60.6"/>
  </r>
  <r>
    <x v="9"/>
    <x v="28"/>
    <x v="4"/>
    <x v="28"/>
    <x v="2"/>
    <x v="813"/>
    <n v="2113.1999999999998"/>
    <n v="93.33"/>
    <n v="98.85"/>
    <n v="79.37"/>
    <s v="10ATM"/>
    <n v="8.5"/>
    <n v="1.8"/>
    <x v="2"/>
    <x v="2"/>
    <x v="0"/>
    <n v="64.900000000000006"/>
  </r>
  <r>
    <x v="9"/>
    <x v="10"/>
    <x v="7"/>
    <x v="10"/>
    <x v="4"/>
    <x v="814"/>
    <n v="174.9"/>
    <n v="86.35"/>
    <n v="94.38"/>
    <n v="86.62"/>
    <s v="IPX7"/>
    <n v="7.9"/>
    <m/>
    <x v="2"/>
    <x v="0"/>
    <x v="0"/>
    <n v="73.3"/>
  </r>
  <r>
    <x v="9"/>
    <x v="10"/>
    <x v="7"/>
    <x v="10"/>
    <x v="4"/>
    <x v="815"/>
    <n v="189.9"/>
    <n v="89.26"/>
    <n v="93.92"/>
    <n v="87.21"/>
    <s v="IPX7"/>
    <n v="8.6999999999999993"/>
    <m/>
    <x v="2"/>
    <x v="0"/>
    <x v="2"/>
    <n v="75.5"/>
  </r>
  <r>
    <x v="9"/>
    <x v="24"/>
    <x v="2"/>
    <x v="24"/>
    <x v="1"/>
    <x v="816"/>
    <n v="68.099999999999994"/>
    <n v="97.36"/>
    <n v="94.22"/>
    <n v="76.38"/>
    <s v="5ATM"/>
    <n v="8.6999999999999993"/>
    <n v="4.5999999999999996"/>
    <x v="1"/>
    <x v="5"/>
    <x v="0"/>
    <n v="60.8"/>
  </r>
  <r>
    <x v="9"/>
    <x v="24"/>
    <x v="2"/>
    <x v="24"/>
    <x v="1"/>
    <x v="817"/>
    <n v="44.2"/>
    <n v="92.12"/>
    <n v="96.44"/>
    <n v="75.84"/>
    <s v="IP68"/>
    <n v="8.4"/>
    <n v="1.7"/>
    <x v="3"/>
    <x v="9"/>
    <x v="0"/>
    <n v="61.1"/>
  </r>
  <r>
    <x v="9"/>
    <x v="19"/>
    <x v="9"/>
    <x v="19"/>
    <x v="0"/>
    <x v="81"/>
    <n v="144.19999999999999"/>
    <n v="89.78"/>
    <n v="93.12"/>
    <n v="71.2"/>
    <s v="IPX4"/>
    <n v="6.7"/>
    <m/>
    <x v="0"/>
    <x v="12"/>
    <x v="0"/>
    <n v="67.7"/>
  </r>
  <r>
    <x v="9"/>
    <x v="17"/>
    <x v="3"/>
    <x v="17"/>
    <x v="1"/>
    <x v="818"/>
    <n v="51.9"/>
    <n v="94.78"/>
    <n v="97.41"/>
    <n v="80.790000000000006"/>
    <s v="IP68"/>
    <n v="9.4"/>
    <n v="3.5"/>
    <x v="3"/>
    <x v="9"/>
    <x v="2"/>
    <n v="63.2"/>
  </r>
  <r>
    <x v="9"/>
    <x v="0"/>
    <x v="0"/>
    <x v="0"/>
    <x v="0"/>
    <x v="819"/>
    <n v="120.6"/>
    <n v="88.7"/>
    <n v="95.36"/>
    <n v="73.67"/>
    <s v="IPX7"/>
    <n v="6.8"/>
    <m/>
    <x v="2"/>
    <x v="0"/>
    <x v="0"/>
    <n v="68"/>
  </r>
  <r>
    <x v="9"/>
    <x v="10"/>
    <x v="7"/>
    <x v="10"/>
    <x v="4"/>
    <x v="820"/>
    <n v="169.9"/>
    <n v="86.9"/>
    <n v="95.07"/>
    <n v="91.97"/>
    <s v="IPX7"/>
    <n v="8.3000000000000007"/>
    <m/>
    <x v="2"/>
    <x v="11"/>
    <x v="0"/>
    <n v="75.400000000000006"/>
  </r>
  <r>
    <x v="9"/>
    <x v="21"/>
    <x v="1"/>
    <x v="21"/>
    <x v="1"/>
    <x v="821"/>
    <n v="58.5"/>
    <n v="93.55"/>
    <n v="97.64"/>
    <n v="81.72"/>
    <s v="IPX8"/>
    <n v="7.2"/>
    <n v="3"/>
    <x v="3"/>
    <x v="9"/>
    <x v="1"/>
    <n v="60"/>
  </r>
  <r>
    <x v="9"/>
    <x v="25"/>
    <x v="5"/>
    <x v="25"/>
    <x v="2"/>
    <x v="822"/>
    <n v="86.7"/>
    <n v="92.81"/>
    <n v="93.76"/>
    <n v="78.16"/>
    <s v="IP68"/>
    <n v="9.5"/>
    <n v="4.5"/>
    <x v="2"/>
    <x v="10"/>
    <x v="2"/>
    <n v="62"/>
  </r>
  <r>
    <x v="9"/>
    <x v="25"/>
    <x v="5"/>
    <x v="25"/>
    <x v="2"/>
    <x v="823"/>
    <n v="173.6"/>
    <n v="95.71"/>
    <n v="94.16"/>
    <n v="71.400000000000006"/>
    <s v="IP68"/>
    <n v="8.9"/>
    <n v="1.9"/>
    <x v="2"/>
    <x v="10"/>
    <x v="0"/>
    <n v="63.8"/>
  </r>
  <r>
    <x v="9"/>
    <x v="10"/>
    <x v="7"/>
    <x v="10"/>
    <x v="4"/>
    <x v="824"/>
    <n v="185"/>
    <n v="88.03"/>
    <n v="94.04"/>
    <n v="87.19"/>
    <s v="IPX7"/>
    <n v="7.7"/>
    <m/>
    <x v="2"/>
    <x v="0"/>
    <x v="0"/>
    <n v="73.3"/>
  </r>
  <r>
    <x v="10"/>
    <x v="3"/>
    <x v="2"/>
    <x v="3"/>
    <x v="1"/>
    <x v="825"/>
    <n v="37.200000000000003"/>
    <n v="92.59"/>
    <n v="93.61"/>
    <n v="82.13"/>
    <s v="IPX8"/>
    <n v="8.4"/>
    <n v="4.8"/>
    <x v="1"/>
    <x v="6"/>
    <x v="0"/>
    <n v="59.6"/>
  </r>
  <r>
    <x v="10"/>
    <x v="1"/>
    <x v="1"/>
    <x v="1"/>
    <x v="1"/>
    <x v="826"/>
    <n v="59.6"/>
    <n v="97.05"/>
    <n v="97.83"/>
    <n v="84.05"/>
    <s v="IP68"/>
    <n v="7.8"/>
    <n v="3"/>
    <x v="3"/>
    <x v="9"/>
    <x v="1"/>
    <n v="62"/>
  </r>
  <r>
    <x v="10"/>
    <x v="9"/>
    <x v="6"/>
    <x v="9"/>
    <x v="3"/>
    <x v="9"/>
    <n v="152.6"/>
    <n v="87.08"/>
    <n v="93.28"/>
    <n v="77.11"/>
    <s v="IPX4"/>
    <n v="6.5"/>
    <m/>
    <x v="2"/>
    <x v="0"/>
    <x v="2"/>
    <n v="68.099999999999994"/>
  </r>
  <r>
    <x v="10"/>
    <x v="9"/>
    <x v="6"/>
    <x v="9"/>
    <x v="3"/>
    <x v="9"/>
    <n v="155.6"/>
    <n v="85.08"/>
    <n v="94.74"/>
    <n v="77.239999999999995"/>
    <s v="3ATM"/>
    <n v="7.2"/>
    <m/>
    <x v="2"/>
    <x v="0"/>
    <x v="2"/>
    <n v="69.5"/>
  </r>
  <r>
    <x v="10"/>
    <x v="25"/>
    <x v="5"/>
    <x v="25"/>
    <x v="1"/>
    <x v="827"/>
    <n v="64"/>
    <n v="92.96"/>
    <n v="93.39"/>
    <n v="76.06"/>
    <s v="IP68"/>
    <n v="7.7"/>
    <n v="4.2"/>
    <x v="3"/>
    <x v="5"/>
    <x v="2"/>
    <n v="58.4"/>
  </r>
  <r>
    <x v="10"/>
    <x v="8"/>
    <x v="3"/>
    <x v="8"/>
    <x v="1"/>
    <x v="828"/>
    <n v="47.3"/>
    <n v="95.29"/>
    <n v="96.17"/>
    <n v="84.83"/>
    <s v="5ATM"/>
    <n v="8.3000000000000007"/>
    <n v="1.5"/>
    <x v="1"/>
    <x v="3"/>
    <x v="2"/>
    <n v="63.2"/>
  </r>
  <r>
    <x v="10"/>
    <x v="16"/>
    <x v="4"/>
    <x v="16"/>
    <x v="2"/>
    <x v="829"/>
    <n v="292.8"/>
    <n v="97.2"/>
    <n v="98.2"/>
    <n v="73.58"/>
    <s v="5ATM"/>
    <n v="8.9"/>
    <n v="1.6"/>
    <x v="2"/>
    <x v="12"/>
    <x v="0"/>
    <n v="65.3"/>
  </r>
  <r>
    <x v="10"/>
    <x v="9"/>
    <x v="6"/>
    <x v="9"/>
    <x v="3"/>
    <x v="9"/>
    <n v="162.5"/>
    <n v="91.77"/>
    <n v="94.58"/>
    <n v="70.22"/>
    <s v="IPX4"/>
    <n v="6.4"/>
    <m/>
    <x v="2"/>
    <x v="11"/>
    <x v="2"/>
    <n v="68"/>
  </r>
  <r>
    <x v="10"/>
    <x v="8"/>
    <x v="3"/>
    <x v="8"/>
    <x v="1"/>
    <x v="830"/>
    <n v="33.799999999999997"/>
    <n v="95.38"/>
    <n v="97.81"/>
    <n v="76.81"/>
    <s v="IPX8"/>
    <n v="9"/>
    <n v="4.9000000000000004"/>
    <x v="1"/>
    <x v="4"/>
    <x v="2"/>
    <n v="60.7"/>
  </r>
  <r>
    <x v="10"/>
    <x v="6"/>
    <x v="5"/>
    <x v="6"/>
    <x v="2"/>
    <x v="831"/>
    <n v="195.2"/>
    <n v="94.14"/>
    <n v="93.12"/>
    <n v="77.28"/>
    <s v="IPX8"/>
    <n v="9.1999999999999993"/>
    <n v="3"/>
    <x v="2"/>
    <x v="0"/>
    <x v="0"/>
    <n v="64.099999999999994"/>
  </r>
  <r>
    <x v="10"/>
    <x v="10"/>
    <x v="7"/>
    <x v="10"/>
    <x v="4"/>
    <x v="832"/>
    <n v="182.5"/>
    <n v="86.73"/>
    <n v="94.32"/>
    <n v="88.98"/>
    <s v="IPX8"/>
    <n v="8.6999999999999993"/>
    <m/>
    <x v="2"/>
    <x v="8"/>
    <x v="2"/>
    <n v="75.400000000000006"/>
  </r>
  <r>
    <x v="10"/>
    <x v="15"/>
    <x v="8"/>
    <x v="15"/>
    <x v="1"/>
    <x v="833"/>
    <n v="29.7"/>
    <n v="92.53"/>
    <n v="94.55"/>
    <n v="75.319999999999993"/>
    <s v="IPX8"/>
    <n v="7.5"/>
    <n v="4.5"/>
    <x v="1"/>
    <x v="6"/>
    <x v="0"/>
    <n v="57.2"/>
  </r>
  <r>
    <x v="10"/>
    <x v="14"/>
    <x v="9"/>
    <x v="14"/>
    <x v="2"/>
    <x v="834"/>
    <n v="135.5"/>
    <n v="97.56"/>
    <n v="95.59"/>
    <n v="78.709999999999994"/>
    <s v="IPX8"/>
    <n v="6.4"/>
    <n v="4.5999999999999996"/>
    <x v="2"/>
    <x v="0"/>
    <x v="0"/>
    <n v="58.9"/>
  </r>
  <r>
    <x v="10"/>
    <x v="11"/>
    <x v="1"/>
    <x v="11"/>
    <x v="1"/>
    <x v="835"/>
    <n v="58.4"/>
    <n v="95.24"/>
    <n v="96.48"/>
    <n v="78.959999999999994"/>
    <s v="5ATM"/>
    <n v="8"/>
    <n v="3.7"/>
    <x v="1"/>
    <x v="10"/>
    <x v="1"/>
    <n v="60.5"/>
  </r>
  <r>
    <x v="10"/>
    <x v="3"/>
    <x v="2"/>
    <x v="3"/>
    <x v="2"/>
    <x v="836"/>
    <n v="185.2"/>
    <n v="93.31"/>
    <n v="93.25"/>
    <n v="76.650000000000006"/>
    <s v="IP68"/>
    <n v="7.2"/>
    <n v="3.9"/>
    <x v="0"/>
    <x v="1"/>
    <x v="0"/>
    <n v="59.9"/>
  </r>
  <r>
    <x v="10"/>
    <x v="5"/>
    <x v="4"/>
    <x v="5"/>
    <x v="1"/>
    <x v="837"/>
    <n v="476.6"/>
    <n v="97.92"/>
    <n v="99.43"/>
    <n v="81.180000000000007"/>
    <s v="IP68"/>
    <n v="8.9"/>
    <n v="2.9"/>
    <x v="3"/>
    <x v="3"/>
    <x v="0"/>
    <n v="66"/>
  </r>
  <r>
    <x v="10"/>
    <x v="20"/>
    <x v="0"/>
    <x v="20"/>
    <x v="1"/>
    <x v="838"/>
    <n v="28.4"/>
    <n v="94.28"/>
    <n v="93.83"/>
    <n v="75.13"/>
    <s v="5ATM"/>
    <n v="6.9"/>
    <n v="4.5999999999999996"/>
    <x v="3"/>
    <x v="6"/>
    <x v="0"/>
    <n v="56.2"/>
  </r>
  <r>
    <x v="10"/>
    <x v="20"/>
    <x v="0"/>
    <x v="20"/>
    <x v="1"/>
    <x v="839"/>
    <n v="61.3"/>
    <n v="96.15"/>
    <n v="94.69"/>
    <n v="76.209999999999994"/>
    <s v="5ATM"/>
    <n v="6.2"/>
    <n v="3.6"/>
    <x v="3"/>
    <x v="3"/>
    <x v="0"/>
    <n v="57"/>
  </r>
  <r>
    <x v="10"/>
    <x v="25"/>
    <x v="5"/>
    <x v="25"/>
    <x v="2"/>
    <x v="840"/>
    <n v="200.9"/>
    <n v="96.43"/>
    <n v="93.16"/>
    <n v="75.14"/>
    <s v="IP68"/>
    <n v="8.8000000000000007"/>
    <n v="3.9"/>
    <x v="2"/>
    <x v="10"/>
    <x v="2"/>
    <n v="62.9"/>
  </r>
  <r>
    <x v="10"/>
    <x v="23"/>
    <x v="8"/>
    <x v="23"/>
    <x v="1"/>
    <x v="841"/>
    <n v="47.1"/>
    <n v="95.39"/>
    <n v="95.37"/>
    <n v="84.02"/>
    <s v="5ATM"/>
    <n v="7.3"/>
    <n v="3.4"/>
    <x v="3"/>
    <x v="5"/>
    <x v="2"/>
    <n v="60"/>
  </r>
  <r>
    <x v="10"/>
    <x v="23"/>
    <x v="8"/>
    <x v="23"/>
    <x v="1"/>
    <x v="842"/>
    <n v="63.9"/>
    <n v="96.4"/>
    <n v="95.4"/>
    <n v="79.86"/>
    <s v="IP68"/>
    <n v="8.8000000000000007"/>
    <n v="3.5"/>
    <x v="3"/>
    <x v="5"/>
    <x v="2"/>
    <n v="62.2"/>
  </r>
  <r>
    <x v="10"/>
    <x v="7"/>
    <x v="4"/>
    <x v="7"/>
    <x v="1"/>
    <x v="843"/>
    <n v="557.29999999999995"/>
    <n v="95.12"/>
    <n v="98.74"/>
    <n v="79.66"/>
    <s v="5ATM"/>
    <n v="9"/>
    <n v="3.2"/>
    <x v="1"/>
    <x v="9"/>
    <x v="0"/>
    <n v="65.099999999999994"/>
  </r>
  <r>
    <x v="10"/>
    <x v="24"/>
    <x v="2"/>
    <x v="24"/>
    <x v="2"/>
    <x v="844"/>
    <n v="220.8"/>
    <n v="95.07"/>
    <n v="93.57"/>
    <n v="76.81"/>
    <s v="5ATM"/>
    <n v="8.3000000000000007"/>
    <n v="4.0999999999999996"/>
    <x v="2"/>
    <x v="12"/>
    <x v="0"/>
    <n v="62"/>
  </r>
  <r>
    <x v="10"/>
    <x v="20"/>
    <x v="0"/>
    <x v="20"/>
    <x v="2"/>
    <x v="845"/>
    <n v="82.7"/>
    <n v="97.27"/>
    <n v="95.19"/>
    <n v="70.260000000000005"/>
    <s v="IPX8"/>
    <n v="7"/>
    <n v="5"/>
    <x v="2"/>
    <x v="6"/>
    <x v="0"/>
    <n v="57.1"/>
  </r>
  <r>
    <x v="10"/>
    <x v="3"/>
    <x v="2"/>
    <x v="3"/>
    <x v="2"/>
    <x v="846"/>
    <n v="199.5"/>
    <n v="97.33"/>
    <n v="94.41"/>
    <n v="79.91"/>
    <s v="5ATM"/>
    <n v="7.4"/>
    <n v="3"/>
    <x v="2"/>
    <x v="0"/>
    <x v="0"/>
    <n v="62.3"/>
  </r>
  <r>
    <x v="10"/>
    <x v="25"/>
    <x v="5"/>
    <x v="25"/>
    <x v="1"/>
    <x v="847"/>
    <n v="60"/>
    <n v="97.72"/>
    <n v="96.42"/>
    <n v="80.260000000000005"/>
    <s v="5ATM"/>
    <n v="8.1"/>
    <n v="2.4"/>
    <x v="1"/>
    <x v="6"/>
    <x v="0"/>
    <n v="62.2"/>
  </r>
  <r>
    <x v="10"/>
    <x v="2"/>
    <x v="0"/>
    <x v="2"/>
    <x v="1"/>
    <x v="848"/>
    <n v="27.2"/>
    <n v="96.37"/>
    <n v="93.65"/>
    <n v="78.790000000000006"/>
    <s v="IP68"/>
    <n v="8"/>
    <n v="2.2999999999999998"/>
    <x v="1"/>
    <x v="1"/>
    <x v="0"/>
    <n v="60.5"/>
  </r>
  <r>
    <x v="10"/>
    <x v="6"/>
    <x v="5"/>
    <x v="6"/>
    <x v="1"/>
    <x v="849"/>
    <n v="39"/>
    <n v="96.59"/>
    <n v="94.84"/>
    <n v="78.39"/>
    <s v="IP68"/>
    <n v="8.4"/>
    <n v="3.4"/>
    <x v="1"/>
    <x v="4"/>
    <x v="0"/>
    <n v="60.8"/>
  </r>
  <r>
    <x v="10"/>
    <x v="21"/>
    <x v="1"/>
    <x v="21"/>
    <x v="1"/>
    <x v="850"/>
    <n v="45.3"/>
    <n v="94.18"/>
    <n v="97.36"/>
    <n v="79.23"/>
    <s v="IP68"/>
    <n v="8"/>
    <n v="2.6"/>
    <x v="3"/>
    <x v="3"/>
    <x v="1"/>
    <n v="61"/>
  </r>
  <r>
    <x v="10"/>
    <x v="25"/>
    <x v="5"/>
    <x v="25"/>
    <x v="1"/>
    <x v="851"/>
    <n v="32.1"/>
    <n v="95.9"/>
    <n v="93.65"/>
    <n v="79.56"/>
    <s v="IPX8"/>
    <n v="8"/>
    <n v="4.8"/>
    <x v="1"/>
    <x v="5"/>
    <x v="2"/>
    <n v="59"/>
  </r>
  <r>
    <x v="10"/>
    <x v="18"/>
    <x v="4"/>
    <x v="18"/>
    <x v="1"/>
    <x v="852"/>
    <n v="614.1"/>
    <n v="95.5"/>
    <n v="99.41"/>
    <n v="83.18"/>
    <s v="IP68"/>
    <n v="9.3000000000000007"/>
    <n v="4.3"/>
    <x v="1"/>
    <x v="6"/>
    <x v="0"/>
    <n v="65.599999999999994"/>
  </r>
  <r>
    <x v="10"/>
    <x v="11"/>
    <x v="1"/>
    <x v="11"/>
    <x v="1"/>
    <x v="853"/>
    <n v="39.799999999999997"/>
    <n v="94.24"/>
    <n v="98.1"/>
    <n v="81.22"/>
    <s v="5ATM"/>
    <n v="8.1999999999999993"/>
    <n v="2.7"/>
    <x v="3"/>
    <x v="1"/>
    <x v="1"/>
    <n v="61.6"/>
  </r>
  <r>
    <x v="10"/>
    <x v="9"/>
    <x v="6"/>
    <x v="9"/>
    <x v="3"/>
    <x v="9"/>
    <n v="140.6"/>
    <n v="87.72"/>
    <n v="93.49"/>
    <n v="72.349999999999994"/>
    <s v="IPX7"/>
    <n v="7.4"/>
    <m/>
    <x v="2"/>
    <x v="0"/>
    <x v="0"/>
    <n v="68.900000000000006"/>
  </r>
  <r>
    <x v="10"/>
    <x v="19"/>
    <x v="9"/>
    <x v="19"/>
    <x v="0"/>
    <x v="854"/>
    <n v="204.8"/>
    <n v="91.18"/>
    <n v="94.07"/>
    <n v="72.22"/>
    <s v="IPX7"/>
    <n v="6.5"/>
    <m/>
    <x v="2"/>
    <x v="6"/>
    <x v="0"/>
    <n v="68.5"/>
  </r>
  <r>
    <x v="10"/>
    <x v="28"/>
    <x v="4"/>
    <x v="28"/>
    <x v="2"/>
    <x v="855"/>
    <n v="1347.8"/>
    <n v="94.98"/>
    <n v="99.27"/>
    <n v="77.87"/>
    <s v="10ATM"/>
    <n v="8.4"/>
    <n v="1.7"/>
    <x v="0"/>
    <x v="1"/>
    <x v="0"/>
    <n v="64.900000000000006"/>
  </r>
  <r>
    <x v="10"/>
    <x v="10"/>
    <x v="7"/>
    <x v="10"/>
    <x v="4"/>
    <x v="856"/>
    <n v="173.9"/>
    <n v="88.93"/>
    <n v="94.05"/>
    <n v="89.09"/>
    <s v="IPX8"/>
    <n v="7.5"/>
    <m/>
    <x v="2"/>
    <x v="11"/>
    <x v="0"/>
    <n v="73.400000000000006"/>
  </r>
  <r>
    <x v="10"/>
    <x v="17"/>
    <x v="3"/>
    <x v="17"/>
    <x v="1"/>
    <x v="857"/>
    <n v="51"/>
    <n v="95.03"/>
    <n v="97.9"/>
    <n v="78.27"/>
    <s v="IPX8"/>
    <n v="8.1"/>
    <n v="4.9000000000000004"/>
    <x v="3"/>
    <x v="1"/>
    <x v="2"/>
    <n v="59.8"/>
  </r>
  <r>
    <x v="10"/>
    <x v="11"/>
    <x v="1"/>
    <x v="11"/>
    <x v="1"/>
    <x v="858"/>
    <n v="54.2"/>
    <n v="93.2"/>
    <n v="97.88"/>
    <n v="76.61"/>
    <s v="IPX8"/>
    <n v="8"/>
    <n v="2"/>
    <x v="1"/>
    <x v="3"/>
    <x v="1"/>
    <n v="61"/>
  </r>
  <r>
    <x v="10"/>
    <x v="25"/>
    <x v="5"/>
    <x v="25"/>
    <x v="2"/>
    <x v="859"/>
    <n v="144.30000000000001"/>
    <n v="92.06"/>
    <n v="94.03"/>
    <n v="75.11"/>
    <s v="IP68"/>
    <n v="8.8000000000000007"/>
    <n v="3.9"/>
    <x v="2"/>
    <x v="2"/>
    <x v="0"/>
    <n v="61.8"/>
  </r>
  <r>
    <x v="10"/>
    <x v="10"/>
    <x v="7"/>
    <x v="10"/>
    <x v="4"/>
    <x v="860"/>
    <n v="189.4"/>
    <n v="87.16"/>
    <n v="93.26"/>
    <n v="88.1"/>
    <s v="IPX8"/>
    <n v="7.6"/>
    <m/>
    <x v="2"/>
    <x v="12"/>
    <x v="2"/>
    <n v="72.900000000000006"/>
  </r>
  <r>
    <x v="10"/>
    <x v="25"/>
    <x v="5"/>
    <x v="25"/>
    <x v="1"/>
    <x v="861"/>
    <n v="59.4"/>
    <n v="94.59"/>
    <n v="94.11"/>
    <n v="79.510000000000005"/>
    <s v="IP68"/>
    <n v="8.1999999999999993"/>
    <n v="2.7"/>
    <x v="1"/>
    <x v="9"/>
    <x v="0"/>
    <n v="61.1"/>
  </r>
  <r>
    <x v="10"/>
    <x v="3"/>
    <x v="2"/>
    <x v="3"/>
    <x v="2"/>
    <x v="862"/>
    <n v="150"/>
    <n v="93.93"/>
    <n v="94.5"/>
    <n v="76.95"/>
    <s v="IP68"/>
    <n v="8.4"/>
    <n v="3.2"/>
    <x v="2"/>
    <x v="10"/>
    <x v="0"/>
    <n v="62.4"/>
  </r>
  <r>
    <x v="10"/>
    <x v="10"/>
    <x v="7"/>
    <x v="10"/>
    <x v="4"/>
    <x v="863"/>
    <n v="171.2"/>
    <n v="90.25"/>
    <n v="94.3"/>
    <n v="90.43"/>
    <s v="IPX8"/>
    <n v="8.1999999999999993"/>
    <m/>
    <x v="2"/>
    <x v="11"/>
    <x v="0"/>
    <n v="75.400000000000006"/>
  </r>
  <r>
    <x v="10"/>
    <x v="22"/>
    <x v="8"/>
    <x v="22"/>
    <x v="1"/>
    <x v="864"/>
    <n v="66"/>
    <n v="96.24"/>
    <n v="94.02"/>
    <n v="81.05"/>
    <s v="5ATM"/>
    <n v="9.5"/>
    <n v="2.9"/>
    <x v="1"/>
    <x v="3"/>
    <x v="2"/>
    <n v="63.8"/>
  </r>
  <r>
    <x v="10"/>
    <x v="23"/>
    <x v="8"/>
    <x v="23"/>
    <x v="1"/>
    <x v="865"/>
    <n v="54.9"/>
    <n v="93.64"/>
    <n v="96.61"/>
    <n v="83.62"/>
    <s v="IP68"/>
    <n v="8.6999999999999993"/>
    <n v="3.2"/>
    <x v="1"/>
    <x v="4"/>
    <x v="0"/>
    <n v="62.4"/>
  </r>
  <r>
    <x v="10"/>
    <x v="1"/>
    <x v="1"/>
    <x v="1"/>
    <x v="1"/>
    <x v="866"/>
    <n v="21.1"/>
    <n v="96.29"/>
    <n v="97.49"/>
    <n v="84.35"/>
    <s v="IPX8"/>
    <n v="8.6999999999999993"/>
    <n v="2.7"/>
    <x v="3"/>
    <x v="6"/>
    <x v="1"/>
    <n v="62.8"/>
  </r>
  <r>
    <x v="10"/>
    <x v="10"/>
    <x v="7"/>
    <x v="10"/>
    <x v="4"/>
    <x v="867"/>
    <n v="176.9"/>
    <n v="87.9"/>
    <n v="95.25"/>
    <n v="86.55"/>
    <s v="IPX7"/>
    <n v="8"/>
    <m/>
    <x v="2"/>
    <x v="12"/>
    <x v="0"/>
    <n v="73.900000000000006"/>
  </r>
  <r>
    <x v="10"/>
    <x v="24"/>
    <x v="2"/>
    <x v="24"/>
    <x v="1"/>
    <x v="868"/>
    <n v="57.2"/>
    <n v="92.42"/>
    <n v="94.03"/>
    <n v="75.45"/>
    <s v="IPX8"/>
    <n v="9.1999999999999993"/>
    <n v="3.8"/>
    <x v="1"/>
    <x v="10"/>
    <x v="0"/>
    <n v="60.9"/>
  </r>
  <r>
    <x v="10"/>
    <x v="0"/>
    <x v="0"/>
    <x v="0"/>
    <x v="0"/>
    <x v="869"/>
    <n v="88.8"/>
    <n v="91.53"/>
    <n v="93.92"/>
    <n v="75.760000000000005"/>
    <s v="IPX4"/>
    <n v="7.6"/>
    <m/>
    <x v="2"/>
    <x v="2"/>
    <x v="0"/>
    <n v="69.599999999999994"/>
  </r>
  <r>
    <x v="10"/>
    <x v="1"/>
    <x v="1"/>
    <x v="1"/>
    <x v="1"/>
    <x v="870"/>
    <n v="29.1"/>
    <n v="95.64"/>
    <n v="96.47"/>
    <n v="78.92"/>
    <s v="IP68"/>
    <n v="8.1"/>
    <n v="4.5999999999999996"/>
    <x v="3"/>
    <x v="7"/>
    <x v="1"/>
    <n v="59.5"/>
  </r>
  <r>
    <x v="10"/>
    <x v="6"/>
    <x v="5"/>
    <x v="6"/>
    <x v="1"/>
    <x v="871"/>
    <n v="51"/>
    <n v="97.91"/>
    <n v="94.09"/>
    <n v="83.01"/>
    <s v="5ATM"/>
    <n v="8.1999999999999993"/>
    <n v="3.4"/>
    <x v="1"/>
    <x v="9"/>
    <x v="0"/>
    <n v="61.6"/>
  </r>
  <r>
    <x v="10"/>
    <x v="9"/>
    <x v="6"/>
    <x v="9"/>
    <x v="3"/>
    <x v="9"/>
    <n v="137.5"/>
    <n v="89.78"/>
    <n v="96.05"/>
    <n v="79.540000000000006"/>
    <s v="IPX4"/>
    <n v="6"/>
    <m/>
    <x v="2"/>
    <x v="13"/>
    <x v="2"/>
    <n v="68.3"/>
  </r>
  <r>
    <x v="10"/>
    <x v="17"/>
    <x v="3"/>
    <x v="17"/>
    <x v="1"/>
    <x v="872"/>
    <n v="27.9"/>
    <n v="92.52"/>
    <n v="96.79"/>
    <n v="81.27"/>
    <s v="5ATM"/>
    <n v="9.1999999999999993"/>
    <n v="4.3"/>
    <x v="1"/>
    <x v="9"/>
    <x v="2"/>
    <n v="61.5"/>
  </r>
  <r>
    <x v="10"/>
    <x v="13"/>
    <x v="0"/>
    <x v="13"/>
    <x v="0"/>
    <x v="873"/>
    <n v="116.2"/>
    <n v="92.95"/>
    <n v="93.78"/>
    <n v="74.040000000000006"/>
    <s v="IPX4"/>
    <n v="6.4"/>
    <m/>
    <x v="2"/>
    <x v="6"/>
    <x v="0"/>
    <n v="67.7"/>
  </r>
  <r>
    <x v="10"/>
    <x v="13"/>
    <x v="0"/>
    <x v="13"/>
    <x v="0"/>
    <x v="874"/>
    <n v="177.5"/>
    <n v="88.84"/>
    <n v="95.7"/>
    <n v="75.12"/>
    <s v="3ATM"/>
    <n v="6.1"/>
    <m/>
    <x v="0"/>
    <x v="1"/>
    <x v="0"/>
    <n v="68.099999999999994"/>
  </r>
  <r>
    <x v="10"/>
    <x v="24"/>
    <x v="2"/>
    <x v="24"/>
    <x v="2"/>
    <x v="875"/>
    <n v="116.4"/>
    <n v="93"/>
    <n v="93.16"/>
    <n v="72.62"/>
    <s v="IP68"/>
    <n v="8.3000000000000007"/>
    <n v="4.5"/>
    <x v="2"/>
    <x v="0"/>
    <x v="0"/>
    <n v="59.6"/>
  </r>
  <r>
    <x v="10"/>
    <x v="7"/>
    <x v="4"/>
    <x v="7"/>
    <x v="1"/>
    <x v="876"/>
    <n v="320.89999999999998"/>
    <n v="97.65"/>
    <n v="98.23"/>
    <n v="81.59"/>
    <s v="5ATM"/>
    <n v="9.3000000000000007"/>
    <n v="3.5"/>
    <x v="3"/>
    <x v="1"/>
    <x v="0"/>
    <n v="66.099999999999994"/>
  </r>
  <r>
    <x v="10"/>
    <x v="11"/>
    <x v="1"/>
    <x v="11"/>
    <x v="1"/>
    <x v="877"/>
    <n v="43.6"/>
    <n v="94.28"/>
    <n v="97.18"/>
    <n v="76.66"/>
    <s v="5ATM"/>
    <n v="9.4"/>
    <n v="2.5"/>
    <x v="3"/>
    <x v="7"/>
    <x v="1"/>
    <n v="62.9"/>
  </r>
  <r>
    <x v="10"/>
    <x v="13"/>
    <x v="0"/>
    <x v="13"/>
    <x v="0"/>
    <x v="878"/>
    <n v="195.9"/>
    <n v="93.27"/>
    <n v="96.48"/>
    <n v="77.03"/>
    <s v="3ATM"/>
    <n v="8.1"/>
    <m/>
    <x v="2"/>
    <x v="2"/>
    <x v="0"/>
    <n v="73.599999999999994"/>
  </r>
  <r>
    <x v="10"/>
    <x v="3"/>
    <x v="2"/>
    <x v="3"/>
    <x v="1"/>
    <x v="879"/>
    <n v="62.7"/>
    <n v="94.61"/>
    <n v="94.26"/>
    <n v="75.63"/>
    <s v="5ATM"/>
    <n v="7.2"/>
    <n v="3.9"/>
    <x v="1"/>
    <x v="5"/>
    <x v="0"/>
    <n v="58.1"/>
  </r>
  <r>
    <x v="10"/>
    <x v="3"/>
    <x v="2"/>
    <x v="3"/>
    <x v="1"/>
    <x v="880"/>
    <n v="28.3"/>
    <n v="94.13"/>
    <n v="94.78"/>
    <n v="83"/>
    <s v="IPX8"/>
    <n v="8.4"/>
    <n v="1.9"/>
    <x v="1"/>
    <x v="5"/>
    <x v="0"/>
    <n v="61.9"/>
  </r>
  <r>
    <x v="10"/>
    <x v="10"/>
    <x v="7"/>
    <x v="10"/>
    <x v="4"/>
    <x v="881"/>
    <n v="180.3"/>
    <n v="88.7"/>
    <n v="95.78"/>
    <n v="88.19"/>
    <s v="IPX7"/>
    <n v="9.1"/>
    <m/>
    <x v="2"/>
    <x v="0"/>
    <x v="2"/>
    <n v="76.7"/>
  </r>
  <r>
    <x v="10"/>
    <x v="21"/>
    <x v="1"/>
    <x v="21"/>
    <x v="1"/>
    <x v="882"/>
    <n v="38.1"/>
    <n v="93.38"/>
    <n v="97.62"/>
    <n v="77.319999999999993"/>
    <s v="5ATM"/>
    <n v="8.1999999999999993"/>
    <n v="4.5999999999999996"/>
    <x v="3"/>
    <x v="6"/>
    <x v="1"/>
    <n v="59.4"/>
  </r>
  <r>
    <x v="10"/>
    <x v="3"/>
    <x v="2"/>
    <x v="3"/>
    <x v="1"/>
    <x v="883"/>
    <n v="45.5"/>
    <n v="95"/>
    <n v="93.18"/>
    <n v="76.37"/>
    <s v="IPX8"/>
    <n v="8.1999999999999993"/>
    <n v="3.3"/>
    <x v="1"/>
    <x v="10"/>
    <x v="0"/>
    <n v="59.8"/>
  </r>
  <r>
    <x v="10"/>
    <x v="4"/>
    <x v="3"/>
    <x v="4"/>
    <x v="1"/>
    <x v="884"/>
    <n v="48.3"/>
    <n v="96.73"/>
    <n v="98.42"/>
    <n v="82.47"/>
    <s v="IP68"/>
    <n v="8.8000000000000007"/>
    <n v="2"/>
    <x v="1"/>
    <x v="5"/>
    <x v="2"/>
    <n v="63.9"/>
  </r>
  <r>
    <x v="10"/>
    <x v="28"/>
    <x v="4"/>
    <x v="28"/>
    <x v="2"/>
    <x v="885"/>
    <n v="1682.3"/>
    <n v="95.13"/>
    <n v="98.36"/>
    <n v="74.78"/>
    <s v="5ATM"/>
    <n v="9.5"/>
    <n v="2.6"/>
    <x v="0"/>
    <x v="12"/>
    <x v="0"/>
    <n v="65.5"/>
  </r>
  <r>
    <x v="10"/>
    <x v="4"/>
    <x v="3"/>
    <x v="4"/>
    <x v="1"/>
    <x v="886"/>
    <n v="45.4"/>
    <n v="96"/>
    <n v="96.82"/>
    <n v="81.97"/>
    <s v="IP68"/>
    <n v="8.1999999999999993"/>
    <n v="3"/>
    <x v="3"/>
    <x v="10"/>
    <x v="2"/>
    <n v="61.7"/>
  </r>
  <r>
    <x v="10"/>
    <x v="10"/>
    <x v="7"/>
    <x v="10"/>
    <x v="4"/>
    <x v="887"/>
    <n v="176.9"/>
    <n v="89.14"/>
    <n v="93.72"/>
    <n v="88.17"/>
    <s v="IPX7"/>
    <n v="7.9"/>
    <m/>
    <x v="2"/>
    <x v="12"/>
    <x v="2"/>
    <n v="74"/>
  </r>
  <r>
    <x v="10"/>
    <x v="19"/>
    <x v="9"/>
    <x v="19"/>
    <x v="0"/>
    <x v="888"/>
    <n v="221.8"/>
    <n v="92.14"/>
    <n v="93.6"/>
    <n v="75.739999999999995"/>
    <s v="IPX4"/>
    <n v="6.8"/>
    <m/>
    <x v="2"/>
    <x v="1"/>
    <x v="2"/>
    <n v="69.900000000000006"/>
  </r>
  <r>
    <x v="10"/>
    <x v="10"/>
    <x v="7"/>
    <x v="10"/>
    <x v="4"/>
    <x v="889"/>
    <n v="170"/>
    <n v="89.19"/>
    <n v="95.17"/>
    <n v="86.8"/>
    <s v="IPX7"/>
    <n v="9.1"/>
    <m/>
    <x v="2"/>
    <x v="8"/>
    <x v="2"/>
    <n v="76.400000000000006"/>
  </r>
  <r>
    <x v="10"/>
    <x v="3"/>
    <x v="2"/>
    <x v="3"/>
    <x v="1"/>
    <x v="890"/>
    <n v="41.9"/>
    <n v="96.48"/>
    <n v="96.85"/>
    <n v="77.22"/>
    <s v="5ATM"/>
    <n v="7.3"/>
    <n v="2.5"/>
    <x v="1"/>
    <x v="1"/>
    <x v="0"/>
    <n v="59.8"/>
  </r>
  <r>
    <x v="10"/>
    <x v="6"/>
    <x v="5"/>
    <x v="6"/>
    <x v="2"/>
    <x v="891"/>
    <n v="132.80000000000001"/>
    <n v="97.5"/>
    <n v="93.45"/>
    <n v="78.290000000000006"/>
    <s v="IP68"/>
    <n v="7.3"/>
    <n v="3.4"/>
    <x v="2"/>
    <x v="6"/>
    <x v="0"/>
    <n v="60.7"/>
  </r>
  <r>
    <x v="10"/>
    <x v="4"/>
    <x v="3"/>
    <x v="4"/>
    <x v="1"/>
    <x v="892"/>
    <n v="31.2"/>
    <n v="96.6"/>
    <n v="96.42"/>
    <n v="83.92"/>
    <s v="5ATM"/>
    <n v="9.1"/>
    <n v="2.8"/>
    <x v="3"/>
    <x v="3"/>
    <x v="2"/>
    <n v="63.4"/>
  </r>
  <r>
    <x v="10"/>
    <x v="13"/>
    <x v="0"/>
    <x v="13"/>
    <x v="0"/>
    <x v="893"/>
    <n v="171.1"/>
    <n v="88.13"/>
    <n v="93.41"/>
    <n v="78.77"/>
    <s v="IPX7"/>
    <n v="8"/>
    <m/>
    <x v="2"/>
    <x v="6"/>
    <x v="0"/>
    <n v="72.099999999999994"/>
  </r>
  <r>
    <x v="10"/>
    <x v="9"/>
    <x v="6"/>
    <x v="9"/>
    <x v="3"/>
    <x v="9"/>
    <n v="164.4"/>
    <n v="91.05"/>
    <n v="94.92"/>
    <n v="70.959999999999994"/>
    <s v="IPX4"/>
    <n v="7.9"/>
    <m/>
    <x v="2"/>
    <x v="11"/>
    <x v="2"/>
    <n v="71.099999999999994"/>
  </r>
  <r>
    <x v="10"/>
    <x v="0"/>
    <x v="0"/>
    <x v="0"/>
    <x v="0"/>
    <x v="894"/>
    <n v="196.7"/>
    <n v="94.06"/>
    <n v="94.44"/>
    <n v="73.290000000000006"/>
    <s v="IPX4"/>
    <n v="8.1"/>
    <m/>
    <x v="2"/>
    <x v="0"/>
    <x v="0"/>
    <n v="72.599999999999994"/>
  </r>
  <r>
    <x v="10"/>
    <x v="21"/>
    <x v="1"/>
    <x v="21"/>
    <x v="1"/>
    <x v="895"/>
    <n v="63.3"/>
    <n v="92.8"/>
    <n v="97.75"/>
    <n v="77.2"/>
    <s v="IP68"/>
    <n v="8.9"/>
    <n v="1.6"/>
    <x v="3"/>
    <x v="5"/>
    <x v="1"/>
    <n v="63"/>
  </r>
  <r>
    <x v="10"/>
    <x v="19"/>
    <x v="9"/>
    <x v="19"/>
    <x v="0"/>
    <x v="896"/>
    <n v="208.9"/>
    <n v="91.86"/>
    <n v="95.48"/>
    <n v="77.37"/>
    <s v="IPX7"/>
    <n v="7.7"/>
    <m/>
    <x v="0"/>
    <x v="0"/>
    <x v="0"/>
    <n v="72.3"/>
  </r>
  <r>
    <x v="10"/>
    <x v="23"/>
    <x v="8"/>
    <x v="23"/>
    <x v="1"/>
    <x v="897"/>
    <n v="45.3"/>
    <n v="97.11"/>
    <n v="94.11"/>
    <n v="76.33"/>
    <s v="IPX8"/>
    <n v="6.6"/>
    <n v="2.4"/>
    <x v="3"/>
    <x v="10"/>
    <x v="2"/>
    <n v="58.2"/>
  </r>
  <r>
    <x v="10"/>
    <x v="13"/>
    <x v="0"/>
    <x v="13"/>
    <x v="0"/>
    <x v="898"/>
    <n v="89.7"/>
    <n v="90.63"/>
    <n v="95.28"/>
    <n v="78.540000000000006"/>
    <s v="IPX4"/>
    <n v="6.8"/>
    <m/>
    <x v="2"/>
    <x v="0"/>
    <x v="0"/>
    <n v="68.599999999999994"/>
  </r>
  <r>
    <x v="10"/>
    <x v="15"/>
    <x v="8"/>
    <x v="15"/>
    <x v="1"/>
    <x v="449"/>
    <n v="49"/>
    <n v="95.56"/>
    <n v="96.15"/>
    <n v="81.05"/>
    <s v="IP68"/>
    <n v="7.6"/>
    <n v="2.1"/>
    <x v="3"/>
    <x v="1"/>
    <x v="2"/>
    <n v="61"/>
  </r>
  <r>
    <x v="10"/>
    <x v="23"/>
    <x v="8"/>
    <x v="23"/>
    <x v="1"/>
    <x v="899"/>
    <n v="63.5"/>
    <n v="97.08"/>
    <n v="95.67"/>
    <n v="83.3"/>
    <s v="IPX8"/>
    <n v="7.9"/>
    <n v="4"/>
    <x v="3"/>
    <x v="10"/>
    <x v="0"/>
    <n v="61.1"/>
  </r>
  <r>
    <x v="10"/>
    <x v="1"/>
    <x v="1"/>
    <x v="1"/>
    <x v="1"/>
    <x v="900"/>
    <n v="46.9"/>
    <n v="93.52"/>
    <n v="97.3"/>
    <n v="82.7"/>
    <s v="5ATM"/>
    <n v="7.8"/>
    <n v="3.4"/>
    <x v="3"/>
    <x v="1"/>
    <x v="1"/>
    <n v="60.6"/>
  </r>
  <r>
    <x v="10"/>
    <x v="27"/>
    <x v="9"/>
    <x v="27"/>
    <x v="2"/>
    <x v="901"/>
    <n v="159.19999999999999"/>
    <n v="93.65"/>
    <n v="95.65"/>
    <n v="78.58"/>
    <s v="5ATM"/>
    <n v="6.4"/>
    <n v="2.7"/>
    <x v="0"/>
    <x v="10"/>
    <x v="2"/>
    <n v="60"/>
  </r>
  <r>
    <x v="10"/>
    <x v="11"/>
    <x v="1"/>
    <x v="11"/>
    <x v="1"/>
    <x v="902"/>
    <n v="30"/>
    <n v="96.44"/>
    <n v="97.09"/>
    <n v="83.4"/>
    <s v="5ATM"/>
    <n v="8"/>
    <n v="2.7"/>
    <x v="1"/>
    <x v="7"/>
    <x v="1"/>
    <n v="61.6"/>
  </r>
  <r>
    <x v="10"/>
    <x v="20"/>
    <x v="0"/>
    <x v="20"/>
    <x v="1"/>
    <x v="903"/>
    <n v="33.4"/>
    <n v="92.24"/>
    <n v="95.87"/>
    <n v="81.150000000000006"/>
    <s v="5ATM"/>
    <n v="7.5"/>
    <n v="1.8"/>
    <x v="1"/>
    <x v="9"/>
    <x v="0"/>
    <n v="60.2"/>
  </r>
  <r>
    <x v="10"/>
    <x v="24"/>
    <x v="2"/>
    <x v="24"/>
    <x v="1"/>
    <x v="904"/>
    <n v="34.299999999999997"/>
    <n v="92.64"/>
    <n v="94.7"/>
    <n v="83.09"/>
    <s v="5ATM"/>
    <n v="8.1999999999999993"/>
    <n v="2.6"/>
    <x v="1"/>
    <x v="10"/>
    <x v="0"/>
    <n v="61"/>
  </r>
  <r>
    <x v="10"/>
    <x v="4"/>
    <x v="3"/>
    <x v="4"/>
    <x v="1"/>
    <x v="905"/>
    <n v="60.1"/>
    <n v="92.16"/>
    <n v="96.5"/>
    <n v="78.83"/>
    <s v="IP68"/>
    <n v="8.4"/>
    <n v="4.0999999999999996"/>
    <x v="3"/>
    <x v="10"/>
    <x v="2"/>
    <n v="60.4"/>
  </r>
  <r>
    <x v="10"/>
    <x v="19"/>
    <x v="9"/>
    <x v="19"/>
    <x v="0"/>
    <x v="906"/>
    <n v="143.5"/>
    <n v="89.99"/>
    <n v="94.55"/>
    <n v="78.209999999999994"/>
    <s v="IPX4"/>
    <n v="7.4"/>
    <m/>
    <x v="0"/>
    <x v="12"/>
    <x v="2"/>
    <n v="70.8"/>
  </r>
  <r>
    <x v="10"/>
    <x v="5"/>
    <x v="4"/>
    <x v="5"/>
    <x v="2"/>
    <x v="907"/>
    <n v="582.4"/>
    <n v="97.98"/>
    <n v="99.22"/>
    <n v="79.680000000000007"/>
    <s v="IPX8"/>
    <n v="8"/>
    <n v="4"/>
    <x v="2"/>
    <x v="2"/>
    <x v="0"/>
    <n v="63.5"/>
  </r>
  <r>
    <x v="10"/>
    <x v="9"/>
    <x v="6"/>
    <x v="9"/>
    <x v="3"/>
    <x v="9"/>
    <n v="145.6"/>
    <n v="87.43"/>
    <n v="95.68"/>
    <n v="79.7"/>
    <s v="IPX4"/>
    <n v="6.4"/>
    <m/>
    <x v="2"/>
    <x v="8"/>
    <x v="2"/>
    <n v="68.8"/>
  </r>
  <r>
    <x v="10"/>
    <x v="10"/>
    <x v="7"/>
    <x v="10"/>
    <x v="4"/>
    <x v="908"/>
    <n v="171.7"/>
    <n v="91.53"/>
    <n v="94.17"/>
    <n v="89.94"/>
    <s v="IPX8"/>
    <n v="9.3000000000000007"/>
    <m/>
    <x v="2"/>
    <x v="12"/>
    <x v="2"/>
    <n v="77.7"/>
  </r>
  <r>
    <x v="10"/>
    <x v="7"/>
    <x v="4"/>
    <x v="7"/>
    <x v="2"/>
    <x v="909"/>
    <n v="297.7"/>
    <n v="93.76"/>
    <n v="98.93"/>
    <n v="72.11"/>
    <s v="5ATM"/>
    <n v="8.1"/>
    <n v="2.6"/>
    <x v="2"/>
    <x v="2"/>
    <x v="0"/>
    <n v="62.6"/>
  </r>
  <r>
    <x v="10"/>
    <x v="9"/>
    <x v="6"/>
    <x v="9"/>
    <x v="3"/>
    <x v="9"/>
    <n v="143.80000000000001"/>
    <n v="85.26"/>
    <n v="95.01"/>
    <n v="75.900000000000006"/>
    <s v="IPX4"/>
    <n v="7.7"/>
    <m/>
    <x v="2"/>
    <x v="0"/>
    <x v="2"/>
    <n v="70.099999999999994"/>
  </r>
  <r>
    <x v="10"/>
    <x v="28"/>
    <x v="4"/>
    <x v="28"/>
    <x v="2"/>
    <x v="910"/>
    <n v="1427.5"/>
    <n v="96.39"/>
    <n v="98.91"/>
    <n v="72.34"/>
    <s v="5ATM"/>
    <n v="9.3000000000000007"/>
    <n v="2.2999999999999998"/>
    <x v="0"/>
    <x v="12"/>
    <x v="0"/>
    <n v="65.2"/>
  </r>
  <r>
    <x v="11"/>
    <x v="27"/>
    <x v="9"/>
    <x v="27"/>
    <x v="2"/>
    <x v="911"/>
    <n v="99.7"/>
    <n v="97.85"/>
    <n v="94.51"/>
    <n v="74.77"/>
    <s v="IPX8"/>
    <n v="7.8"/>
    <n v="4.0999999999999996"/>
    <x v="0"/>
    <x v="12"/>
    <x v="2"/>
    <n v="60.1"/>
  </r>
  <r>
    <x v="11"/>
    <x v="11"/>
    <x v="1"/>
    <x v="11"/>
    <x v="1"/>
    <x v="912"/>
    <n v="44.3"/>
    <n v="97.44"/>
    <n v="97.19"/>
    <n v="80.44"/>
    <s v="5ATM"/>
    <n v="7.4"/>
    <n v="4.4000000000000004"/>
    <x v="3"/>
    <x v="6"/>
    <x v="1"/>
    <n v="59.5"/>
  </r>
  <r>
    <x v="11"/>
    <x v="14"/>
    <x v="9"/>
    <x v="14"/>
    <x v="2"/>
    <x v="913"/>
    <n v="114.7"/>
    <n v="96.57"/>
    <n v="93.27"/>
    <n v="77.13"/>
    <s v="IPX8"/>
    <n v="7.2"/>
    <n v="3.9"/>
    <x v="0"/>
    <x v="2"/>
    <x v="0"/>
    <n v="59.5"/>
  </r>
  <r>
    <x v="11"/>
    <x v="26"/>
    <x v="9"/>
    <x v="26"/>
    <x v="1"/>
    <x v="914"/>
    <n v="67.5"/>
    <n v="92.55"/>
    <n v="95.78"/>
    <n v="75.5"/>
    <s v="5ATM"/>
    <n v="7.1"/>
    <n v="2.4"/>
    <x v="1"/>
    <x v="10"/>
    <x v="0"/>
    <n v="58.9"/>
  </r>
  <r>
    <x v="11"/>
    <x v="10"/>
    <x v="7"/>
    <x v="10"/>
    <x v="4"/>
    <x v="915"/>
    <n v="186.1"/>
    <n v="86.1"/>
    <n v="95.4"/>
    <n v="87.01"/>
    <s v="IPX7"/>
    <n v="8.6"/>
    <m/>
    <x v="2"/>
    <x v="8"/>
    <x v="0"/>
    <n v="74.900000000000006"/>
  </r>
  <r>
    <x v="11"/>
    <x v="4"/>
    <x v="3"/>
    <x v="4"/>
    <x v="1"/>
    <x v="916"/>
    <n v="30.5"/>
    <n v="95.18"/>
    <n v="96.86"/>
    <n v="75.260000000000005"/>
    <s v="5ATM"/>
    <n v="8.1"/>
    <n v="2.9"/>
    <x v="1"/>
    <x v="10"/>
    <x v="2"/>
    <n v="60.1"/>
  </r>
  <r>
    <x v="11"/>
    <x v="24"/>
    <x v="2"/>
    <x v="24"/>
    <x v="2"/>
    <x v="917"/>
    <n v="84.8"/>
    <n v="96.91"/>
    <n v="96.69"/>
    <n v="74.8"/>
    <s v="IPX8"/>
    <n v="8"/>
    <n v="2"/>
    <x v="2"/>
    <x v="6"/>
    <x v="0"/>
    <n v="61.7"/>
  </r>
  <r>
    <x v="11"/>
    <x v="10"/>
    <x v="7"/>
    <x v="10"/>
    <x v="4"/>
    <x v="918"/>
    <n v="179.2"/>
    <n v="91.62"/>
    <n v="93.42"/>
    <n v="85.19"/>
    <s v="IPX7"/>
    <n v="9.1999999999999993"/>
    <m/>
    <x v="2"/>
    <x v="12"/>
    <x v="2"/>
    <n v="76.400000000000006"/>
  </r>
  <r>
    <x v="11"/>
    <x v="3"/>
    <x v="2"/>
    <x v="3"/>
    <x v="1"/>
    <x v="919"/>
    <n v="49"/>
    <n v="94.13"/>
    <n v="96.52"/>
    <n v="83.67"/>
    <s v="5ATM"/>
    <n v="8.3000000000000007"/>
    <n v="2"/>
    <x v="1"/>
    <x v="6"/>
    <x v="0"/>
    <n v="62.5"/>
  </r>
  <r>
    <x v="11"/>
    <x v="18"/>
    <x v="4"/>
    <x v="18"/>
    <x v="2"/>
    <x v="920"/>
    <n v="583.5"/>
    <n v="94.92"/>
    <n v="98.16"/>
    <n v="76.75"/>
    <s v="IP68"/>
    <n v="7.8"/>
    <n v="3.4"/>
    <x v="2"/>
    <x v="6"/>
    <x v="0"/>
    <n v="62.4"/>
  </r>
  <r>
    <x v="11"/>
    <x v="24"/>
    <x v="2"/>
    <x v="24"/>
    <x v="2"/>
    <x v="921"/>
    <n v="91.5"/>
    <n v="94.51"/>
    <n v="93.28"/>
    <n v="71.77"/>
    <s v="IP68"/>
    <n v="8.5"/>
    <n v="2.7"/>
    <x v="2"/>
    <x v="10"/>
    <x v="0"/>
    <n v="60.8"/>
  </r>
  <r>
    <x v="11"/>
    <x v="3"/>
    <x v="2"/>
    <x v="3"/>
    <x v="2"/>
    <x v="922"/>
    <n v="158.9"/>
    <n v="94.53"/>
    <n v="93.34"/>
    <n v="75.709999999999994"/>
    <s v="IPX8"/>
    <n v="8.6999999999999993"/>
    <n v="3.5"/>
    <x v="0"/>
    <x v="12"/>
    <x v="0"/>
    <n v="62.6"/>
  </r>
  <r>
    <x v="11"/>
    <x v="9"/>
    <x v="6"/>
    <x v="9"/>
    <x v="3"/>
    <x v="9"/>
    <n v="163.5"/>
    <n v="88.34"/>
    <n v="93.59"/>
    <n v="71.28"/>
    <s v="IPX7"/>
    <n v="7.7"/>
    <m/>
    <x v="2"/>
    <x v="0"/>
    <x v="0"/>
    <n v="69.900000000000006"/>
  </r>
  <r>
    <x v="11"/>
    <x v="8"/>
    <x v="3"/>
    <x v="8"/>
    <x v="1"/>
    <x v="923"/>
    <n v="27"/>
    <n v="96.85"/>
    <n v="98.41"/>
    <n v="79.739999999999995"/>
    <s v="5ATM"/>
    <n v="7.7"/>
    <n v="2.6"/>
    <x v="1"/>
    <x v="10"/>
    <x v="2"/>
    <n v="60.8"/>
  </r>
  <r>
    <x v="11"/>
    <x v="19"/>
    <x v="9"/>
    <x v="19"/>
    <x v="0"/>
    <x v="924"/>
    <n v="177.7"/>
    <n v="89.91"/>
    <n v="96.66"/>
    <n v="77"/>
    <s v="IPX4"/>
    <n v="7.6"/>
    <m/>
    <x v="0"/>
    <x v="2"/>
    <x v="0"/>
    <n v="71.900000000000006"/>
  </r>
  <r>
    <x v="11"/>
    <x v="6"/>
    <x v="5"/>
    <x v="6"/>
    <x v="2"/>
    <x v="925"/>
    <n v="182.1"/>
    <n v="94.97"/>
    <n v="93.74"/>
    <n v="70.25"/>
    <s v="IPX8"/>
    <n v="8.5"/>
    <n v="4.7"/>
    <x v="0"/>
    <x v="10"/>
    <x v="0"/>
    <n v="60.9"/>
  </r>
  <r>
    <x v="11"/>
    <x v="20"/>
    <x v="0"/>
    <x v="20"/>
    <x v="2"/>
    <x v="926"/>
    <n v="218.1"/>
    <n v="96.32"/>
    <n v="96.46"/>
    <n v="73.33"/>
    <s v="IP68"/>
    <n v="6.4"/>
    <n v="2.2000000000000002"/>
    <x v="2"/>
    <x v="6"/>
    <x v="0"/>
    <n v="60.2"/>
  </r>
  <r>
    <x v="11"/>
    <x v="4"/>
    <x v="3"/>
    <x v="4"/>
    <x v="1"/>
    <x v="927"/>
    <n v="20.8"/>
    <n v="97.1"/>
    <n v="97"/>
    <n v="81.17"/>
    <s v="IPX8"/>
    <n v="7.3"/>
    <n v="3.6"/>
    <x v="3"/>
    <x v="1"/>
    <x v="2"/>
    <n v="59.4"/>
  </r>
  <r>
    <x v="11"/>
    <x v="17"/>
    <x v="3"/>
    <x v="17"/>
    <x v="1"/>
    <x v="928"/>
    <n v="23.1"/>
    <n v="96.97"/>
    <n v="97.96"/>
    <n v="78.72"/>
    <s v="IPX8"/>
    <n v="8.8000000000000007"/>
    <n v="4.7"/>
    <x v="1"/>
    <x v="9"/>
    <x v="2"/>
    <n v="60.9"/>
  </r>
  <r>
    <x v="11"/>
    <x v="6"/>
    <x v="5"/>
    <x v="6"/>
    <x v="2"/>
    <x v="929"/>
    <n v="92.3"/>
    <n v="93.28"/>
    <n v="94.43"/>
    <n v="71.739999999999995"/>
    <s v="IPX8"/>
    <n v="9"/>
    <n v="1.5"/>
    <x v="2"/>
    <x v="12"/>
    <x v="2"/>
    <n v="62.4"/>
  </r>
  <r>
    <x v="11"/>
    <x v="10"/>
    <x v="7"/>
    <x v="10"/>
    <x v="4"/>
    <x v="930"/>
    <n v="171.4"/>
    <n v="88.45"/>
    <n v="94.55"/>
    <n v="86.78"/>
    <s v="IPX7"/>
    <n v="7.8"/>
    <m/>
    <x v="2"/>
    <x v="11"/>
    <x v="2"/>
    <n v="73.599999999999994"/>
  </r>
  <r>
    <x v="11"/>
    <x v="2"/>
    <x v="0"/>
    <x v="2"/>
    <x v="1"/>
    <x v="931"/>
    <n v="60.6"/>
    <n v="92.44"/>
    <n v="96.96"/>
    <n v="79.790000000000006"/>
    <s v="IPX8"/>
    <n v="7.8"/>
    <n v="4.7"/>
    <x v="3"/>
    <x v="4"/>
    <x v="0"/>
    <n v="59.3"/>
  </r>
  <r>
    <x v="11"/>
    <x v="4"/>
    <x v="3"/>
    <x v="4"/>
    <x v="1"/>
    <x v="932"/>
    <n v="46.9"/>
    <n v="96.35"/>
    <n v="96.23"/>
    <n v="81.92"/>
    <s v="5ATM"/>
    <n v="8.4"/>
    <n v="4.2"/>
    <x v="3"/>
    <x v="9"/>
    <x v="2"/>
    <n v="61.2"/>
  </r>
  <r>
    <x v="11"/>
    <x v="6"/>
    <x v="5"/>
    <x v="6"/>
    <x v="2"/>
    <x v="933"/>
    <n v="99.5"/>
    <n v="92.83"/>
    <n v="95.78"/>
    <n v="72.91"/>
    <s v="5ATM"/>
    <n v="7.3"/>
    <n v="4.3"/>
    <x v="2"/>
    <x v="10"/>
    <x v="2"/>
    <n v="58.2"/>
  </r>
  <r>
    <x v="11"/>
    <x v="15"/>
    <x v="8"/>
    <x v="15"/>
    <x v="1"/>
    <x v="934"/>
    <n v="18.5"/>
    <n v="92.07"/>
    <n v="96.65"/>
    <n v="84.42"/>
    <s v="IPX8"/>
    <n v="7.3"/>
    <n v="4.4000000000000004"/>
    <x v="3"/>
    <x v="1"/>
    <x v="2"/>
    <n v="58.5"/>
  </r>
  <r>
    <x v="11"/>
    <x v="18"/>
    <x v="4"/>
    <x v="18"/>
    <x v="1"/>
    <x v="935"/>
    <n v="579.1"/>
    <n v="97.66"/>
    <n v="98.31"/>
    <n v="80.48"/>
    <s v="IPX8"/>
    <n v="8.6999999999999993"/>
    <n v="3.9"/>
    <x v="1"/>
    <x v="10"/>
    <x v="0"/>
    <n v="64.599999999999994"/>
  </r>
  <r>
    <x v="11"/>
    <x v="0"/>
    <x v="0"/>
    <x v="0"/>
    <x v="0"/>
    <x v="936"/>
    <n v="212.4"/>
    <n v="92.25"/>
    <n v="94.63"/>
    <n v="76.72"/>
    <s v="IPX4"/>
    <n v="8.1999999999999993"/>
    <m/>
    <x v="2"/>
    <x v="6"/>
    <x v="0"/>
    <n v="73.099999999999994"/>
  </r>
  <r>
    <x v="11"/>
    <x v="9"/>
    <x v="6"/>
    <x v="9"/>
    <x v="3"/>
    <x v="9"/>
    <n v="161.4"/>
    <n v="86.52"/>
    <n v="94.89"/>
    <n v="74.63"/>
    <s v="IPX4"/>
    <n v="7.5"/>
    <m/>
    <x v="2"/>
    <x v="8"/>
    <x v="2"/>
    <n v="70.099999999999994"/>
  </r>
  <r>
    <x v="11"/>
    <x v="21"/>
    <x v="1"/>
    <x v="21"/>
    <x v="1"/>
    <x v="937"/>
    <n v="22.3"/>
    <n v="97.75"/>
    <n v="98.05"/>
    <n v="81.67"/>
    <s v="IP68"/>
    <n v="7.1"/>
    <n v="4.4000000000000004"/>
    <x v="1"/>
    <x v="4"/>
    <x v="1"/>
    <n v="58.9"/>
  </r>
  <r>
    <x v="11"/>
    <x v="15"/>
    <x v="8"/>
    <x v="15"/>
    <x v="1"/>
    <x v="938"/>
    <n v="47.5"/>
    <n v="96.15"/>
    <n v="93.35"/>
    <n v="75.62"/>
    <s v="5ATM"/>
    <n v="9.3000000000000007"/>
    <n v="3.2"/>
    <x v="1"/>
    <x v="6"/>
    <x v="0"/>
    <n v="61.8"/>
  </r>
  <r>
    <x v="11"/>
    <x v="9"/>
    <x v="6"/>
    <x v="9"/>
    <x v="3"/>
    <x v="9"/>
    <n v="137.4"/>
    <n v="85.88"/>
    <n v="96.34"/>
    <n v="76.48"/>
    <s v="IPX7"/>
    <n v="6"/>
    <m/>
    <x v="2"/>
    <x v="8"/>
    <x v="0"/>
    <n v="67"/>
  </r>
  <r>
    <x v="11"/>
    <x v="9"/>
    <x v="6"/>
    <x v="9"/>
    <x v="3"/>
    <x v="9"/>
    <n v="134.19999999999999"/>
    <n v="85.89"/>
    <n v="95.98"/>
    <n v="79.75"/>
    <s v="IPX7"/>
    <n v="7.8"/>
    <m/>
    <x v="2"/>
    <x v="13"/>
    <x v="2"/>
    <n v="71.099999999999994"/>
  </r>
  <r>
    <x v="11"/>
    <x v="10"/>
    <x v="7"/>
    <x v="10"/>
    <x v="4"/>
    <x v="939"/>
    <n v="185.8"/>
    <n v="86.48"/>
    <n v="95.19"/>
    <n v="90.25"/>
    <s v="IPX8"/>
    <n v="7.9"/>
    <m/>
    <x v="2"/>
    <x v="11"/>
    <x v="2"/>
    <n v="74.2"/>
  </r>
  <r>
    <x v="11"/>
    <x v="10"/>
    <x v="7"/>
    <x v="10"/>
    <x v="4"/>
    <x v="940"/>
    <n v="171.3"/>
    <n v="88.79"/>
    <n v="96.2"/>
    <n v="91.04"/>
    <s v="IPX8"/>
    <n v="8"/>
    <m/>
    <x v="2"/>
    <x v="11"/>
    <x v="0"/>
    <n v="75.2"/>
  </r>
  <r>
    <x v="11"/>
    <x v="17"/>
    <x v="3"/>
    <x v="17"/>
    <x v="1"/>
    <x v="941"/>
    <n v="42.3"/>
    <n v="93.88"/>
    <n v="96.3"/>
    <n v="78.58"/>
    <s v="5ATM"/>
    <n v="7.7"/>
    <n v="3.1"/>
    <x v="3"/>
    <x v="6"/>
    <x v="2"/>
    <n v="59.7"/>
  </r>
  <r>
    <x v="11"/>
    <x v="17"/>
    <x v="3"/>
    <x v="17"/>
    <x v="1"/>
    <x v="942"/>
    <n v="30.9"/>
    <n v="94.95"/>
    <n v="96.15"/>
    <n v="84.97"/>
    <s v="IP68"/>
    <n v="8.4"/>
    <n v="1.7"/>
    <x v="1"/>
    <x v="4"/>
    <x v="2"/>
    <n v="62.8"/>
  </r>
  <r>
    <x v="11"/>
    <x v="4"/>
    <x v="3"/>
    <x v="4"/>
    <x v="1"/>
    <x v="943"/>
    <n v="31.2"/>
    <n v="94.24"/>
    <n v="96.56"/>
    <n v="81.040000000000006"/>
    <s v="5ATM"/>
    <n v="7.9"/>
    <n v="1.5"/>
    <x v="3"/>
    <x v="10"/>
    <x v="2"/>
    <n v="61.4"/>
  </r>
  <r>
    <x v="11"/>
    <x v="2"/>
    <x v="0"/>
    <x v="2"/>
    <x v="1"/>
    <x v="944"/>
    <n v="28.7"/>
    <n v="94.92"/>
    <n v="95.16"/>
    <n v="80.86"/>
    <s v="5ATM"/>
    <n v="7.7"/>
    <n v="2.8"/>
    <x v="3"/>
    <x v="3"/>
    <x v="0"/>
    <n v="60"/>
  </r>
  <r>
    <x v="11"/>
    <x v="6"/>
    <x v="5"/>
    <x v="6"/>
    <x v="1"/>
    <x v="945"/>
    <n v="44.1"/>
    <n v="94.64"/>
    <n v="93.84"/>
    <n v="83.17"/>
    <s v="IPX8"/>
    <n v="8.1"/>
    <n v="4.5999999999999996"/>
    <x v="1"/>
    <x v="10"/>
    <x v="2"/>
    <n v="59.9"/>
  </r>
  <r>
    <x v="11"/>
    <x v="8"/>
    <x v="3"/>
    <x v="8"/>
    <x v="1"/>
    <x v="946"/>
    <n v="30.7"/>
    <n v="96.21"/>
    <n v="96.99"/>
    <n v="78.180000000000007"/>
    <s v="IPX8"/>
    <n v="8.6"/>
    <n v="3"/>
    <x v="1"/>
    <x v="10"/>
    <x v="2"/>
    <n v="61.5"/>
  </r>
  <r>
    <x v="11"/>
    <x v="3"/>
    <x v="2"/>
    <x v="3"/>
    <x v="1"/>
    <x v="947"/>
    <n v="30.8"/>
    <n v="94.47"/>
    <n v="96.53"/>
    <n v="75.33"/>
    <s v="5ATM"/>
    <n v="7.3"/>
    <n v="2.4"/>
    <x v="1"/>
    <x v="4"/>
    <x v="0"/>
    <n v="58.9"/>
  </r>
  <r>
    <x v="11"/>
    <x v="5"/>
    <x v="4"/>
    <x v="5"/>
    <x v="2"/>
    <x v="948"/>
    <n v="510.6"/>
    <n v="92.37"/>
    <n v="98.71"/>
    <n v="71.69"/>
    <s v="5ATM"/>
    <n v="9"/>
    <n v="2.5"/>
    <x v="0"/>
    <x v="0"/>
    <x v="0"/>
    <n v="63.8"/>
  </r>
  <r>
    <x v="11"/>
    <x v="6"/>
    <x v="5"/>
    <x v="6"/>
    <x v="1"/>
    <x v="949"/>
    <n v="20.5"/>
    <n v="94.81"/>
    <n v="96.43"/>
    <n v="76.650000000000006"/>
    <s v="IP68"/>
    <n v="7.5"/>
    <n v="3.7"/>
    <x v="1"/>
    <x v="5"/>
    <x v="0"/>
    <n v="58.4"/>
  </r>
  <r>
    <x v="11"/>
    <x v="8"/>
    <x v="3"/>
    <x v="8"/>
    <x v="1"/>
    <x v="950"/>
    <n v="40.4"/>
    <n v="96.18"/>
    <n v="97.38"/>
    <n v="79.39"/>
    <s v="IP68"/>
    <n v="7.1"/>
    <n v="1.8"/>
    <x v="3"/>
    <x v="4"/>
    <x v="2"/>
    <n v="60.3"/>
  </r>
  <r>
    <x v="11"/>
    <x v="5"/>
    <x v="4"/>
    <x v="5"/>
    <x v="2"/>
    <x v="951"/>
    <n v="243.5"/>
    <n v="97.56"/>
    <n v="99.06"/>
    <n v="75.94"/>
    <s v="IPX8"/>
    <n v="7.6"/>
    <n v="4.3"/>
    <x v="0"/>
    <x v="10"/>
    <x v="0"/>
    <n v="61.9"/>
  </r>
  <r>
    <x v="11"/>
    <x v="2"/>
    <x v="0"/>
    <x v="2"/>
    <x v="1"/>
    <x v="952"/>
    <n v="61"/>
    <n v="96.11"/>
    <n v="96.87"/>
    <n v="79.739999999999995"/>
    <s v="5ATM"/>
    <n v="6.3"/>
    <n v="4.7"/>
    <x v="1"/>
    <x v="9"/>
    <x v="0"/>
    <n v="57.4"/>
  </r>
  <r>
    <x v="11"/>
    <x v="9"/>
    <x v="6"/>
    <x v="9"/>
    <x v="3"/>
    <x v="9"/>
    <n v="164"/>
    <n v="85.04"/>
    <n v="93.89"/>
    <n v="75.63"/>
    <s v="3ATM"/>
    <n v="6.8"/>
    <m/>
    <x v="2"/>
    <x v="11"/>
    <x v="0"/>
    <n v="68.400000000000006"/>
  </r>
  <r>
    <x v="11"/>
    <x v="0"/>
    <x v="0"/>
    <x v="0"/>
    <x v="0"/>
    <x v="953"/>
    <n v="210.4"/>
    <n v="93.19"/>
    <n v="96.04"/>
    <n v="78.67"/>
    <s v="IPX4"/>
    <n v="7"/>
    <m/>
    <x v="2"/>
    <x v="2"/>
    <x v="0"/>
    <n v="71.599999999999994"/>
  </r>
  <r>
    <x v="11"/>
    <x v="10"/>
    <x v="7"/>
    <x v="10"/>
    <x v="4"/>
    <x v="954"/>
    <n v="183.5"/>
    <n v="88.72"/>
    <n v="94.09"/>
    <n v="89.79"/>
    <s v="IPX8"/>
    <n v="7.4"/>
    <m/>
    <x v="2"/>
    <x v="11"/>
    <x v="2"/>
    <n v="73.3"/>
  </r>
  <r>
    <x v="11"/>
    <x v="10"/>
    <x v="7"/>
    <x v="10"/>
    <x v="4"/>
    <x v="955"/>
    <n v="188.7"/>
    <n v="91.43"/>
    <n v="93.81"/>
    <n v="87.23"/>
    <s v="IPX7"/>
    <n v="8.5"/>
    <m/>
    <x v="2"/>
    <x v="8"/>
    <x v="2"/>
    <n v="75.5"/>
  </r>
  <r>
    <x v="11"/>
    <x v="24"/>
    <x v="2"/>
    <x v="24"/>
    <x v="1"/>
    <x v="956"/>
    <n v="44.6"/>
    <n v="96.76"/>
    <n v="95.52"/>
    <n v="84.23"/>
    <s v="IPX8"/>
    <n v="8.8000000000000007"/>
    <n v="2.4"/>
    <x v="1"/>
    <x v="5"/>
    <x v="0"/>
    <n v="63.4"/>
  </r>
  <r>
    <x v="11"/>
    <x v="18"/>
    <x v="4"/>
    <x v="18"/>
    <x v="2"/>
    <x v="957"/>
    <n v="295.5"/>
    <n v="92.71"/>
    <n v="98.92"/>
    <n v="79.040000000000006"/>
    <s v="IPX8"/>
    <n v="8.3000000000000007"/>
    <n v="3"/>
    <x v="2"/>
    <x v="12"/>
    <x v="0"/>
    <n v="63.6"/>
  </r>
  <r>
    <x v="11"/>
    <x v="1"/>
    <x v="1"/>
    <x v="1"/>
    <x v="1"/>
    <x v="958"/>
    <n v="70.7"/>
    <n v="92.1"/>
    <n v="98.11"/>
    <n v="83.49"/>
    <s v="IP68"/>
    <n v="9.1"/>
    <n v="3.6"/>
    <x v="1"/>
    <x v="6"/>
    <x v="1"/>
    <n v="63.1"/>
  </r>
  <r>
    <x v="11"/>
    <x v="21"/>
    <x v="1"/>
    <x v="21"/>
    <x v="1"/>
    <x v="959"/>
    <n v="51.6"/>
    <n v="94.99"/>
    <n v="97.11"/>
    <n v="75.52"/>
    <s v="IPX8"/>
    <n v="8.8000000000000007"/>
    <n v="4.7"/>
    <x v="1"/>
    <x v="7"/>
    <x v="1"/>
    <n v="60.5"/>
  </r>
  <r>
    <x v="11"/>
    <x v="10"/>
    <x v="7"/>
    <x v="10"/>
    <x v="4"/>
    <x v="960"/>
    <n v="168.8"/>
    <n v="85.91"/>
    <n v="93.22"/>
    <n v="91.04"/>
    <s v="IPX7"/>
    <n v="7.8"/>
    <m/>
    <x v="2"/>
    <x v="12"/>
    <x v="0"/>
    <n v="73.599999999999994"/>
  </r>
  <r>
    <x v="11"/>
    <x v="28"/>
    <x v="4"/>
    <x v="28"/>
    <x v="1"/>
    <x v="961"/>
    <n v="750.4"/>
    <n v="94.28"/>
    <n v="99.17"/>
    <n v="78.33"/>
    <s v="5ATM"/>
    <n v="9.1999999999999993"/>
    <n v="3.4"/>
    <x v="3"/>
    <x v="5"/>
    <x v="0"/>
    <n v="65"/>
  </r>
  <r>
    <x v="11"/>
    <x v="19"/>
    <x v="9"/>
    <x v="19"/>
    <x v="0"/>
    <x v="962"/>
    <n v="80.2"/>
    <n v="89.51"/>
    <n v="94.31"/>
    <n v="71.47"/>
    <s v="IPX4"/>
    <n v="8.1"/>
    <m/>
    <x v="2"/>
    <x v="2"/>
    <x v="0"/>
    <n v="69.2"/>
  </r>
  <r>
    <x v="11"/>
    <x v="3"/>
    <x v="2"/>
    <x v="3"/>
    <x v="2"/>
    <x v="963"/>
    <n v="181.5"/>
    <n v="93.93"/>
    <n v="95.84"/>
    <n v="75.14"/>
    <s v="IP68"/>
    <n v="8.5"/>
    <n v="1.8"/>
    <x v="2"/>
    <x v="10"/>
    <x v="0"/>
    <n v="63.8"/>
  </r>
  <r>
    <x v="11"/>
    <x v="8"/>
    <x v="3"/>
    <x v="8"/>
    <x v="1"/>
    <x v="964"/>
    <n v="18.7"/>
    <n v="95.12"/>
    <n v="96.3"/>
    <n v="76.97"/>
    <s v="5ATM"/>
    <n v="7.1"/>
    <n v="3"/>
    <x v="1"/>
    <x v="7"/>
    <x v="2"/>
    <n v="58.3"/>
  </r>
  <r>
    <x v="11"/>
    <x v="25"/>
    <x v="5"/>
    <x v="25"/>
    <x v="2"/>
    <x v="965"/>
    <n v="194.8"/>
    <n v="93.61"/>
    <n v="96.41"/>
    <n v="78.31"/>
    <s v="5ATM"/>
    <n v="7.4"/>
    <n v="3.1"/>
    <x v="0"/>
    <x v="6"/>
    <x v="0"/>
    <n v="61.7"/>
  </r>
  <r>
    <x v="11"/>
    <x v="1"/>
    <x v="1"/>
    <x v="1"/>
    <x v="1"/>
    <x v="966"/>
    <n v="22.9"/>
    <n v="97.54"/>
    <n v="96.59"/>
    <n v="80.44"/>
    <s v="IPX8"/>
    <n v="8.6"/>
    <n v="2.2000000000000002"/>
    <x v="3"/>
    <x v="10"/>
    <x v="1"/>
    <n v="62.4"/>
  </r>
  <r>
    <x v="11"/>
    <x v="7"/>
    <x v="4"/>
    <x v="7"/>
    <x v="1"/>
    <x v="967"/>
    <n v="676.7"/>
    <n v="96.07"/>
    <n v="98.41"/>
    <n v="79.069999999999993"/>
    <s v="10ATM"/>
    <n v="9.1999999999999993"/>
    <n v="3.8"/>
    <x v="1"/>
    <x v="7"/>
    <x v="0"/>
    <n v="65.099999999999994"/>
  </r>
  <r>
    <x v="11"/>
    <x v="19"/>
    <x v="9"/>
    <x v="19"/>
    <x v="0"/>
    <x v="968"/>
    <n v="167.5"/>
    <n v="92.16"/>
    <n v="96.05"/>
    <n v="71.48"/>
    <s v="IPX7"/>
    <n v="7"/>
    <m/>
    <x v="0"/>
    <x v="6"/>
    <x v="0"/>
    <n v="69.900000000000006"/>
  </r>
  <r>
    <x v="11"/>
    <x v="9"/>
    <x v="6"/>
    <x v="9"/>
    <x v="3"/>
    <x v="9"/>
    <n v="146.1"/>
    <n v="86.03"/>
    <n v="95.64"/>
    <n v="70.930000000000007"/>
    <s v="3ATM"/>
    <n v="6.8"/>
    <m/>
    <x v="2"/>
    <x v="0"/>
    <x v="0"/>
    <n v="67.599999999999994"/>
  </r>
  <r>
    <x v="11"/>
    <x v="14"/>
    <x v="9"/>
    <x v="14"/>
    <x v="2"/>
    <x v="969"/>
    <n v="225.5"/>
    <n v="97.19"/>
    <n v="93.52"/>
    <n v="74.12"/>
    <s v="5ATM"/>
    <n v="7.9"/>
    <n v="4.7"/>
    <x v="2"/>
    <x v="0"/>
    <x v="2"/>
    <n v="60.8"/>
  </r>
  <r>
    <x v="11"/>
    <x v="1"/>
    <x v="1"/>
    <x v="1"/>
    <x v="1"/>
    <x v="970"/>
    <n v="23.5"/>
    <n v="92.38"/>
    <n v="96.79"/>
    <n v="79.72"/>
    <s v="5ATM"/>
    <n v="8.4"/>
    <n v="5"/>
    <x v="1"/>
    <x v="4"/>
    <x v="1"/>
    <n v="59.3"/>
  </r>
  <r>
    <x v="11"/>
    <x v="24"/>
    <x v="2"/>
    <x v="24"/>
    <x v="1"/>
    <x v="971"/>
    <n v="41.8"/>
    <n v="93.64"/>
    <n v="93.3"/>
    <n v="76.599999999999994"/>
    <s v="IP68"/>
    <n v="7.7"/>
    <n v="4"/>
    <x v="1"/>
    <x v="1"/>
    <x v="0"/>
    <n v="58.3"/>
  </r>
  <r>
    <x v="11"/>
    <x v="4"/>
    <x v="3"/>
    <x v="4"/>
    <x v="1"/>
    <x v="972"/>
    <n v="60.1"/>
    <n v="92.11"/>
    <n v="96.11"/>
    <n v="76.930000000000007"/>
    <s v="5ATM"/>
    <n v="7.8"/>
    <n v="2.2000000000000002"/>
    <x v="1"/>
    <x v="6"/>
    <x v="2"/>
    <n v="60.3"/>
  </r>
  <r>
    <x v="11"/>
    <x v="28"/>
    <x v="4"/>
    <x v="28"/>
    <x v="2"/>
    <x v="973"/>
    <n v="1446.7"/>
    <n v="94.78"/>
    <n v="99.13"/>
    <n v="75.790000000000006"/>
    <s v="5ATM"/>
    <n v="9"/>
    <n v="1.7"/>
    <x v="2"/>
    <x v="2"/>
    <x v="0"/>
    <n v="65.5"/>
  </r>
  <r>
    <x v="11"/>
    <x v="6"/>
    <x v="5"/>
    <x v="6"/>
    <x v="1"/>
    <x v="974"/>
    <n v="60"/>
    <n v="97.35"/>
    <n v="93.42"/>
    <n v="83.09"/>
    <s v="5ATM"/>
    <n v="9.3000000000000007"/>
    <n v="4"/>
    <x v="1"/>
    <x v="6"/>
    <x v="0"/>
    <n v="63"/>
  </r>
  <r>
    <x v="11"/>
    <x v="18"/>
    <x v="4"/>
    <x v="18"/>
    <x v="2"/>
    <x v="975"/>
    <n v="628.1"/>
    <n v="95.32"/>
    <n v="98.34"/>
    <n v="77.23"/>
    <s v="IPX8"/>
    <n v="8.1999999999999993"/>
    <n v="4.8"/>
    <x v="2"/>
    <x v="10"/>
    <x v="0"/>
    <n v="62.3"/>
  </r>
  <r>
    <x v="11"/>
    <x v="25"/>
    <x v="5"/>
    <x v="25"/>
    <x v="2"/>
    <x v="976"/>
    <n v="188"/>
    <n v="94.29"/>
    <n v="95.07"/>
    <n v="77.09"/>
    <s v="IPX8"/>
    <n v="8.4"/>
    <n v="3.2"/>
    <x v="0"/>
    <x v="10"/>
    <x v="2"/>
    <n v="62.9"/>
  </r>
  <r>
    <x v="11"/>
    <x v="25"/>
    <x v="5"/>
    <x v="25"/>
    <x v="2"/>
    <x v="977"/>
    <n v="148.19999999999999"/>
    <n v="95.52"/>
    <n v="96.58"/>
    <n v="77.97"/>
    <s v="IPX8"/>
    <n v="8.1"/>
    <n v="4.8"/>
    <x v="0"/>
    <x v="2"/>
    <x v="2"/>
    <n v="61.6"/>
  </r>
  <r>
    <x v="11"/>
    <x v="27"/>
    <x v="9"/>
    <x v="27"/>
    <x v="2"/>
    <x v="978"/>
    <n v="134.30000000000001"/>
    <n v="95.37"/>
    <n v="94.28"/>
    <n v="74.66"/>
    <s v="IPX8"/>
    <n v="6.9"/>
    <n v="2"/>
    <x v="2"/>
    <x v="1"/>
    <x v="0"/>
    <n v="60.2"/>
  </r>
  <r>
    <x v="11"/>
    <x v="4"/>
    <x v="3"/>
    <x v="4"/>
    <x v="1"/>
    <x v="979"/>
    <n v="51.2"/>
    <n v="96.4"/>
    <n v="98.12"/>
    <n v="78.78"/>
    <s v="IP68"/>
    <n v="9"/>
    <n v="2"/>
    <x v="1"/>
    <x v="7"/>
    <x v="2"/>
    <n v="63.6"/>
  </r>
  <r>
    <x v="11"/>
    <x v="6"/>
    <x v="5"/>
    <x v="6"/>
    <x v="2"/>
    <x v="980"/>
    <n v="173.5"/>
    <n v="93.49"/>
    <n v="95.3"/>
    <n v="70.06"/>
    <s v="5ATM"/>
    <n v="8"/>
    <n v="3.1"/>
    <x v="0"/>
    <x v="0"/>
    <x v="2"/>
    <n v="61.1"/>
  </r>
  <r>
    <x v="11"/>
    <x v="1"/>
    <x v="1"/>
    <x v="1"/>
    <x v="1"/>
    <x v="981"/>
    <n v="43.8"/>
    <n v="97.21"/>
    <n v="96.09"/>
    <n v="76.61"/>
    <s v="IP68"/>
    <n v="8.6999999999999993"/>
    <n v="4.5999999999999996"/>
    <x v="1"/>
    <x v="5"/>
    <x v="1"/>
    <n v="60.6"/>
  </r>
  <r>
    <x v="11"/>
    <x v="1"/>
    <x v="1"/>
    <x v="1"/>
    <x v="1"/>
    <x v="982"/>
    <n v="51.8"/>
    <n v="95.51"/>
    <n v="96.81"/>
    <n v="75.78"/>
    <s v="IP68"/>
    <n v="9.4"/>
    <n v="2.6"/>
    <x v="3"/>
    <x v="9"/>
    <x v="1"/>
    <n v="63"/>
  </r>
  <r>
    <x v="11"/>
    <x v="10"/>
    <x v="7"/>
    <x v="10"/>
    <x v="4"/>
    <x v="983"/>
    <n v="191.9"/>
    <n v="88.9"/>
    <n v="96.93"/>
    <n v="88.16"/>
    <s v="IPX7"/>
    <n v="8.1"/>
    <m/>
    <x v="2"/>
    <x v="12"/>
    <x v="0"/>
    <n v="75"/>
  </r>
  <r>
    <x v="11"/>
    <x v="17"/>
    <x v="3"/>
    <x v="17"/>
    <x v="1"/>
    <x v="984"/>
    <n v="32.700000000000003"/>
    <n v="93.63"/>
    <n v="97.19"/>
    <n v="81.66"/>
    <s v="IPX8"/>
    <n v="8"/>
    <n v="2.2000000000000002"/>
    <x v="3"/>
    <x v="6"/>
    <x v="2"/>
    <n v="61.3"/>
  </r>
  <r>
    <x v="11"/>
    <x v="27"/>
    <x v="9"/>
    <x v="27"/>
    <x v="1"/>
    <x v="985"/>
    <n v="54"/>
    <n v="96.98"/>
    <n v="93.19"/>
    <n v="84.83"/>
    <s v="IPX8"/>
    <n v="8.4"/>
    <n v="3.7"/>
    <x v="3"/>
    <x v="1"/>
    <x v="2"/>
    <n v="61.8"/>
  </r>
  <r>
    <x v="11"/>
    <x v="6"/>
    <x v="5"/>
    <x v="6"/>
    <x v="1"/>
    <x v="986"/>
    <n v="41.3"/>
    <n v="92.12"/>
    <n v="96.38"/>
    <n v="84.23"/>
    <s v="IP68"/>
    <n v="7.5"/>
    <n v="1.8"/>
    <x v="3"/>
    <x v="1"/>
    <x v="0"/>
    <n v="60.9"/>
  </r>
  <r>
    <x v="11"/>
    <x v="13"/>
    <x v="0"/>
    <x v="13"/>
    <x v="0"/>
    <x v="987"/>
    <n v="239"/>
    <n v="94.85"/>
    <n v="94.3"/>
    <n v="75.45"/>
    <s v="IPX4"/>
    <n v="6.5"/>
    <m/>
    <x v="0"/>
    <x v="2"/>
    <x v="0"/>
    <n v="69.900000000000006"/>
  </r>
  <r>
    <x v="11"/>
    <x v="10"/>
    <x v="7"/>
    <x v="10"/>
    <x v="4"/>
    <x v="988"/>
    <n v="171"/>
    <n v="86.81"/>
    <n v="95.15"/>
    <n v="90.27"/>
    <s v="IPX7"/>
    <n v="8.8000000000000007"/>
    <m/>
    <x v="2"/>
    <x v="8"/>
    <x v="0"/>
    <n v="76"/>
  </r>
  <r>
    <x v="11"/>
    <x v="18"/>
    <x v="4"/>
    <x v="18"/>
    <x v="2"/>
    <x v="989"/>
    <n v="296.5"/>
    <n v="96.65"/>
    <n v="99.06"/>
    <n v="72.150000000000006"/>
    <s v="IP68"/>
    <n v="8.4"/>
    <n v="4.7"/>
    <x v="2"/>
    <x v="0"/>
    <x v="0"/>
    <n v="62.2"/>
  </r>
  <r>
    <x v="12"/>
    <x v="6"/>
    <x v="5"/>
    <x v="6"/>
    <x v="2"/>
    <x v="990"/>
    <n v="231.5"/>
    <n v="93.45"/>
    <n v="96.46"/>
    <n v="73.459999999999994"/>
    <s v="IPX8"/>
    <n v="7.9"/>
    <n v="3.1"/>
    <x v="0"/>
    <x v="10"/>
    <x v="2"/>
    <n v="61.7"/>
  </r>
  <r>
    <x v="12"/>
    <x v="9"/>
    <x v="6"/>
    <x v="9"/>
    <x v="3"/>
    <x v="9"/>
    <n v="154.80000000000001"/>
    <n v="86.05"/>
    <n v="95.98"/>
    <n v="77.22"/>
    <s v="IPX7"/>
    <n v="6.5"/>
    <m/>
    <x v="2"/>
    <x v="11"/>
    <x v="0"/>
    <n v="68.5"/>
  </r>
  <r>
    <x v="12"/>
    <x v="10"/>
    <x v="7"/>
    <x v="10"/>
    <x v="4"/>
    <x v="991"/>
    <n v="189.7"/>
    <n v="85.74"/>
    <n v="95.81"/>
    <n v="86.28"/>
    <s v="IPX7"/>
    <n v="8.6"/>
    <m/>
    <x v="2"/>
    <x v="8"/>
    <x v="2"/>
    <n v="74.8"/>
  </r>
  <r>
    <x v="12"/>
    <x v="25"/>
    <x v="5"/>
    <x v="25"/>
    <x v="2"/>
    <x v="992"/>
    <n v="180.1"/>
    <n v="94.08"/>
    <n v="95.38"/>
    <n v="76.19"/>
    <s v="IP68"/>
    <n v="6.2"/>
    <n v="4.5"/>
    <x v="2"/>
    <x v="2"/>
    <x v="0"/>
    <n v="58.3"/>
  </r>
  <r>
    <x v="12"/>
    <x v="0"/>
    <x v="0"/>
    <x v="0"/>
    <x v="0"/>
    <x v="993"/>
    <n v="200.1"/>
    <n v="94.28"/>
    <n v="96.25"/>
    <n v="70.89"/>
    <s v="IPX4"/>
    <n v="7.1"/>
    <m/>
    <x v="2"/>
    <x v="0"/>
    <x v="0"/>
    <n v="70.5"/>
  </r>
  <r>
    <x v="12"/>
    <x v="24"/>
    <x v="2"/>
    <x v="24"/>
    <x v="2"/>
    <x v="994"/>
    <n v="204.1"/>
    <n v="95.37"/>
    <n v="96.42"/>
    <n v="76.61"/>
    <s v="IPX8"/>
    <n v="8"/>
    <n v="4.8"/>
    <x v="2"/>
    <x v="1"/>
    <x v="0"/>
    <n v="61.5"/>
  </r>
  <r>
    <x v="12"/>
    <x v="10"/>
    <x v="7"/>
    <x v="10"/>
    <x v="4"/>
    <x v="995"/>
    <n v="174.8"/>
    <n v="89.7"/>
    <n v="94.69"/>
    <n v="90.34"/>
    <s v="IPX8"/>
    <n v="7.7"/>
    <m/>
    <x v="2"/>
    <x v="8"/>
    <x v="2"/>
    <n v="74.3"/>
  </r>
  <r>
    <x v="12"/>
    <x v="9"/>
    <x v="6"/>
    <x v="9"/>
    <x v="3"/>
    <x v="9"/>
    <n v="162.6"/>
    <n v="89.28"/>
    <n v="94.76"/>
    <n v="75.989999999999995"/>
    <s v="IPX4"/>
    <n v="7.9"/>
    <m/>
    <x v="2"/>
    <x v="13"/>
    <x v="2"/>
    <n v="71.7"/>
  </r>
  <r>
    <x v="12"/>
    <x v="13"/>
    <x v="0"/>
    <x v="13"/>
    <x v="0"/>
    <x v="996"/>
    <n v="208.5"/>
    <n v="93.5"/>
    <n v="96.62"/>
    <n v="76.510000000000005"/>
    <s v="IPX7"/>
    <n v="7.2"/>
    <m/>
    <x v="0"/>
    <x v="6"/>
    <x v="0"/>
    <n v="71.7"/>
  </r>
  <r>
    <x v="12"/>
    <x v="28"/>
    <x v="4"/>
    <x v="28"/>
    <x v="2"/>
    <x v="997"/>
    <n v="1225.3"/>
    <n v="92.56"/>
    <n v="98.8"/>
    <n v="70.8"/>
    <s v="10ATM"/>
    <n v="9.3000000000000007"/>
    <n v="2.6"/>
    <x v="2"/>
    <x v="0"/>
    <x v="0"/>
    <n v="64.099999999999994"/>
  </r>
  <r>
    <x v="12"/>
    <x v="21"/>
    <x v="1"/>
    <x v="21"/>
    <x v="1"/>
    <x v="998"/>
    <n v="62.8"/>
    <n v="95.99"/>
    <n v="97.12"/>
    <n v="75.72"/>
    <s v="IPX8"/>
    <n v="8.1999999999999993"/>
    <n v="2.4"/>
    <x v="1"/>
    <x v="6"/>
    <x v="1"/>
    <n v="61.5"/>
  </r>
  <r>
    <x v="12"/>
    <x v="15"/>
    <x v="8"/>
    <x v="15"/>
    <x v="1"/>
    <x v="999"/>
    <n v="29.3"/>
    <n v="97.51"/>
    <n v="94.9"/>
    <n v="76.17"/>
    <s v="5ATM"/>
    <n v="9.1"/>
    <n v="3.2"/>
    <x v="1"/>
    <x v="7"/>
    <x v="0"/>
    <n v="61.7"/>
  </r>
  <r>
    <x v="12"/>
    <x v="10"/>
    <x v="7"/>
    <x v="10"/>
    <x v="4"/>
    <x v="1000"/>
    <n v="178.5"/>
    <n v="87.54"/>
    <n v="94.46"/>
    <n v="91.64"/>
    <s v="IPX8"/>
    <n v="7.1"/>
    <m/>
    <x v="2"/>
    <x v="12"/>
    <x v="0"/>
    <n v="72.900000000000006"/>
  </r>
  <r>
    <x v="12"/>
    <x v="11"/>
    <x v="1"/>
    <x v="11"/>
    <x v="1"/>
    <x v="1001"/>
    <n v="42.6"/>
    <n v="93.92"/>
    <n v="97.86"/>
    <n v="76"/>
    <s v="5ATM"/>
    <n v="8.1999999999999993"/>
    <n v="2.4"/>
    <x v="1"/>
    <x v="1"/>
    <x v="1"/>
    <n v="60.9"/>
  </r>
  <r>
    <x v="12"/>
    <x v="25"/>
    <x v="5"/>
    <x v="25"/>
    <x v="2"/>
    <x v="1002"/>
    <n v="182.3"/>
    <n v="96.98"/>
    <n v="95.57"/>
    <n v="77.59"/>
    <s v="IP68"/>
    <n v="9.1"/>
    <n v="3.9"/>
    <x v="0"/>
    <x v="1"/>
    <x v="2"/>
    <n v="64.3"/>
  </r>
  <r>
    <x v="12"/>
    <x v="24"/>
    <x v="2"/>
    <x v="24"/>
    <x v="2"/>
    <x v="1003"/>
    <n v="173.2"/>
    <n v="94.17"/>
    <n v="93.98"/>
    <n v="79.5"/>
    <s v="5ATM"/>
    <n v="9"/>
    <n v="3.5"/>
    <x v="2"/>
    <x v="2"/>
    <x v="0"/>
    <n v="63.9"/>
  </r>
  <r>
    <x v="12"/>
    <x v="9"/>
    <x v="6"/>
    <x v="9"/>
    <x v="3"/>
    <x v="9"/>
    <n v="161.6"/>
    <n v="86.36"/>
    <n v="96.84"/>
    <n v="79.239999999999995"/>
    <s v="IPX4"/>
    <n v="6.7"/>
    <m/>
    <x v="2"/>
    <x v="8"/>
    <x v="0"/>
    <n v="69.7"/>
  </r>
  <r>
    <x v="12"/>
    <x v="27"/>
    <x v="9"/>
    <x v="27"/>
    <x v="1"/>
    <x v="1004"/>
    <n v="44.4"/>
    <n v="93.58"/>
    <n v="94.55"/>
    <n v="83.5"/>
    <s v="IPX8"/>
    <n v="7"/>
    <n v="2.6"/>
    <x v="1"/>
    <x v="3"/>
    <x v="0"/>
    <n v="59.4"/>
  </r>
  <r>
    <x v="12"/>
    <x v="27"/>
    <x v="9"/>
    <x v="27"/>
    <x v="2"/>
    <x v="1005"/>
    <n v="154.19999999999999"/>
    <n v="95.87"/>
    <n v="95.95"/>
    <n v="78.83"/>
    <s v="5ATM"/>
    <n v="6.3"/>
    <n v="2.9"/>
    <x v="2"/>
    <x v="0"/>
    <x v="0"/>
    <n v="60.1"/>
  </r>
  <r>
    <x v="12"/>
    <x v="27"/>
    <x v="9"/>
    <x v="27"/>
    <x v="1"/>
    <x v="1006"/>
    <n v="46.9"/>
    <n v="97.55"/>
    <n v="96.19"/>
    <n v="84.23"/>
    <s v="5ATM"/>
    <n v="6.4"/>
    <n v="2.5"/>
    <x v="1"/>
    <x v="4"/>
    <x v="2"/>
    <n v="59.6"/>
  </r>
  <r>
    <x v="12"/>
    <x v="14"/>
    <x v="9"/>
    <x v="14"/>
    <x v="1"/>
    <x v="1007"/>
    <n v="31.5"/>
    <n v="95.59"/>
    <n v="95.99"/>
    <n v="84.38"/>
    <s v="5ATM"/>
    <n v="6.1"/>
    <n v="3.9"/>
    <x v="3"/>
    <x v="1"/>
    <x v="0"/>
    <n v="57.5"/>
  </r>
  <r>
    <x v="12"/>
    <x v="9"/>
    <x v="6"/>
    <x v="9"/>
    <x v="3"/>
    <x v="9"/>
    <n v="134.4"/>
    <n v="87.82"/>
    <n v="96.06"/>
    <n v="76.680000000000007"/>
    <s v="IPX4"/>
    <n v="7"/>
    <m/>
    <x v="2"/>
    <x v="0"/>
    <x v="0"/>
    <n v="69.3"/>
  </r>
  <r>
    <x v="12"/>
    <x v="9"/>
    <x v="6"/>
    <x v="9"/>
    <x v="3"/>
    <x v="9"/>
    <n v="134.1"/>
    <n v="85.32"/>
    <n v="95.42"/>
    <n v="74.22"/>
    <s v="3ATM"/>
    <n v="6.6"/>
    <m/>
    <x v="2"/>
    <x v="0"/>
    <x v="0"/>
    <n v="67.400000000000006"/>
  </r>
  <r>
    <x v="12"/>
    <x v="24"/>
    <x v="2"/>
    <x v="24"/>
    <x v="2"/>
    <x v="1008"/>
    <n v="144.1"/>
    <n v="93.59"/>
    <n v="95.05"/>
    <n v="71.52"/>
    <s v="IPX8"/>
    <n v="8"/>
    <n v="3.5"/>
    <x v="2"/>
    <x v="12"/>
    <x v="0"/>
    <n v="60.6"/>
  </r>
  <r>
    <x v="12"/>
    <x v="25"/>
    <x v="5"/>
    <x v="25"/>
    <x v="2"/>
    <x v="1009"/>
    <n v="143.80000000000001"/>
    <n v="93.41"/>
    <n v="96.04"/>
    <n v="75.42"/>
    <s v="IP68"/>
    <n v="7"/>
    <n v="1.5"/>
    <x v="2"/>
    <x v="10"/>
    <x v="2"/>
    <n v="61"/>
  </r>
  <r>
    <x v="12"/>
    <x v="4"/>
    <x v="3"/>
    <x v="4"/>
    <x v="1"/>
    <x v="1010"/>
    <n v="39.799999999999997"/>
    <n v="92.83"/>
    <n v="96.67"/>
    <n v="76.63"/>
    <s v="IP68"/>
    <n v="9.4"/>
    <n v="2.7"/>
    <x v="3"/>
    <x v="7"/>
    <x v="2"/>
    <n v="62.3"/>
  </r>
  <r>
    <x v="12"/>
    <x v="14"/>
    <x v="9"/>
    <x v="14"/>
    <x v="2"/>
    <x v="1011"/>
    <n v="157"/>
    <n v="93.45"/>
    <n v="95.86"/>
    <n v="70.489999999999995"/>
    <s v="IPX8"/>
    <n v="7.7"/>
    <n v="2.4"/>
    <x v="2"/>
    <x v="6"/>
    <x v="0"/>
    <n v="61"/>
  </r>
  <r>
    <x v="12"/>
    <x v="13"/>
    <x v="0"/>
    <x v="13"/>
    <x v="0"/>
    <x v="1012"/>
    <n v="203.4"/>
    <n v="90.5"/>
    <n v="96.62"/>
    <n v="73.81"/>
    <s v="3ATM"/>
    <n v="8"/>
    <m/>
    <x v="2"/>
    <x v="12"/>
    <x v="0"/>
    <n v="72.2"/>
  </r>
  <r>
    <x v="12"/>
    <x v="8"/>
    <x v="3"/>
    <x v="8"/>
    <x v="1"/>
    <x v="1013"/>
    <n v="43"/>
    <n v="92.15"/>
    <n v="97.49"/>
    <n v="75.010000000000005"/>
    <s v="IPX8"/>
    <n v="8.1999999999999993"/>
    <n v="4.3"/>
    <x v="3"/>
    <x v="5"/>
    <x v="2"/>
    <n v="59.1"/>
  </r>
  <r>
    <x v="12"/>
    <x v="14"/>
    <x v="9"/>
    <x v="14"/>
    <x v="2"/>
    <x v="1014"/>
    <n v="151.30000000000001"/>
    <n v="97.14"/>
    <n v="94.57"/>
    <n v="79.31"/>
    <s v="IP68"/>
    <n v="7.6"/>
    <n v="2.8"/>
    <x v="0"/>
    <x v="1"/>
    <x v="2"/>
    <n v="62.3"/>
  </r>
  <r>
    <x v="12"/>
    <x v="0"/>
    <x v="0"/>
    <x v="0"/>
    <x v="0"/>
    <x v="1015"/>
    <n v="177.4"/>
    <n v="88.61"/>
    <n v="96.97"/>
    <n v="79.08"/>
    <s v="IPX4"/>
    <n v="7.2"/>
    <m/>
    <x v="2"/>
    <x v="2"/>
    <x v="0"/>
    <n v="71.3"/>
  </r>
  <r>
    <x v="12"/>
    <x v="11"/>
    <x v="1"/>
    <x v="11"/>
    <x v="1"/>
    <x v="1016"/>
    <n v="67"/>
    <n v="95.31"/>
    <n v="97.15"/>
    <n v="80.11"/>
    <s v="IPX8"/>
    <n v="8.9"/>
    <n v="4.3"/>
    <x v="1"/>
    <x v="10"/>
    <x v="1"/>
    <n v="62.1"/>
  </r>
  <r>
    <x v="12"/>
    <x v="19"/>
    <x v="9"/>
    <x v="19"/>
    <x v="0"/>
    <x v="1017"/>
    <n v="94"/>
    <n v="89.47"/>
    <n v="96.88"/>
    <n v="72.17"/>
    <s v="3ATM"/>
    <n v="8.5"/>
    <m/>
    <x v="2"/>
    <x v="12"/>
    <x v="2"/>
    <n v="70.900000000000006"/>
  </r>
  <r>
    <x v="12"/>
    <x v="9"/>
    <x v="6"/>
    <x v="9"/>
    <x v="3"/>
    <x v="9"/>
    <n v="135.1"/>
    <n v="86.94"/>
    <n v="94.9"/>
    <n v="73.62"/>
    <s v="IPX7"/>
    <n v="7.1"/>
    <m/>
    <x v="2"/>
    <x v="8"/>
    <x v="2"/>
    <n v="68.5"/>
  </r>
  <r>
    <x v="12"/>
    <x v="10"/>
    <x v="7"/>
    <x v="10"/>
    <x v="4"/>
    <x v="1018"/>
    <n v="174.3"/>
    <n v="85.74"/>
    <n v="96.15"/>
    <n v="89.21"/>
    <s v="IPX7"/>
    <n v="8.4"/>
    <m/>
    <x v="2"/>
    <x v="8"/>
    <x v="0"/>
    <n v="75"/>
  </r>
  <r>
    <x v="12"/>
    <x v="24"/>
    <x v="2"/>
    <x v="24"/>
    <x v="2"/>
    <x v="1019"/>
    <n v="237.2"/>
    <n v="96.35"/>
    <n v="93.87"/>
    <n v="71.17"/>
    <s v="5ATM"/>
    <n v="9.5"/>
    <n v="2.9"/>
    <x v="0"/>
    <x v="2"/>
    <x v="0"/>
    <n v="64.099999999999994"/>
  </r>
  <r>
    <x v="12"/>
    <x v="24"/>
    <x v="2"/>
    <x v="24"/>
    <x v="1"/>
    <x v="1020"/>
    <n v="63.3"/>
    <n v="96.92"/>
    <n v="96.1"/>
    <n v="82.66"/>
    <s v="5ATM"/>
    <n v="8.3000000000000007"/>
    <n v="4.8"/>
    <x v="3"/>
    <x v="6"/>
    <x v="0"/>
    <n v="61.2"/>
  </r>
  <r>
    <x v="12"/>
    <x v="27"/>
    <x v="9"/>
    <x v="27"/>
    <x v="1"/>
    <x v="1021"/>
    <n v="33.299999999999997"/>
    <n v="95.85"/>
    <n v="93.5"/>
    <n v="81.19"/>
    <s v="IP68"/>
    <n v="7.2"/>
    <n v="4"/>
    <x v="1"/>
    <x v="4"/>
    <x v="0"/>
    <n v="58.4"/>
  </r>
  <r>
    <x v="12"/>
    <x v="10"/>
    <x v="7"/>
    <x v="10"/>
    <x v="4"/>
    <x v="1022"/>
    <n v="185.3"/>
    <n v="86.52"/>
    <n v="94.95"/>
    <n v="87.15"/>
    <s v="IPX7"/>
    <n v="8.8000000000000007"/>
    <m/>
    <x v="2"/>
    <x v="11"/>
    <x v="0"/>
    <n v="75.3"/>
  </r>
  <r>
    <x v="12"/>
    <x v="3"/>
    <x v="2"/>
    <x v="3"/>
    <x v="2"/>
    <x v="1023"/>
    <n v="93.7"/>
    <n v="95.49"/>
    <n v="95.27"/>
    <n v="74.849999999999994"/>
    <s v="IP68"/>
    <n v="8.4"/>
    <n v="2"/>
    <x v="2"/>
    <x v="2"/>
    <x v="0"/>
    <n v="62.1"/>
  </r>
  <r>
    <x v="12"/>
    <x v="15"/>
    <x v="8"/>
    <x v="15"/>
    <x v="1"/>
    <x v="1024"/>
    <n v="35.200000000000003"/>
    <n v="97.79"/>
    <n v="95.63"/>
    <n v="79.819999999999993"/>
    <s v="IP68"/>
    <n v="8.5"/>
    <n v="2.9"/>
    <x v="1"/>
    <x v="7"/>
    <x v="0"/>
    <n v="61.8"/>
  </r>
  <r>
    <x v="12"/>
    <x v="26"/>
    <x v="9"/>
    <x v="26"/>
    <x v="2"/>
    <x v="1025"/>
    <n v="98.2"/>
    <n v="96.5"/>
    <n v="94.46"/>
    <n v="78.099999999999994"/>
    <s v="5ATM"/>
    <n v="8"/>
    <n v="4.2"/>
    <x v="0"/>
    <x v="1"/>
    <x v="0"/>
    <n v="60.7"/>
  </r>
  <r>
    <x v="12"/>
    <x v="14"/>
    <x v="9"/>
    <x v="14"/>
    <x v="1"/>
    <x v="1026"/>
    <n v="20.5"/>
    <n v="94.95"/>
    <n v="94.89"/>
    <n v="75.510000000000005"/>
    <s v="5ATM"/>
    <n v="7.9"/>
    <n v="4.5999999999999996"/>
    <x v="3"/>
    <x v="3"/>
    <x v="0"/>
    <n v="58.1"/>
  </r>
  <r>
    <x v="12"/>
    <x v="17"/>
    <x v="3"/>
    <x v="17"/>
    <x v="1"/>
    <x v="1027"/>
    <n v="25.9"/>
    <n v="93.3"/>
    <n v="97.03"/>
    <n v="76.37"/>
    <s v="IP68"/>
    <n v="7.5"/>
    <n v="3.8"/>
    <x v="3"/>
    <x v="3"/>
    <x v="2"/>
    <n v="58.3"/>
  </r>
  <r>
    <x v="12"/>
    <x v="6"/>
    <x v="5"/>
    <x v="6"/>
    <x v="1"/>
    <x v="1028"/>
    <n v="40.700000000000003"/>
    <n v="95.75"/>
    <n v="94.26"/>
    <n v="77.25"/>
    <s v="5ATM"/>
    <n v="8.6999999999999993"/>
    <n v="1.8"/>
    <x v="1"/>
    <x v="3"/>
    <x v="2"/>
    <n v="62"/>
  </r>
  <r>
    <x v="12"/>
    <x v="10"/>
    <x v="7"/>
    <x v="10"/>
    <x v="4"/>
    <x v="1029"/>
    <n v="177.6"/>
    <n v="87.27"/>
    <n v="95.21"/>
    <n v="88.36"/>
    <s v="IPX8"/>
    <n v="9.1"/>
    <m/>
    <x v="2"/>
    <x v="0"/>
    <x v="0"/>
    <n v="76.400000000000006"/>
  </r>
  <r>
    <x v="12"/>
    <x v="3"/>
    <x v="2"/>
    <x v="3"/>
    <x v="1"/>
    <x v="1030"/>
    <n v="33.9"/>
    <n v="95.74"/>
    <n v="94.56"/>
    <n v="75.09"/>
    <s v="IPX8"/>
    <n v="7.6"/>
    <n v="2.4"/>
    <x v="1"/>
    <x v="9"/>
    <x v="0"/>
    <n v="59.3"/>
  </r>
  <r>
    <x v="12"/>
    <x v="24"/>
    <x v="2"/>
    <x v="24"/>
    <x v="2"/>
    <x v="1031"/>
    <n v="113.8"/>
    <n v="94.07"/>
    <n v="95.71"/>
    <n v="73.849999999999994"/>
    <s v="IP68"/>
    <n v="8.3000000000000007"/>
    <n v="3.6"/>
    <x v="2"/>
    <x v="12"/>
    <x v="0"/>
    <n v="61"/>
  </r>
  <r>
    <x v="12"/>
    <x v="27"/>
    <x v="9"/>
    <x v="27"/>
    <x v="2"/>
    <x v="1032"/>
    <n v="101.5"/>
    <n v="95.64"/>
    <n v="96.37"/>
    <n v="78.59"/>
    <s v="5ATM"/>
    <n v="7.8"/>
    <n v="2.2000000000000002"/>
    <x v="0"/>
    <x v="10"/>
    <x v="2"/>
    <n v="62"/>
  </r>
  <r>
    <x v="12"/>
    <x v="9"/>
    <x v="6"/>
    <x v="9"/>
    <x v="3"/>
    <x v="9"/>
    <n v="133.30000000000001"/>
    <n v="86.51"/>
    <n v="96.05"/>
    <n v="71.02"/>
    <s v="IPX7"/>
    <n v="6.2"/>
    <m/>
    <x v="2"/>
    <x v="11"/>
    <x v="0"/>
    <n v="66.3"/>
  </r>
  <r>
    <x v="12"/>
    <x v="4"/>
    <x v="3"/>
    <x v="4"/>
    <x v="1"/>
    <x v="1033"/>
    <n v="57.3"/>
    <n v="97.85"/>
    <n v="97.53"/>
    <n v="76.599999999999994"/>
    <s v="IP68"/>
    <n v="8.6"/>
    <n v="4.2"/>
    <x v="3"/>
    <x v="10"/>
    <x v="2"/>
    <n v="61.3"/>
  </r>
  <r>
    <x v="12"/>
    <x v="25"/>
    <x v="5"/>
    <x v="25"/>
    <x v="1"/>
    <x v="1034"/>
    <n v="36.700000000000003"/>
    <n v="93.7"/>
    <n v="95.19"/>
    <n v="79.12"/>
    <s v="5ATM"/>
    <n v="7.4"/>
    <n v="3.2"/>
    <x v="3"/>
    <x v="4"/>
    <x v="0"/>
    <n v="58.9"/>
  </r>
  <r>
    <x v="12"/>
    <x v="12"/>
    <x v="8"/>
    <x v="12"/>
    <x v="1"/>
    <x v="1035"/>
    <n v="25.9"/>
    <n v="93"/>
    <n v="94.1"/>
    <n v="78"/>
    <s v="5ATM"/>
    <n v="7.5"/>
    <n v="4.8"/>
    <x v="3"/>
    <x v="7"/>
    <x v="2"/>
    <n v="57.3"/>
  </r>
  <r>
    <x v="12"/>
    <x v="2"/>
    <x v="0"/>
    <x v="2"/>
    <x v="2"/>
    <x v="1036"/>
    <n v="161.4"/>
    <n v="93.61"/>
    <n v="93.75"/>
    <n v="70.680000000000007"/>
    <s v="5ATM"/>
    <n v="7.4"/>
    <n v="3.7"/>
    <x v="2"/>
    <x v="2"/>
    <x v="0"/>
    <n v="59.4"/>
  </r>
  <r>
    <x v="12"/>
    <x v="13"/>
    <x v="0"/>
    <x v="13"/>
    <x v="0"/>
    <x v="1037"/>
    <n v="169.1"/>
    <n v="92.14"/>
    <n v="94.09"/>
    <n v="75.66"/>
    <s v="3ATM"/>
    <n v="7.7"/>
    <m/>
    <x v="2"/>
    <x v="0"/>
    <x v="0"/>
    <n v="71.8"/>
  </r>
  <r>
    <x v="12"/>
    <x v="7"/>
    <x v="4"/>
    <x v="7"/>
    <x v="1"/>
    <x v="1038"/>
    <n v="566.5"/>
    <n v="94.07"/>
    <n v="99.32"/>
    <n v="82.8"/>
    <s v="10ATM"/>
    <n v="9.1999999999999993"/>
    <n v="2"/>
    <x v="3"/>
    <x v="1"/>
    <x v="0"/>
    <n v="66.7"/>
  </r>
  <r>
    <x v="12"/>
    <x v="11"/>
    <x v="1"/>
    <x v="11"/>
    <x v="1"/>
    <x v="1039"/>
    <n v="66.3"/>
    <n v="96.91"/>
    <n v="97.69"/>
    <n v="84.46"/>
    <s v="IPX8"/>
    <n v="7.5"/>
    <n v="1.8"/>
    <x v="3"/>
    <x v="9"/>
    <x v="1"/>
    <n v="62.5"/>
  </r>
  <r>
    <x v="12"/>
    <x v="10"/>
    <x v="7"/>
    <x v="10"/>
    <x v="4"/>
    <x v="1040"/>
    <n v="185.2"/>
    <n v="90.45"/>
    <n v="94.95"/>
    <n v="89.42"/>
    <s v="IPX7"/>
    <n v="7.5"/>
    <m/>
    <x v="2"/>
    <x v="8"/>
    <x v="2"/>
    <n v="74"/>
  </r>
  <r>
    <x v="12"/>
    <x v="21"/>
    <x v="1"/>
    <x v="21"/>
    <x v="1"/>
    <x v="1041"/>
    <n v="33.1"/>
    <n v="95.26"/>
    <n v="97.65"/>
    <n v="76.790000000000006"/>
    <s v="IPX8"/>
    <n v="8"/>
    <n v="2.2000000000000002"/>
    <x v="1"/>
    <x v="4"/>
    <x v="1"/>
    <n v="60.8"/>
  </r>
  <r>
    <x v="12"/>
    <x v="4"/>
    <x v="3"/>
    <x v="4"/>
    <x v="1"/>
    <x v="1042"/>
    <n v="40.299999999999997"/>
    <n v="96.52"/>
    <n v="98.02"/>
    <n v="80.36"/>
    <s v="5ATM"/>
    <n v="8.5"/>
    <n v="1.6"/>
    <x v="3"/>
    <x v="1"/>
    <x v="2"/>
    <n v="63"/>
  </r>
  <r>
    <x v="12"/>
    <x v="6"/>
    <x v="5"/>
    <x v="6"/>
    <x v="1"/>
    <x v="1043"/>
    <n v="23.6"/>
    <n v="95.9"/>
    <n v="95.47"/>
    <n v="79.11"/>
    <s v="IPX8"/>
    <n v="9.1"/>
    <n v="3.7"/>
    <x v="3"/>
    <x v="7"/>
    <x v="2"/>
    <n v="61.6"/>
  </r>
  <r>
    <x v="12"/>
    <x v="9"/>
    <x v="6"/>
    <x v="9"/>
    <x v="3"/>
    <x v="9"/>
    <n v="160.69999999999999"/>
    <n v="85.5"/>
    <n v="93.65"/>
    <n v="72.28"/>
    <s v="IPX7"/>
    <n v="7.3"/>
    <m/>
    <x v="2"/>
    <x v="11"/>
    <x v="0"/>
    <n v="68.7"/>
  </r>
  <r>
    <x v="12"/>
    <x v="10"/>
    <x v="7"/>
    <x v="10"/>
    <x v="4"/>
    <x v="1044"/>
    <n v="170"/>
    <n v="88.02"/>
    <n v="95.98"/>
    <n v="87.61"/>
    <s v="IPX7"/>
    <n v="7.8"/>
    <m/>
    <x v="2"/>
    <x v="0"/>
    <x v="2"/>
    <n v="73.900000000000006"/>
  </r>
  <r>
    <x v="12"/>
    <x v="9"/>
    <x v="6"/>
    <x v="9"/>
    <x v="3"/>
    <x v="9"/>
    <n v="163"/>
    <n v="89.87"/>
    <n v="94.01"/>
    <n v="74.67"/>
    <s v="IPX4"/>
    <n v="7.3"/>
    <m/>
    <x v="2"/>
    <x v="11"/>
    <x v="0"/>
    <n v="70.2"/>
  </r>
  <r>
    <x v="12"/>
    <x v="25"/>
    <x v="5"/>
    <x v="25"/>
    <x v="2"/>
    <x v="1045"/>
    <n v="178.9"/>
    <n v="97.98"/>
    <n v="95.76"/>
    <n v="79.48"/>
    <s v="IP68"/>
    <n v="8.5"/>
    <n v="4.4000000000000004"/>
    <x v="2"/>
    <x v="12"/>
    <x v="0"/>
    <n v="63.4"/>
  </r>
  <r>
    <x v="12"/>
    <x v="26"/>
    <x v="9"/>
    <x v="26"/>
    <x v="1"/>
    <x v="1046"/>
    <n v="70.099999999999994"/>
    <n v="97.81"/>
    <n v="95.52"/>
    <n v="78.31"/>
    <s v="IP68"/>
    <n v="6.2"/>
    <n v="1.9"/>
    <x v="3"/>
    <x v="5"/>
    <x v="2"/>
    <n v="59.1"/>
  </r>
  <r>
    <x v="12"/>
    <x v="4"/>
    <x v="3"/>
    <x v="4"/>
    <x v="1"/>
    <x v="1047"/>
    <n v="66.900000000000006"/>
    <n v="95.87"/>
    <n v="97.14"/>
    <n v="84.77"/>
    <s v="IPX8"/>
    <n v="8.6999999999999993"/>
    <n v="1.8"/>
    <x v="1"/>
    <x v="1"/>
    <x v="2"/>
    <n v="64.3"/>
  </r>
  <r>
    <x v="12"/>
    <x v="9"/>
    <x v="6"/>
    <x v="9"/>
    <x v="3"/>
    <x v="9"/>
    <n v="161.9"/>
    <n v="91.59"/>
    <n v="94.69"/>
    <n v="79.16"/>
    <s v="IPX4"/>
    <n v="7.9"/>
    <m/>
    <x v="2"/>
    <x v="11"/>
    <x v="0"/>
    <n v="72.7"/>
  </r>
  <r>
    <x v="12"/>
    <x v="16"/>
    <x v="4"/>
    <x v="16"/>
    <x v="1"/>
    <x v="1048"/>
    <n v="374.8"/>
    <n v="92.9"/>
    <n v="98.24"/>
    <n v="81.02"/>
    <s v="5ATM"/>
    <n v="9"/>
    <n v="3"/>
    <x v="1"/>
    <x v="6"/>
    <x v="0"/>
    <n v="65"/>
  </r>
  <r>
    <x v="12"/>
    <x v="9"/>
    <x v="6"/>
    <x v="9"/>
    <x v="3"/>
    <x v="9"/>
    <n v="143"/>
    <n v="90.59"/>
    <n v="96.29"/>
    <n v="74.52"/>
    <s v="IPX4"/>
    <n v="6.2"/>
    <m/>
    <x v="2"/>
    <x v="13"/>
    <x v="0"/>
    <n v="68.099999999999994"/>
  </r>
  <r>
    <x v="12"/>
    <x v="24"/>
    <x v="2"/>
    <x v="24"/>
    <x v="1"/>
    <x v="1049"/>
    <n v="65"/>
    <n v="97.47"/>
    <n v="93.63"/>
    <n v="77.92"/>
    <s v="IPX8"/>
    <n v="8.1"/>
    <n v="3.2"/>
    <x v="3"/>
    <x v="10"/>
    <x v="0"/>
    <n v="60.8"/>
  </r>
  <r>
    <x v="12"/>
    <x v="23"/>
    <x v="8"/>
    <x v="23"/>
    <x v="1"/>
    <x v="1050"/>
    <n v="53.1"/>
    <n v="94.63"/>
    <n v="95.07"/>
    <n v="76.209999999999994"/>
    <s v="5ATM"/>
    <n v="8.1"/>
    <n v="1.6"/>
    <x v="3"/>
    <x v="5"/>
    <x v="2"/>
    <n v="61.1"/>
  </r>
  <r>
    <x v="12"/>
    <x v="9"/>
    <x v="6"/>
    <x v="9"/>
    <x v="3"/>
    <x v="9"/>
    <n v="154.9"/>
    <n v="91.88"/>
    <n v="95.38"/>
    <n v="75.180000000000007"/>
    <s v="IPX7"/>
    <n v="6"/>
    <m/>
    <x v="2"/>
    <x v="8"/>
    <x v="2"/>
    <n v="68.2"/>
  </r>
  <r>
    <x v="12"/>
    <x v="3"/>
    <x v="2"/>
    <x v="3"/>
    <x v="2"/>
    <x v="1051"/>
    <n v="134.6"/>
    <n v="94.71"/>
    <n v="95.01"/>
    <n v="78.3"/>
    <s v="IPX8"/>
    <n v="8.1"/>
    <n v="3.9"/>
    <x v="2"/>
    <x v="2"/>
    <x v="0"/>
    <n v="61.6"/>
  </r>
  <r>
    <x v="12"/>
    <x v="19"/>
    <x v="9"/>
    <x v="19"/>
    <x v="0"/>
    <x v="1052"/>
    <n v="148.69999999999999"/>
    <n v="88.68"/>
    <n v="96.42"/>
    <n v="77.63"/>
    <s v="IPX7"/>
    <n v="7.1"/>
    <m/>
    <x v="2"/>
    <x v="10"/>
    <x v="2"/>
    <n v="70.3"/>
  </r>
  <r>
    <x v="12"/>
    <x v="6"/>
    <x v="5"/>
    <x v="6"/>
    <x v="1"/>
    <x v="1053"/>
    <n v="40.5"/>
    <n v="93.2"/>
    <n v="94.22"/>
    <n v="77.97"/>
    <s v="IP68"/>
    <n v="7.7"/>
    <n v="2.1"/>
    <x v="3"/>
    <x v="4"/>
    <x v="2"/>
    <n v="59.8"/>
  </r>
  <r>
    <x v="12"/>
    <x v="25"/>
    <x v="5"/>
    <x v="25"/>
    <x v="2"/>
    <x v="1054"/>
    <n v="72.099999999999994"/>
    <n v="93.72"/>
    <n v="94.72"/>
    <n v="75.8"/>
    <s v="IP68"/>
    <n v="7.5"/>
    <n v="3"/>
    <x v="2"/>
    <x v="6"/>
    <x v="0"/>
    <n v="59.3"/>
  </r>
  <r>
    <x v="12"/>
    <x v="7"/>
    <x v="4"/>
    <x v="7"/>
    <x v="1"/>
    <x v="1055"/>
    <n v="438.9"/>
    <n v="93.54"/>
    <n v="98.45"/>
    <n v="80.2"/>
    <s v="10ATM"/>
    <n v="9.1999999999999993"/>
    <n v="4.0999999999999996"/>
    <x v="1"/>
    <x v="4"/>
    <x v="0"/>
    <n v="64.599999999999994"/>
  </r>
  <r>
    <x v="12"/>
    <x v="9"/>
    <x v="6"/>
    <x v="9"/>
    <x v="3"/>
    <x v="9"/>
    <n v="137.80000000000001"/>
    <n v="90.86"/>
    <n v="93.18"/>
    <n v="71.42"/>
    <s v="IPX4"/>
    <n v="7.2"/>
    <m/>
    <x v="2"/>
    <x v="11"/>
    <x v="0"/>
    <n v="68.8"/>
  </r>
  <r>
    <x v="12"/>
    <x v="21"/>
    <x v="1"/>
    <x v="21"/>
    <x v="1"/>
    <x v="1056"/>
    <n v="34.5"/>
    <n v="94.94"/>
    <n v="97.86"/>
    <n v="75.180000000000007"/>
    <s v="IP68"/>
    <n v="8.5"/>
    <n v="3.7"/>
    <x v="1"/>
    <x v="3"/>
    <x v="1"/>
    <n v="60.4"/>
  </r>
  <r>
    <x v="12"/>
    <x v="3"/>
    <x v="2"/>
    <x v="3"/>
    <x v="2"/>
    <x v="1057"/>
    <n v="227.5"/>
    <n v="94.24"/>
    <n v="93.65"/>
    <n v="75.680000000000007"/>
    <s v="5ATM"/>
    <n v="8.6999999999999993"/>
    <n v="3.9"/>
    <x v="0"/>
    <x v="10"/>
    <x v="0"/>
    <n v="62.5"/>
  </r>
  <r>
    <x v="12"/>
    <x v="9"/>
    <x v="6"/>
    <x v="9"/>
    <x v="3"/>
    <x v="9"/>
    <n v="131.6"/>
    <n v="89.47"/>
    <n v="93.28"/>
    <n v="78.89"/>
    <s v="IPX4"/>
    <n v="8"/>
    <m/>
    <x v="2"/>
    <x v="11"/>
    <x v="2"/>
    <n v="71.5"/>
  </r>
  <r>
    <x v="12"/>
    <x v="17"/>
    <x v="3"/>
    <x v="17"/>
    <x v="1"/>
    <x v="1058"/>
    <n v="32.1"/>
    <n v="93.08"/>
    <n v="96.19"/>
    <n v="83.45"/>
    <s v="5ATM"/>
    <n v="7.6"/>
    <n v="3.2"/>
    <x v="1"/>
    <x v="6"/>
    <x v="2"/>
    <n v="60"/>
  </r>
  <r>
    <x v="12"/>
    <x v="22"/>
    <x v="8"/>
    <x v="22"/>
    <x v="1"/>
    <x v="1059"/>
    <n v="21.3"/>
    <n v="96.74"/>
    <n v="95.03"/>
    <n v="81.290000000000006"/>
    <s v="IP68"/>
    <n v="7.5"/>
    <n v="3"/>
    <x v="1"/>
    <x v="10"/>
    <x v="0"/>
    <n v="59.8"/>
  </r>
  <r>
    <x v="12"/>
    <x v="8"/>
    <x v="3"/>
    <x v="8"/>
    <x v="1"/>
    <x v="1060"/>
    <n v="67.7"/>
    <n v="97.85"/>
    <n v="96.39"/>
    <n v="78.27"/>
    <s v="IP68"/>
    <n v="8"/>
    <n v="4.4000000000000004"/>
    <x v="3"/>
    <x v="6"/>
    <x v="2"/>
    <n v="60.5"/>
  </r>
  <r>
    <x v="12"/>
    <x v="10"/>
    <x v="7"/>
    <x v="10"/>
    <x v="4"/>
    <x v="1061"/>
    <n v="169"/>
    <n v="91.97"/>
    <n v="95.07"/>
    <n v="87.77"/>
    <s v="IPX7"/>
    <n v="8.8000000000000007"/>
    <m/>
    <x v="2"/>
    <x v="8"/>
    <x v="2"/>
    <n v="76.599999999999994"/>
  </r>
  <r>
    <x v="12"/>
    <x v="9"/>
    <x v="6"/>
    <x v="9"/>
    <x v="3"/>
    <x v="9"/>
    <n v="133.9"/>
    <n v="88.4"/>
    <n v="96.04"/>
    <n v="72.48"/>
    <s v="IPX4"/>
    <n v="7.5"/>
    <m/>
    <x v="2"/>
    <x v="8"/>
    <x v="2"/>
    <n v="69.599999999999994"/>
  </r>
  <r>
    <x v="12"/>
    <x v="15"/>
    <x v="8"/>
    <x v="15"/>
    <x v="1"/>
    <x v="1062"/>
    <n v="43.9"/>
    <n v="96.39"/>
    <n v="93.61"/>
    <n v="75.650000000000006"/>
    <s v="IP68"/>
    <n v="8.6"/>
    <n v="1.6"/>
    <x v="1"/>
    <x v="7"/>
    <x v="0"/>
    <n v="61.7"/>
  </r>
  <r>
    <x v="12"/>
    <x v="24"/>
    <x v="2"/>
    <x v="24"/>
    <x v="1"/>
    <x v="1063"/>
    <n v="60.3"/>
    <n v="93.34"/>
    <n v="93.19"/>
    <n v="77.58"/>
    <s v="IP68"/>
    <n v="8.1"/>
    <n v="1.6"/>
    <x v="3"/>
    <x v="7"/>
    <x v="0"/>
    <n v="61"/>
  </r>
  <r>
    <x v="12"/>
    <x v="10"/>
    <x v="7"/>
    <x v="10"/>
    <x v="4"/>
    <x v="1064"/>
    <n v="169.9"/>
    <n v="87.58"/>
    <n v="95.26"/>
    <n v="85.3"/>
    <s v="IPX8"/>
    <n v="7.2"/>
    <m/>
    <x v="2"/>
    <x v="11"/>
    <x v="2"/>
    <n v="72"/>
  </r>
  <r>
    <x v="12"/>
    <x v="9"/>
    <x v="6"/>
    <x v="9"/>
    <x v="3"/>
    <x v="9"/>
    <n v="151.80000000000001"/>
    <n v="86.89"/>
    <n v="95.42"/>
    <n v="71.37"/>
    <s v="IPX4"/>
    <n v="7"/>
    <m/>
    <x v="2"/>
    <x v="13"/>
    <x v="0"/>
    <n v="68.400000000000006"/>
  </r>
  <r>
    <x v="12"/>
    <x v="11"/>
    <x v="1"/>
    <x v="11"/>
    <x v="1"/>
    <x v="1065"/>
    <n v="35.799999999999997"/>
    <n v="95.68"/>
    <n v="98.03"/>
    <n v="77.7"/>
    <s v="5ATM"/>
    <n v="8.4"/>
    <n v="3.5"/>
    <x v="1"/>
    <x v="9"/>
    <x v="1"/>
    <n v="60.9"/>
  </r>
  <r>
    <x v="12"/>
    <x v="6"/>
    <x v="5"/>
    <x v="6"/>
    <x v="2"/>
    <x v="1066"/>
    <n v="172.3"/>
    <n v="96.77"/>
    <n v="95.67"/>
    <n v="79.38"/>
    <s v="5ATM"/>
    <n v="7.9"/>
    <n v="4.5999999999999996"/>
    <x v="0"/>
    <x v="6"/>
    <x v="2"/>
    <n v="62.1"/>
  </r>
  <r>
    <x v="12"/>
    <x v="24"/>
    <x v="2"/>
    <x v="24"/>
    <x v="1"/>
    <x v="1067"/>
    <n v="63.3"/>
    <n v="95.08"/>
    <n v="96.81"/>
    <n v="79.23"/>
    <s v="IPX8"/>
    <n v="7.3"/>
    <n v="4.9000000000000004"/>
    <x v="1"/>
    <x v="5"/>
    <x v="0"/>
    <n v="58.7"/>
  </r>
  <r>
    <x v="12"/>
    <x v="4"/>
    <x v="3"/>
    <x v="4"/>
    <x v="1"/>
    <x v="1068"/>
    <n v="48.9"/>
    <n v="93.69"/>
    <n v="96.68"/>
    <n v="75.989999999999995"/>
    <s v="5ATM"/>
    <n v="7.3"/>
    <n v="4.8"/>
    <x v="1"/>
    <x v="9"/>
    <x v="2"/>
    <n v="57.7"/>
  </r>
  <r>
    <x v="12"/>
    <x v="18"/>
    <x v="4"/>
    <x v="18"/>
    <x v="1"/>
    <x v="1069"/>
    <n v="355.6"/>
    <n v="94.93"/>
    <n v="99.03"/>
    <n v="84.55"/>
    <s v="IP68"/>
    <n v="7.5"/>
    <n v="4.2"/>
    <x v="3"/>
    <x v="6"/>
    <x v="0"/>
    <n v="62.8"/>
  </r>
  <r>
    <x v="12"/>
    <x v="12"/>
    <x v="8"/>
    <x v="12"/>
    <x v="1"/>
    <x v="1070"/>
    <n v="59.8"/>
    <n v="97.14"/>
    <n v="96.61"/>
    <n v="80.959999999999994"/>
    <s v="5ATM"/>
    <n v="8.4"/>
    <n v="3.3"/>
    <x v="3"/>
    <x v="10"/>
    <x v="0"/>
    <n v="62.1"/>
  </r>
  <r>
    <x v="12"/>
    <x v="20"/>
    <x v="0"/>
    <x v="20"/>
    <x v="1"/>
    <x v="1071"/>
    <n v="58.2"/>
    <n v="93.69"/>
    <n v="95.23"/>
    <n v="80.11"/>
    <s v="5ATM"/>
    <n v="8.3000000000000007"/>
    <n v="4.0999999999999996"/>
    <x v="1"/>
    <x v="5"/>
    <x v="0"/>
    <n v="60.4"/>
  </r>
  <r>
    <x v="12"/>
    <x v="14"/>
    <x v="9"/>
    <x v="14"/>
    <x v="1"/>
    <x v="1072"/>
    <n v="26.8"/>
    <n v="93.87"/>
    <n v="95.31"/>
    <n v="84.29"/>
    <s v="IP68"/>
    <n v="8"/>
    <n v="4.9000000000000004"/>
    <x v="1"/>
    <x v="5"/>
    <x v="2"/>
    <n v="59.5"/>
  </r>
  <r>
    <x v="12"/>
    <x v="3"/>
    <x v="2"/>
    <x v="3"/>
    <x v="2"/>
    <x v="1073"/>
    <n v="84.6"/>
    <n v="94.95"/>
    <n v="93.96"/>
    <n v="79.7"/>
    <s v="5ATM"/>
    <n v="8.8000000000000007"/>
    <n v="3.4"/>
    <x v="2"/>
    <x v="12"/>
    <x v="0"/>
    <n v="62.2"/>
  </r>
  <r>
    <x v="12"/>
    <x v="3"/>
    <x v="2"/>
    <x v="3"/>
    <x v="1"/>
    <x v="1074"/>
    <n v="44.9"/>
    <n v="95.31"/>
    <n v="95.45"/>
    <n v="78.23"/>
    <s v="IP68"/>
    <n v="7.5"/>
    <n v="1.8"/>
    <x v="3"/>
    <x v="1"/>
    <x v="0"/>
    <n v="60.4"/>
  </r>
  <r>
    <x v="12"/>
    <x v="10"/>
    <x v="7"/>
    <x v="10"/>
    <x v="4"/>
    <x v="1075"/>
    <n v="175"/>
    <n v="88.91"/>
    <n v="93.65"/>
    <n v="88.41"/>
    <s v="IPX7"/>
    <n v="9.1999999999999993"/>
    <m/>
    <x v="2"/>
    <x v="8"/>
    <x v="0"/>
    <n v="76.599999999999994"/>
  </r>
  <r>
    <x v="12"/>
    <x v="16"/>
    <x v="4"/>
    <x v="16"/>
    <x v="1"/>
    <x v="1076"/>
    <n v="473"/>
    <n v="92.59"/>
    <n v="98.86"/>
    <n v="83.36"/>
    <s v="IP68"/>
    <n v="7.7"/>
    <n v="3.7"/>
    <x v="3"/>
    <x v="1"/>
    <x v="0"/>
    <n v="62.8"/>
  </r>
  <r>
    <x v="13"/>
    <x v="10"/>
    <x v="7"/>
    <x v="10"/>
    <x v="4"/>
    <x v="1077"/>
    <n v="187"/>
    <n v="86.08"/>
    <n v="94.2"/>
    <n v="89.48"/>
    <s v="IPX8"/>
    <n v="7.2"/>
    <m/>
    <x v="2"/>
    <x v="0"/>
    <x v="0"/>
    <n v="72.400000000000006"/>
  </r>
  <r>
    <x v="13"/>
    <x v="3"/>
    <x v="2"/>
    <x v="3"/>
    <x v="2"/>
    <x v="1078"/>
    <n v="187.1"/>
    <n v="93.81"/>
    <n v="95.74"/>
    <n v="76.88"/>
    <s v="5ATM"/>
    <n v="8.8000000000000007"/>
    <n v="2.7"/>
    <x v="2"/>
    <x v="12"/>
    <x v="0"/>
    <n v="63.9"/>
  </r>
  <r>
    <x v="13"/>
    <x v="9"/>
    <x v="6"/>
    <x v="9"/>
    <x v="3"/>
    <x v="9"/>
    <n v="128.1"/>
    <n v="88.82"/>
    <n v="95.66"/>
    <n v="79.22"/>
    <s v="3ATM"/>
    <n v="7.9"/>
    <m/>
    <x v="2"/>
    <x v="8"/>
    <x v="2"/>
    <n v="71.599999999999994"/>
  </r>
  <r>
    <x v="13"/>
    <x v="10"/>
    <x v="7"/>
    <x v="10"/>
    <x v="4"/>
    <x v="1079"/>
    <n v="169.4"/>
    <n v="87.06"/>
    <n v="95.47"/>
    <n v="88.8"/>
    <s v="IPX7"/>
    <n v="8.4"/>
    <m/>
    <x v="2"/>
    <x v="12"/>
    <x v="2"/>
    <n v="75.099999999999994"/>
  </r>
  <r>
    <x v="13"/>
    <x v="3"/>
    <x v="2"/>
    <x v="3"/>
    <x v="2"/>
    <x v="1080"/>
    <n v="147.1"/>
    <n v="93.23"/>
    <n v="96.51"/>
    <n v="73"/>
    <s v="IP68"/>
    <n v="7.5"/>
    <n v="4.8"/>
    <x v="2"/>
    <x v="2"/>
    <x v="0"/>
    <n v="59.3"/>
  </r>
  <r>
    <x v="13"/>
    <x v="0"/>
    <x v="0"/>
    <x v="0"/>
    <x v="0"/>
    <x v="1081"/>
    <n v="201.1"/>
    <n v="91.19"/>
    <n v="96.54"/>
    <n v="75.760000000000005"/>
    <s v="3ATM"/>
    <n v="8"/>
    <m/>
    <x v="2"/>
    <x v="12"/>
    <x v="0"/>
    <n v="72.7"/>
  </r>
  <r>
    <x v="13"/>
    <x v="6"/>
    <x v="5"/>
    <x v="6"/>
    <x v="1"/>
    <x v="1082"/>
    <n v="25.6"/>
    <n v="95.92"/>
    <n v="94.88"/>
    <n v="84.18"/>
    <s v="5ATM"/>
    <n v="7.4"/>
    <n v="3.8"/>
    <x v="1"/>
    <x v="1"/>
    <x v="0"/>
    <n v="59.5"/>
  </r>
  <r>
    <x v="13"/>
    <x v="9"/>
    <x v="6"/>
    <x v="9"/>
    <x v="3"/>
    <x v="9"/>
    <n v="126"/>
    <n v="89.09"/>
    <n v="93.67"/>
    <n v="73.05"/>
    <s v="IPX4"/>
    <n v="7.7"/>
    <m/>
    <x v="2"/>
    <x v="11"/>
    <x v="0"/>
    <n v="69.599999999999994"/>
  </r>
  <r>
    <x v="13"/>
    <x v="14"/>
    <x v="9"/>
    <x v="14"/>
    <x v="2"/>
    <x v="1083"/>
    <n v="73.900000000000006"/>
    <n v="95.92"/>
    <n v="95.68"/>
    <n v="74.22"/>
    <s v="5ATM"/>
    <n v="7.5"/>
    <n v="2.4"/>
    <x v="2"/>
    <x v="6"/>
    <x v="0"/>
    <n v="60"/>
  </r>
  <r>
    <x v="13"/>
    <x v="9"/>
    <x v="6"/>
    <x v="9"/>
    <x v="3"/>
    <x v="9"/>
    <n v="120.6"/>
    <n v="91.56"/>
    <n v="95.47"/>
    <n v="72.83"/>
    <s v="IPX4"/>
    <n v="7.9"/>
    <m/>
    <x v="2"/>
    <x v="11"/>
    <x v="2"/>
    <n v="70.599999999999994"/>
  </r>
  <r>
    <x v="13"/>
    <x v="3"/>
    <x v="2"/>
    <x v="3"/>
    <x v="2"/>
    <x v="1084"/>
    <n v="222.2"/>
    <n v="96.51"/>
    <n v="94.69"/>
    <n v="76.930000000000007"/>
    <s v="IPX8"/>
    <n v="8.9"/>
    <n v="2.1"/>
    <x v="0"/>
    <x v="2"/>
    <x v="0"/>
    <n v="64.8"/>
  </r>
  <r>
    <x v="13"/>
    <x v="24"/>
    <x v="2"/>
    <x v="24"/>
    <x v="1"/>
    <x v="1085"/>
    <n v="53.6"/>
    <n v="93.48"/>
    <n v="96.74"/>
    <n v="79.489999999999995"/>
    <s v="IPX8"/>
    <n v="7.6"/>
    <n v="4.8"/>
    <x v="1"/>
    <x v="9"/>
    <x v="0"/>
    <n v="58.8"/>
  </r>
  <r>
    <x v="13"/>
    <x v="10"/>
    <x v="7"/>
    <x v="10"/>
    <x v="4"/>
    <x v="1086"/>
    <n v="184.6"/>
    <n v="91.35"/>
    <n v="96.19"/>
    <n v="90.03"/>
    <s v="IPX7"/>
    <n v="7.1"/>
    <m/>
    <x v="2"/>
    <x v="12"/>
    <x v="0"/>
    <n v="73.7"/>
  </r>
  <r>
    <x v="13"/>
    <x v="23"/>
    <x v="8"/>
    <x v="23"/>
    <x v="1"/>
    <x v="161"/>
    <n v="34.4"/>
    <n v="96.97"/>
    <n v="94.85"/>
    <n v="79.22"/>
    <s v="IP68"/>
    <n v="8.4"/>
    <n v="3.9"/>
    <x v="3"/>
    <x v="7"/>
    <x v="0"/>
    <n v="60.6"/>
  </r>
  <r>
    <x v="13"/>
    <x v="10"/>
    <x v="7"/>
    <x v="10"/>
    <x v="4"/>
    <x v="1087"/>
    <n v="169.8"/>
    <n v="91.93"/>
    <n v="94.4"/>
    <n v="86.58"/>
    <s v="IPX7"/>
    <n v="9.1"/>
    <m/>
    <x v="2"/>
    <x v="11"/>
    <x v="2"/>
    <n v="76.8"/>
  </r>
  <r>
    <x v="13"/>
    <x v="6"/>
    <x v="5"/>
    <x v="6"/>
    <x v="2"/>
    <x v="1088"/>
    <n v="169.6"/>
    <n v="92.39"/>
    <n v="94.16"/>
    <n v="75.739999999999995"/>
    <s v="5ATM"/>
    <n v="9.1"/>
    <n v="3.1"/>
    <x v="2"/>
    <x v="12"/>
    <x v="0"/>
    <n v="63.5"/>
  </r>
  <r>
    <x v="13"/>
    <x v="9"/>
    <x v="6"/>
    <x v="9"/>
    <x v="3"/>
    <x v="9"/>
    <n v="122"/>
    <n v="90.04"/>
    <n v="95.42"/>
    <n v="74.83"/>
    <s v="IPX4"/>
    <n v="7.2"/>
    <m/>
    <x v="2"/>
    <x v="13"/>
    <x v="2"/>
    <n v="69.400000000000006"/>
  </r>
  <r>
    <x v="13"/>
    <x v="20"/>
    <x v="0"/>
    <x v="20"/>
    <x v="1"/>
    <x v="1089"/>
    <n v="32.9"/>
    <n v="94.03"/>
    <n v="93.31"/>
    <n v="77.55"/>
    <s v="5ATM"/>
    <n v="7.4"/>
    <n v="4.5"/>
    <x v="1"/>
    <x v="4"/>
    <x v="0"/>
    <n v="57.5"/>
  </r>
  <r>
    <x v="13"/>
    <x v="9"/>
    <x v="6"/>
    <x v="9"/>
    <x v="3"/>
    <x v="9"/>
    <n v="122.1"/>
    <n v="87.71"/>
    <n v="94.49"/>
    <n v="77.47"/>
    <s v="IPX7"/>
    <n v="7.6"/>
    <m/>
    <x v="2"/>
    <x v="11"/>
    <x v="2"/>
    <n v="70"/>
  </r>
  <r>
    <x v="13"/>
    <x v="4"/>
    <x v="3"/>
    <x v="4"/>
    <x v="1"/>
    <x v="1090"/>
    <n v="46.6"/>
    <n v="96.29"/>
    <n v="98.41"/>
    <n v="76.72"/>
    <s v="IP68"/>
    <n v="8"/>
    <n v="4"/>
    <x v="3"/>
    <x v="7"/>
    <x v="2"/>
    <n v="60.2"/>
  </r>
  <r>
    <x v="13"/>
    <x v="20"/>
    <x v="0"/>
    <x v="20"/>
    <x v="1"/>
    <x v="1091"/>
    <n v="63.9"/>
    <n v="96.39"/>
    <n v="93.9"/>
    <n v="83.98"/>
    <s v="IPX8"/>
    <n v="8.1"/>
    <n v="4"/>
    <x v="1"/>
    <x v="7"/>
    <x v="0"/>
    <n v="61.1"/>
  </r>
  <r>
    <x v="13"/>
    <x v="4"/>
    <x v="3"/>
    <x v="4"/>
    <x v="1"/>
    <x v="1092"/>
    <n v="49.7"/>
    <n v="94.52"/>
    <n v="96.06"/>
    <n v="79.05"/>
    <s v="IPX8"/>
    <n v="9.3000000000000007"/>
    <n v="1.6"/>
    <x v="3"/>
    <x v="6"/>
    <x v="2"/>
    <n v="63.7"/>
  </r>
  <r>
    <x v="13"/>
    <x v="10"/>
    <x v="7"/>
    <x v="10"/>
    <x v="4"/>
    <x v="1093"/>
    <n v="177.9"/>
    <n v="89.13"/>
    <n v="96.99"/>
    <n v="85.44"/>
    <s v="IPX8"/>
    <n v="8.9"/>
    <m/>
    <x v="2"/>
    <x v="12"/>
    <x v="0"/>
    <n v="76.099999999999994"/>
  </r>
  <r>
    <x v="13"/>
    <x v="6"/>
    <x v="5"/>
    <x v="6"/>
    <x v="1"/>
    <x v="1094"/>
    <n v="69.400000000000006"/>
    <n v="93.98"/>
    <n v="95.52"/>
    <n v="81.03"/>
    <s v="IP68"/>
    <n v="7.9"/>
    <n v="2.9"/>
    <x v="1"/>
    <x v="4"/>
    <x v="2"/>
    <n v="61"/>
  </r>
  <r>
    <x v="13"/>
    <x v="8"/>
    <x v="3"/>
    <x v="8"/>
    <x v="1"/>
    <x v="1095"/>
    <n v="22.3"/>
    <n v="93.69"/>
    <n v="98.46"/>
    <n v="75.92"/>
    <s v="IP68"/>
    <n v="8.1999999999999993"/>
    <n v="2.4"/>
    <x v="3"/>
    <x v="4"/>
    <x v="2"/>
    <n v="60.5"/>
  </r>
  <r>
    <x v="13"/>
    <x v="12"/>
    <x v="8"/>
    <x v="12"/>
    <x v="1"/>
    <x v="1096"/>
    <n v="49.3"/>
    <n v="94.79"/>
    <n v="95.52"/>
    <n v="84.15"/>
    <s v="5ATM"/>
    <n v="8.8000000000000007"/>
    <n v="4.0999999999999996"/>
    <x v="3"/>
    <x v="10"/>
    <x v="2"/>
    <n v="62"/>
  </r>
  <r>
    <x v="13"/>
    <x v="10"/>
    <x v="7"/>
    <x v="10"/>
    <x v="4"/>
    <x v="1097"/>
    <n v="175.5"/>
    <n v="87.29"/>
    <n v="95.95"/>
    <n v="87.71"/>
    <s v="IPX8"/>
    <n v="7.4"/>
    <m/>
    <x v="2"/>
    <x v="12"/>
    <x v="0"/>
    <n v="73"/>
  </r>
  <r>
    <x v="13"/>
    <x v="12"/>
    <x v="8"/>
    <x v="12"/>
    <x v="1"/>
    <x v="1098"/>
    <n v="70.900000000000006"/>
    <n v="93.61"/>
    <n v="93.13"/>
    <n v="84.45"/>
    <s v="IPX8"/>
    <n v="8.5"/>
    <n v="2.8"/>
    <x v="3"/>
    <x v="9"/>
    <x v="2"/>
    <n v="62.2"/>
  </r>
  <r>
    <x v="13"/>
    <x v="9"/>
    <x v="6"/>
    <x v="9"/>
    <x v="3"/>
    <x v="9"/>
    <n v="153.5"/>
    <n v="85.67"/>
    <n v="95.79"/>
    <n v="70.44"/>
    <s v="IPX4"/>
    <n v="6.5"/>
    <m/>
    <x v="2"/>
    <x v="11"/>
    <x v="2"/>
    <n v="67"/>
  </r>
  <r>
    <x v="13"/>
    <x v="6"/>
    <x v="5"/>
    <x v="6"/>
    <x v="1"/>
    <x v="1099"/>
    <n v="50.5"/>
    <n v="92.34"/>
    <n v="94.9"/>
    <n v="76.63"/>
    <s v="IPX8"/>
    <n v="8.1"/>
    <n v="2.8"/>
    <x v="3"/>
    <x v="5"/>
    <x v="0"/>
    <n v="59.9"/>
  </r>
  <r>
    <x v="13"/>
    <x v="11"/>
    <x v="1"/>
    <x v="11"/>
    <x v="1"/>
    <x v="1100"/>
    <n v="67.5"/>
    <n v="93.96"/>
    <n v="97.87"/>
    <n v="79.849999999999994"/>
    <s v="5ATM"/>
    <n v="7.1"/>
    <n v="3.8"/>
    <x v="3"/>
    <x v="7"/>
    <x v="1"/>
    <n v="59.3"/>
  </r>
  <r>
    <x v="13"/>
    <x v="17"/>
    <x v="3"/>
    <x v="17"/>
    <x v="1"/>
    <x v="1101"/>
    <n v="58"/>
    <n v="97.62"/>
    <n v="97.86"/>
    <n v="76.16"/>
    <s v="IPX8"/>
    <n v="7.2"/>
    <n v="2.6"/>
    <x v="1"/>
    <x v="1"/>
    <x v="2"/>
    <n v="60"/>
  </r>
  <r>
    <x v="13"/>
    <x v="8"/>
    <x v="3"/>
    <x v="8"/>
    <x v="1"/>
    <x v="1102"/>
    <n v="36"/>
    <n v="96.02"/>
    <n v="98.14"/>
    <n v="78.3"/>
    <s v="IP68"/>
    <n v="7.7"/>
    <n v="3.8"/>
    <x v="1"/>
    <x v="1"/>
    <x v="2"/>
    <n v="59.8"/>
  </r>
  <r>
    <x v="13"/>
    <x v="0"/>
    <x v="0"/>
    <x v="0"/>
    <x v="0"/>
    <x v="506"/>
    <n v="114"/>
    <n v="93.84"/>
    <n v="95.5"/>
    <n v="75.42"/>
    <s v="IPX4"/>
    <n v="7.2"/>
    <m/>
    <x v="2"/>
    <x v="6"/>
    <x v="0"/>
    <n v="70.099999999999994"/>
  </r>
  <r>
    <x v="13"/>
    <x v="26"/>
    <x v="9"/>
    <x v="26"/>
    <x v="2"/>
    <x v="1103"/>
    <n v="79.3"/>
    <n v="95.25"/>
    <n v="93.46"/>
    <n v="71.8"/>
    <s v="IP68"/>
    <n v="6.3"/>
    <n v="3.3"/>
    <x v="2"/>
    <x v="2"/>
    <x v="0"/>
    <n v="56.6"/>
  </r>
  <r>
    <x v="13"/>
    <x v="23"/>
    <x v="8"/>
    <x v="23"/>
    <x v="1"/>
    <x v="1104"/>
    <n v="20.9"/>
    <n v="96.22"/>
    <n v="93.67"/>
    <n v="75.239999999999995"/>
    <s v="IP68"/>
    <n v="8.9"/>
    <n v="4.7"/>
    <x v="1"/>
    <x v="3"/>
    <x v="2"/>
    <n v="59.6"/>
  </r>
  <r>
    <x v="13"/>
    <x v="24"/>
    <x v="2"/>
    <x v="24"/>
    <x v="1"/>
    <x v="1105"/>
    <n v="22.6"/>
    <n v="95.42"/>
    <n v="93.18"/>
    <n v="84.86"/>
    <s v="IPX8"/>
    <n v="7.1"/>
    <n v="2.6"/>
    <x v="3"/>
    <x v="1"/>
    <x v="0"/>
    <n v="59.5"/>
  </r>
  <r>
    <x v="13"/>
    <x v="8"/>
    <x v="3"/>
    <x v="8"/>
    <x v="1"/>
    <x v="1106"/>
    <n v="58.7"/>
    <n v="92.99"/>
    <n v="96.87"/>
    <n v="79.19"/>
    <s v="IPX8"/>
    <n v="7.8"/>
    <n v="4.2"/>
    <x v="3"/>
    <x v="4"/>
    <x v="2"/>
    <n v="59.5"/>
  </r>
  <r>
    <x v="13"/>
    <x v="10"/>
    <x v="7"/>
    <x v="10"/>
    <x v="4"/>
    <x v="1107"/>
    <n v="182.6"/>
    <n v="89.1"/>
    <n v="94.53"/>
    <n v="89.48"/>
    <s v="IPX7"/>
    <n v="7.8"/>
    <m/>
    <x v="2"/>
    <x v="8"/>
    <x v="2"/>
    <n v="74.2"/>
  </r>
  <r>
    <x v="13"/>
    <x v="1"/>
    <x v="1"/>
    <x v="1"/>
    <x v="1"/>
    <x v="1108"/>
    <n v="66.7"/>
    <n v="96.04"/>
    <n v="97.03"/>
    <n v="83.95"/>
    <s v="IP68"/>
    <n v="8.6999999999999993"/>
    <n v="2.9"/>
    <x v="1"/>
    <x v="6"/>
    <x v="1"/>
    <n v="63.4"/>
  </r>
  <r>
    <x v="13"/>
    <x v="4"/>
    <x v="3"/>
    <x v="4"/>
    <x v="1"/>
    <x v="1109"/>
    <n v="40.4"/>
    <n v="95.86"/>
    <n v="96.09"/>
    <n v="76.13"/>
    <s v="5ATM"/>
    <n v="8.6"/>
    <n v="4.5999999999999996"/>
    <x v="1"/>
    <x v="5"/>
    <x v="2"/>
    <n v="60.1"/>
  </r>
  <r>
    <x v="13"/>
    <x v="12"/>
    <x v="8"/>
    <x v="12"/>
    <x v="1"/>
    <x v="1110"/>
    <n v="70.3"/>
    <n v="92.79"/>
    <n v="95.38"/>
    <n v="75.430000000000007"/>
    <s v="IPX8"/>
    <n v="7.4"/>
    <n v="2.7"/>
    <x v="1"/>
    <x v="4"/>
    <x v="0"/>
    <n v="59.2"/>
  </r>
  <r>
    <x v="13"/>
    <x v="9"/>
    <x v="6"/>
    <x v="9"/>
    <x v="3"/>
    <x v="9"/>
    <n v="154.69999999999999"/>
    <n v="89.46"/>
    <n v="93.89"/>
    <n v="78.41"/>
    <s v="IPX4"/>
    <n v="7.1"/>
    <m/>
    <x v="2"/>
    <x v="13"/>
    <x v="0"/>
    <n v="70.2"/>
  </r>
  <r>
    <x v="13"/>
    <x v="24"/>
    <x v="2"/>
    <x v="24"/>
    <x v="1"/>
    <x v="1111"/>
    <n v="36.9"/>
    <n v="96.36"/>
    <n v="96.28"/>
    <n v="83.15"/>
    <s v="5ATM"/>
    <n v="8.1999999999999993"/>
    <n v="2.4"/>
    <x v="1"/>
    <x v="10"/>
    <x v="0"/>
    <n v="62.1"/>
  </r>
  <r>
    <x v="13"/>
    <x v="10"/>
    <x v="7"/>
    <x v="10"/>
    <x v="4"/>
    <x v="1112"/>
    <n v="189.1"/>
    <n v="91.56"/>
    <n v="94.45"/>
    <n v="90.01"/>
    <s v="IPX8"/>
    <n v="8"/>
    <m/>
    <x v="2"/>
    <x v="8"/>
    <x v="2"/>
    <n v="75.2"/>
  </r>
  <r>
    <x v="13"/>
    <x v="13"/>
    <x v="0"/>
    <x v="13"/>
    <x v="0"/>
    <x v="1113"/>
    <n v="127.6"/>
    <n v="91.26"/>
    <n v="93.25"/>
    <n v="78.33"/>
    <s v="IPX7"/>
    <n v="7.8"/>
    <m/>
    <x v="2"/>
    <x v="10"/>
    <x v="0"/>
    <n v="71.2"/>
  </r>
  <r>
    <x v="13"/>
    <x v="17"/>
    <x v="3"/>
    <x v="17"/>
    <x v="1"/>
    <x v="1114"/>
    <n v="46.2"/>
    <n v="94.75"/>
    <n v="96.07"/>
    <n v="82.23"/>
    <s v="IP68"/>
    <n v="9.4"/>
    <n v="2.2000000000000002"/>
    <x v="3"/>
    <x v="4"/>
    <x v="2"/>
    <n v="64"/>
  </r>
  <r>
    <x v="13"/>
    <x v="6"/>
    <x v="5"/>
    <x v="6"/>
    <x v="2"/>
    <x v="470"/>
    <n v="196.1"/>
    <n v="97.55"/>
    <n v="93.61"/>
    <n v="75.010000000000005"/>
    <s v="IP68"/>
    <n v="7.1"/>
    <n v="4.9000000000000004"/>
    <x v="0"/>
    <x v="2"/>
    <x v="0"/>
    <n v="59.6"/>
  </r>
  <r>
    <x v="13"/>
    <x v="21"/>
    <x v="1"/>
    <x v="21"/>
    <x v="1"/>
    <x v="1115"/>
    <n v="19.7"/>
    <n v="94.01"/>
    <n v="97.98"/>
    <n v="78.91"/>
    <s v="IPX8"/>
    <n v="9.1"/>
    <n v="1.7"/>
    <x v="1"/>
    <x v="4"/>
    <x v="1"/>
    <n v="62.9"/>
  </r>
  <r>
    <x v="13"/>
    <x v="8"/>
    <x v="3"/>
    <x v="8"/>
    <x v="1"/>
    <x v="1116"/>
    <n v="60.8"/>
    <n v="93.11"/>
    <n v="96.03"/>
    <n v="83.32"/>
    <s v="IP68"/>
    <n v="9"/>
    <n v="2.2000000000000002"/>
    <x v="1"/>
    <x v="6"/>
    <x v="2"/>
    <n v="63.5"/>
  </r>
  <r>
    <x v="13"/>
    <x v="5"/>
    <x v="4"/>
    <x v="5"/>
    <x v="2"/>
    <x v="1117"/>
    <n v="485.5"/>
    <n v="92.68"/>
    <n v="98.6"/>
    <n v="75.319999999999993"/>
    <s v="IPX8"/>
    <n v="7.3"/>
    <n v="4.7"/>
    <x v="2"/>
    <x v="0"/>
    <x v="0"/>
    <n v="60.1"/>
  </r>
  <r>
    <x v="13"/>
    <x v="1"/>
    <x v="1"/>
    <x v="1"/>
    <x v="1"/>
    <x v="1118"/>
    <n v="45.3"/>
    <n v="96.58"/>
    <n v="96.7"/>
    <n v="81.14"/>
    <s v="IPX8"/>
    <n v="8.1"/>
    <n v="4.5"/>
    <x v="3"/>
    <x v="9"/>
    <x v="1"/>
    <n v="60.5"/>
  </r>
  <r>
    <x v="13"/>
    <x v="21"/>
    <x v="1"/>
    <x v="21"/>
    <x v="1"/>
    <x v="1119"/>
    <n v="67.2"/>
    <n v="92.99"/>
    <n v="97.08"/>
    <n v="84.88"/>
    <s v="IP68"/>
    <n v="8.1999999999999993"/>
    <n v="2.2999999999999998"/>
    <x v="1"/>
    <x v="7"/>
    <x v="1"/>
    <n v="62.6"/>
  </r>
  <r>
    <x v="13"/>
    <x v="24"/>
    <x v="2"/>
    <x v="24"/>
    <x v="2"/>
    <x v="1120"/>
    <n v="106.5"/>
    <n v="95.27"/>
    <n v="96.15"/>
    <n v="76.52"/>
    <s v="IP68"/>
    <n v="7.5"/>
    <n v="4.3"/>
    <x v="2"/>
    <x v="12"/>
    <x v="0"/>
    <n v="59.7"/>
  </r>
  <r>
    <x v="13"/>
    <x v="6"/>
    <x v="5"/>
    <x v="6"/>
    <x v="2"/>
    <x v="1121"/>
    <n v="166.1"/>
    <n v="94.55"/>
    <n v="94.69"/>
    <n v="72.08"/>
    <s v="IPX8"/>
    <n v="7.1"/>
    <n v="4.4000000000000004"/>
    <x v="2"/>
    <x v="6"/>
    <x v="2"/>
    <n v="59.1"/>
  </r>
  <r>
    <x v="13"/>
    <x v="10"/>
    <x v="7"/>
    <x v="10"/>
    <x v="4"/>
    <x v="482"/>
    <n v="181.5"/>
    <n v="91.14"/>
    <n v="96.3"/>
    <n v="91.23"/>
    <s v="IPX8"/>
    <n v="9"/>
    <m/>
    <x v="2"/>
    <x v="0"/>
    <x v="2"/>
    <n v="77.7"/>
  </r>
  <r>
    <x v="13"/>
    <x v="11"/>
    <x v="1"/>
    <x v="11"/>
    <x v="1"/>
    <x v="1122"/>
    <n v="29.6"/>
    <n v="96.91"/>
    <n v="97.22"/>
    <n v="76.22"/>
    <s v="IPX8"/>
    <n v="8.1"/>
    <n v="1.7"/>
    <x v="1"/>
    <x v="3"/>
    <x v="1"/>
    <n v="61.3"/>
  </r>
  <r>
    <x v="13"/>
    <x v="13"/>
    <x v="0"/>
    <x v="13"/>
    <x v="0"/>
    <x v="1123"/>
    <n v="149.4"/>
    <n v="94.69"/>
    <n v="96.33"/>
    <n v="74.489999999999995"/>
    <s v="IPX4"/>
    <n v="7.5"/>
    <m/>
    <x v="0"/>
    <x v="0"/>
    <x v="0"/>
    <n v="71.7"/>
  </r>
  <r>
    <x v="13"/>
    <x v="9"/>
    <x v="6"/>
    <x v="9"/>
    <x v="3"/>
    <x v="9"/>
    <n v="124"/>
    <n v="88"/>
    <n v="96.47"/>
    <n v="71.819999999999993"/>
    <s v="IPX7"/>
    <n v="6.8"/>
    <m/>
    <x v="2"/>
    <x v="8"/>
    <x v="0"/>
    <n v="67.8"/>
  </r>
  <r>
    <x v="13"/>
    <x v="10"/>
    <x v="7"/>
    <x v="10"/>
    <x v="4"/>
    <x v="1124"/>
    <n v="175.4"/>
    <n v="90.66"/>
    <n v="94.88"/>
    <n v="90.85"/>
    <s v="IPX8"/>
    <n v="9"/>
    <m/>
    <x v="2"/>
    <x v="12"/>
    <x v="0"/>
    <n v="77.3"/>
  </r>
  <r>
    <x v="13"/>
    <x v="15"/>
    <x v="8"/>
    <x v="15"/>
    <x v="1"/>
    <x v="1125"/>
    <n v="46.6"/>
    <n v="95.72"/>
    <n v="95.63"/>
    <n v="81.96"/>
    <s v="5ATM"/>
    <n v="8.3000000000000007"/>
    <n v="2.4"/>
    <x v="1"/>
    <x v="7"/>
    <x v="0"/>
    <n v="62"/>
  </r>
  <r>
    <x v="13"/>
    <x v="0"/>
    <x v="0"/>
    <x v="0"/>
    <x v="0"/>
    <x v="1126"/>
    <n v="94.1"/>
    <n v="92.25"/>
    <n v="96.4"/>
    <n v="70.97"/>
    <s v="IPX4"/>
    <n v="7.3"/>
    <m/>
    <x v="2"/>
    <x v="2"/>
    <x v="0"/>
    <n v="68.8"/>
  </r>
  <r>
    <x v="13"/>
    <x v="10"/>
    <x v="7"/>
    <x v="10"/>
    <x v="4"/>
    <x v="1127"/>
    <n v="186.6"/>
    <n v="89.03"/>
    <n v="93.63"/>
    <n v="90.5"/>
    <s v="IPX7"/>
    <n v="7.2"/>
    <m/>
    <x v="2"/>
    <x v="12"/>
    <x v="0"/>
    <n v="73"/>
  </r>
  <r>
    <x v="13"/>
    <x v="24"/>
    <x v="2"/>
    <x v="24"/>
    <x v="1"/>
    <x v="1128"/>
    <n v="46.1"/>
    <n v="96.36"/>
    <n v="96.24"/>
    <n v="78.099999999999994"/>
    <s v="IP68"/>
    <n v="8.5"/>
    <n v="2.1"/>
    <x v="3"/>
    <x v="5"/>
    <x v="0"/>
    <n v="62.1"/>
  </r>
  <r>
    <x v="13"/>
    <x v="10"/>
    <x v="7"/>
    <x v="10"/>
    <x v="4"/>
    <x v="1129"/>
    <n v="176.6"/>
    <n v="88.9"/>
    <n v="96.24"/>
    <n v="87.41"/>
    <s v="IPX8"/>
    <n v="7.2"/>
    <m/>
    <x v="2"/>
    <x v="11"/>
    <x v="2"/>
    <n v="72.900000000000006"/>
  </r>
  <r>
    <x v="13"/>
    <x v="20"/>
    <x v="0"/>
    <x v="20"/>
    <x v="2"/>
    <x v="1130"/>
    <n v="98.1"/>
    <n v="92.48"/>
    <n v="95.35"/>
    <n v="71.180000000000007"/>
    <s v="5ATM"/>
    <n v="8"/>
    <n v="1.9"/>
    <x v="0"/>
    <x v="2"/>
    <x v="0"/>
    <n v="60.5"/>
  </r>
  <r>
    <x v="13"/>
    <x v="25"/>
    <x v="5"/>
    <x v="25"/>
    <x v="1"/>
    <x v="1131"/>
    <n v="67.400000000000006"/>
    <n v="95.04"/>
    <n v="93.14"/>
    <n v="82.4"/>
    <s v="IPX8"/>
    <n v="8.1999999999999993"/>
    <n v="1.5"/>
    <x v="1"/>
    <x v="5"/>
    <x v="2"/>
    <n v="62.4"/>
  </r>
  <r>
    <x v="13"/>
    <x v="9"/>
    <x v="6"/>
    <x v="9"/>
    <x v="3"/>
    <x v="9"/>
    <n v="143.4"/>
    <n v="91.92"/>
    <n v="93.59"/>
    <n v="78.84"/>
    <s v="IPX4"/>
    <n v="7"/>
    <m/>
    <x v="2"/>
    <x v="0"/>
    <x v="0"/>
    <n v="70.3"/>
  </r>
  <r>
    <x v="13"/>
    <x v="3"/>
    <x v="2"/>
    <x v="3"/>
    <x v="2"/>
    <x v="1132"/>
    <n v="124.3"/>
    <n v="97.89"/>
    <n v="95.15"/>
    <n v="71.05"/>
    <s v="5ATM"/>
    <n v="7.5"/>
    <n v="2.6"/>
    <x v="2"/>
    <x v="0"/>
    <x v="0"/>
    <n v="60.6"/>
  </r>
  <r>
    <x v="13"/>
    <x v="16"/>
    <x v="4"/>
    <x v="16"/>
    <x v="2"/>
    <x v="1133"/>
    <n v="449.7"/>
    <n v="95.06"/>
    <n v="98.51"/>
    <n v="75.349999999999994"/>
    <s v="IPX8"/>
    <n v="8"/>
    <n v="4.4000000000000004"/>
    <x v="2"/>
    <x v="1"/>
    <x v="0"/>
    <n v="61.9"/>
  </r>
  <r>
    <x v="13"/>
    <x v="23"/>
    <x v="8"/>
    <x v="23"/>
    <x v="1"/>
    <x v="1134"/>
    <n v="32.5"/>
    <n v="96.47"/>
    <n v="95.92"/>
    <n v="80.83"/>
    <s v="IPX8"/>
    <n v="7.4"/>
    <n v="4.0999999999999996"/>
    <x v="3"/>
    <x v="7"/>
    <x v="2"/>
    <n v="59.1"/>
  </r>
  <r>
    <x v="13"/>
    <x v="8"/>
    <x v="3"/>
    <x v="8"/>
    <x v="1"/>
    <x v="1135"/>
    <n v="67.8"/>
    <n v="92.84"/>
    <n v="96.97"/>
    <n v="75.459999999999994"/>
    <s v="5ATM"/>
    <n v="9.4"/>
    <n v="2"/>
    <x v="1"/>
    <x v="10"/>
    <x v="2"/>
    <n v="63.2"/>
  </r>
  <r>
    <x v="13"/>
    <x v="6"/>
    <x v="5"/>
    <x v="6"/>
    <x v="2"/>
    <x v="1136"/>
    <n v="235"/>
    <n v="97.68"/>
    <n v="95.27"/>
    <n v="78.86"/>
    <s v="5ATM"/>
    <n v="9.3000000000000007"/>
    <n v="1.7"/>
    <x v="2"/>
    <x v="2"/>
    <x v="0"/>
    <n v="66.3"/>
  </r>
  <r>
    <x v="13"/>
    <x v="10"/>
    <x v="7"/>
    <x v="10"/>
    <x v="4"/>
    <x v="1137"/>
    <n v="184.9"/>
    <n v="89.21"/>
    <n v="95.8"/>
    <n v="87.64"/>
    <s v="IPX8"/>
    <n v="7.3"/>
    <m/>
    <x v="2"/>
    <x v="0"/>
    <x v="0"/>
    <n v="73.099999999999994"/>
  </r>
  <r>
    <x v="13"/>
    <x v="22"/>
    <x v="8"/>
    <x v="22"/>
    <x v="1"/>
    <x v="1138"/>
    <n v="61.9"/>
    <n v="95.6"/>
    <n v="95.31"/>
    <n v="79.77"/>
    <s v="IPX8"/>
    <n v="7"/>
    <n v="4.2"/>
    <x v="1"/>
    <x v="3"/>
    <x v="2"/>
    <n v="58.5"/>
  </r>
  <r>
    <x v="13"/>
    <x v="8"/>
    <x v="3"/>
    <x v="8"/>
    <x v="1"/>
    <x v="1139"/>
    <n v="37.9"/>
    <n v="93.07"/>
    <n v="97.33"/>
    <n v="76.87"/>
    <s v="5ATM"/>
    <n v="8.5"/>
    <n v="2.1"/>
    <x v="1"/>
    <x v="1"/>
    <x v="2"/>
    <n v="61.4"/>
  </r>
  <r>
    <x v="13"/>
    <x v="19"/>
    <x v="9"/>
    <x v="19"/>
    <x v="0"/>
    <x v="1140"/>
    <n v="157.19999999999999"/>
    <n v="91.27"/>
    <n v="93.18"/>
    <n v="70.489999999999995"/>
    <s v="3ATM"/>
    <n v="6.5"/>
    <m/>
    <x v="2"/>
    <x v="2"/>
    <x v="0"/>
    <n v="67.7"/>
  </r>
  <r>
    <x v="13"/>
    <x v="14"/>
    <x v="9"/>
    <x v="14"/>
    <x v="2"/>
    <x v="1141"/>
    <n v="80"/>
    <n v="94.75"/>
    <n v="96.96"/>
    <n v="72.63"/>
    <s v="5ATM"/>
    <n v="6.4"/>
    <n v="4.2"/>
    <x v="2"/>
    <x v="2"/>
    <x v="0"/>
    <n v="56.8"/>
  </r>
  <r>
    <x v="13"/>
    <x v="9"/>
    <x v="6"/>
    <x v="9"/>
    <x v="3"/>
    <x v="9"/>
    <n v="149.19999999999999"/>
    <n v="88.94"/>
    <n v="93.86"/>
    <n v="77.66"/>
    <s v="3ATM"/>
    <n v="6.5"/>
    <m/>
    <x v="2"/>
    <x v="0"/>
    <x v="0"/>
    <n v="68.599999999999994"/>
  </r>
  <r>
    <x v="13"/>
    <x v="10"/>
    <x v="7"/>
    <x v="10"/>
    <x v="4"/>
    <x v="1142"/>
    <n v="177.6"/>
    <n v="86.59"/>
    <n v="96.94"/>
    <n v="89.43"/>
    <s v="IPX8"/>
    <n v="7.7"/>
    <m/>
    <x v="2"/>
    <x v="8"/>
    <x v="0"/>
    <n v="74"/>
  </r>
  <r>
    <x v="13"/>
    <x v="7"/>
    <x v="4"/>
    <x v="7"/>
    <x v="2"/>
    <x v="1143"/>
    <n v="560.79999999999995"/>
    <n v="92.58"/>
    <n v="98.74"/>
    <n v="78.31"/>
    <s v="10ATM"/>
    <n v="8.1999999999999993"/>
    <n v="3.3"/>
    <x v="0"/>
    <x v="12"/>
    <x v="0"/>
    <n v="63.1"/>
  </r>
  <r>
    <x v="13"/>
    <x v="16"/>
    <x v="4"/>
    <x v="16"/>
    <x v="1"/>
    <x v="1144"/>
    <n v="247.9"/>
    <n v="94.83"/>
    <n v="98.41"/>
    <n v="76.98"/>
    <s v="IPX8"/>
    <n v="7.6"/>
    <n v="2.6"/>
    <x v="3"/>
    <x v="3"/>
    <x v="0"/>
    <n v="62.6"/>
  </r>
  <r>
    <x v="13"/>
    <x v="1"/>
    <x v="1"/>
    <x v="1"/>
    <x v="1"/>
    <x v="1145"/>
    <n v="44.7"/>
    <n v="97.5"/>
    <n v="97.74"/>
    <n v="78.069999999999993"/>
    <s v="IPX8"/>
    <n v="8.5"/>
    <n v="2.2000000000000002"/>
    <x v="3"/>
    <x v="5"/>
    <x v="1"/>
    <n v="62.5"/>
  </r>
  <r>
    <x v="13"/>
    <x v="15"/>
    <x v="8"/>
    <x v="15"/>
    <x v="1"/>
    <x v="1146"/>
    <n v="51.9"/>
    <n v="94.94"/>
    <n v="93.43"/>
    <n v="79.37"/>
    <s v="IPX8"/>
    <n v="8.1999999999999993"/>
    <n v="2.1"/>
    <x v="1"/>
    <x v="1"/>
    <x v="2"/>
    <n v="61.3"/>
  </r>
  <r>
    <x v="13"/>
    <x v="12"/>
    <x v="8"/>
    <x v="12"/>
    <x v="1"/>
    <x v="1147"/>
    <n v="69.8"/>
    <n v="95.18"/>
    <n v="96.67"/>
    <n v="75.22"/>
    <s v="5ATM"/>
    <n v="9.1"/>
    <n v="2.8"/>
    <x v="3"/>
    <x v="10"/>
    <x v="0"/>
    <n v="62.5"/>
  </r>
  <r>
    <x v="13"/>
    <x v="23"/>
    <x v="8"/>
    <x v="23"/>
    <x v="1"/>
    <x v="1148"/>
    <n v="40.1"/>
    <n v="97.94"/>
    <n v="93.1"/>
    <n v="81.819999999999993"/>
    <s v="IP68"/>
    <n v="6.4"/>
    <n v="2.7"/>
    <x v="3"/>
    <x v="1"/>
    <x v="2"/>
    <n v="58.5"/>
  </r>
  <r>
    <x v="13"/>
    <x v="9"/>
    <x v="6"/>
    <x v="9"/>
    <x v="3"/>
    <x v="9"/>
    <n v="138.30000000000001"/>
    <n v="88.83"/>
    <n v="94.9"/>
    <n v="71.53"/>
    <s v="3ATM"/>
    <n v="7.4"/>
    <m/>
    <x v="2"/>
    <x v="13"/>
    <x v="0"/>
    <n v="69.099999999999994"/>
  </r>
  <r>
    <x v="13"/>
    <x v="21"/>
    <x v="1"/>
    <x v="21"/>
    <x v="1"/>
    <x v="1149"/>
    <n v="19.399999999999999"/>
    <n v="96.86"/>
    <n v="97.47"/>
    <n v="78.349999999999994"/>
    <s v="IPX8"/>
    <n v="7.2"/>
    <n v="1.9"/>
    <x v="3"/>
    <x v="1"/>
    <x v="1"/>
    <n v="59.9"/>
  </r>
  <r>
    <x v="13"/>
    <x v="9"/>
    <x v="6"/>
    <x v="9"/>
    <x v="3"/>
    <x v="9"/>
    <n v="126"/>
    <n v="86.83"/>
    <n v="93.62"/>
    <n v="70.33"/>
    <s v="IPX7"/>
    <n v="7.6"/>
    <m/>
    <x v="2"/>
    <x v="8"/>
    <x v="2"/>
    <n v="68.400000000000006"/>
  </r>
  <r>
    <x v="13"/>
    <x v="14"/>
    <x v="9"/>
    <x v="14"/>
    <x v="1"/>
    <x v="1150"/>
    <n v="43.8"/>
    <n v="94.73"/>
    <n v="96.96"/>
    <n v="78.739999999999995"/>
    <s v="IP68"/>
    <n v="7.8"/>
    <n v="3.1"/>
    <x v="3"/>
    <x v="5"/>
    <x v="2"/>
    <n v="60.2"/>
  </r>
  <r>
    <x v="13"/>
    <x v="9"/>
    <x v="6"/>
    <x v="9"/>
    <x v="3"/>
    <x v="9"/>
    <n v="140.9"/>
    <n v="85.55"/>
    <n v="93.56"/>
    <n v="73.13"/>
    <s v="IPX7"/>
    <n v="7.8"/>
    <m/>
    <x v="2"/>
    <x v="11"/>
    <x v="2"/>
    <n v="69.400000000000006"/>
  </r>
  <r>
    <x v="13"/>
    <x v="5"/>
    <x v="4"/>
    <x v="5"/>
    <x v="1"/>
    <x v="1151"/>
    <n v="561.5"/>
    <n v="95.19"/>
    <n v="98.96"/>
    <n v="75.52"/>
    <s v="IPX8"/>
    <n v="7.5"/>
    <n v="3.2"/>
    <x v="3"/>
    <x v="10"/>
    <x v="0"/>
    <n v="62"/>
  </r>
  <r>
    <x v="14"/>
    <x v="28"/>
    <x v="4"/>
    <x v="28"/>
    <x v="2"/>
    <x v="1152"/>
    <n v="1706.1"/>
    <n v="92.9"/>
    <n v="98.03"/>
    <n v="76.81"/>
    <s v="10ATM"/>
    <n v="8.1"/>
    <n v="4.5999999999999996"/>
    <x v="2"/>
    <x v="2"/>
    <x v="0"/>
    <n v="61.7"/>
  </r>
  <r>
    <x v="14"/>
    <x v="21"/>
    <x v="1"/>
    <x v="21"/>
    <x v="1"/>
    <x v="1153"/>
    <n v="48.4"/>
    <n v="93.8"/>
    <n v="96.99"/>
    <n v="76.23"/>
    <s v="5ATM"/>
    <n v="9.1"/>
    <n v="5"/>
    <x v="3"/>
    <x v="5"/>
    <x v="1"/>
    <n v="60.6"/>
  </r>
  <r>
    <x v="14"/>
    <x v="10"/>
    <x v="7"/>
    <x v="10"/>
    <x v="4"/>
    <x v="1154"/>
    <n v="174.5"/>
    <n v="87.23"/>
    <n v="95.21"/>
    <n v="85.46"/>
    <s v="IPX7"/>
    <n v="8.6"/>
    <m/>
    <x v="2"/>
    <x v="11"/>
    <x v="2"/>
    <n v="74.8"/>
  </r>
  <r>
    <x v="14"/>
    <x v="26"/>
    <x v="9"/>
    <x v="26"/>
    <x v="2"/>
    <x v="1155"/>
    <n v="211.4"/>
    <n v="92.13"/>
    <n v="93.66"/>
    <n v="79.06"/>
    <s v="IPX8"/>
    <n v="7.5"/>
    <n v="3.2"/>
    <x v="2"/>
    <x v="6"/>
    <x v="2"/>
    <n v="61.2"/>
  </r>
  <r>
    <x v="14"/>
    <x v="11"/>
    <x v="1"/>
    <x v="11"/>
    <x v="1"/>
    <x v="1156"/>
    <n v="54.2"/>
    <n v="94.78"/>
    <n v="97.91"/>
    <n v="80.180000000000007"/>
    <s v="5ATM"/>
    <n v="7.1"/>
    <n v="2.4"/>
    <x v="3"/>
    <x v="6"/>
    <x v="1"/>
    <n v="60.1"/>
  </r>
  <r>
    <x v="14"/>
    <x v="1"/>
    <x v="1"/>
    <x v="1"/>
    <x v="1"/>
    <x v="1157"/>
    <n v="39.200000000000003"/>
    <n v="95.66"/>
    <n v="96.86"/>
    <n v="83.86"/>
    <s v="5ATM"/>
    <n v="8.5"/>
    <n v="1.7"/>
    <x v="1"/>
    <x v="3"/>
    <x v="1"/>
    <n v="63.2"/>
  </r>
  <r>
    <x v="14"/>
    <x v="10"/>
    <x v="7"/>
    <x v="10"/>
    <x v="4"/>
    <x v="1158"/>
    <n v="179.7"/>
    <n v="87.72"/>
    <n v="95.68"/>
    <n v="90.59"/>
    <s v="IPX7"/>
    <n v="8.3000000000000007"/>
    <m/>
    <x v="2"/>
    <x v="11"/>
    <x v="2"/>
    <n v="75.400000000000006"/>
  </r>
  <r>
    <x v="14"/>
    <x v="27"/>
    <x v="9"/>
    <x v="27"/>
    <x v="1"/>
    <x v="1159"/>
    <n v="41.5"/>
    <n v="92.74"/>
    <n v="95.58"/>
    <n v="84.43"/>
    <s v="IP68"/>
    <n v="8.1"/>
    <n v="2.6"/>
    <x v="3"/>
    <x v="7"/>
    <x v="2"/>
    <n v="61.4"/>
  </r>
  <r>
    <x v="14"/>
    <x v="19"/>
    <x v="9"/>
    <x v="19"/>
    <x v="0"/>
    <x v="1160"/>
    <n v="128"/>
    <n v="89.52"/>
    <n v="93.74"/>
    <n v="74"/>
    <s v="IPX7"/>
    <n v="7.9"/>
    <m/>
    <x v="2"/>
    <x v="0"/>
    <x v="2"/>
    <n v="70.3"/>
  </r>
  <r>
    <x v="14"/>
    <x v="10"/>
    <x v="7"/>
    <x v="10"/>
    <x v="4"/>
    <x v="1161"/>
    <n v="180.6"/>
    <n v="90.1"/>
    <n v="96.35"/>
    <n v="88.64"/>
    <s v="IPX8"/>
    <n v="9.1999999999999993"/>
    <m/>
    <x v="2"/>
    <x v="12"/>
    <x v="0"/>
    <n v="77.400000000000006"/>
  </r>
  <r>
    <x v="14"/>
    <x v="9"/>
    <x v="6"/>
    <x v="9"/>
    <x v="3"/>
    <x v="9"/>
    <n v="166.9"/>
    <n v="89.84"/>
    <n v="94.34"/>
    <n v="76.95"/>
    <s v="3ATM"/>
    <n v="6.7"/>
    <m/>
    <x v="2"/>
    <x v="8"/>
    <x v="2"/>
    <n v="69.599999999999994"/>
  </r>
  <r>
    <x v="14"/>
    <x v="27"/>
    <x v="9"/>
    <x v="27"/>
    <x v="1"/>
    <x v="1162"/>
    <n v="33.700000000000003"/>
    <n v="94.36"/>
    <n v="95.72"/>
    <n v="75.430000000000007"/>
    <s v="5ATM"/>
    <n v="7.7"/>
    <n v="4.7"/>
    <x v="1"/>
    <x v="10"/>
    <x v="0"/>
    <n v="58"/>
  </r>
  <r>
    <x v="14"/>
    <x v="11"/>
    <x v="1"/>
    <x v="11"/>
    <x v="1"/>
    <x v="1163"/>
    <n v="31.8"/>
    <n v="95.21"/>
    <n v="96.12"/>
    <n v="84.95"/>
    <s v="IP68"/>
    <n v="8.1999999999999993"/>
    <n v="4.4000000000000004"/>
    <x v="1"/>
    <x v="6"/>
    <x v="1"/>
    <n v="60.7"/>
  </r>
  <r>
    <x v="14"/>
    <x v="9"/>
    <x v="6"/>
    <x v="9"/>
    <x v="3"/>
    <x v="9"/>
    <n v="150.69999999999999"/>
    <n v="89.54"/>
    <n v="93.79"/>
    <n v="75.900000000000006"/>
    <s v="3ATM"/>
    <n v="6.2"/>
    <m/>
    <x v="2"/>
    <x v="0"/>
    <x v="0"/>
    <n v="67.8"/>
  </r>
  <r>
    <x v="14"/>
    <x v="5"/>
    <x v="4"/>
    <x v="5"/>
    <x v="2"/>
    <x v="1164"/>
    <n v="480.2"/>
    <n v="97.01"/>
    <n v="98.8"/>
    <n v="75.11"/>
    <s v="IPX8"/>
    <n v="9"/>
    <n v="2.5"/>
    <x v="2"/>
    <x v="0"/>
    <x v="0"/>
    <n v="65.2"/>
  </r>
  <r>
    <x v="14"/>
    <x v="17"/>
    <x v="3"/>
    <x v="17"/>
    <x v="1"/>
    <x v="1165"/>
    <n v="18.5"/>
    <n v="97.17"/>
    <n v="96.13"/>
    <n v="83.53"/>
    <s v="IPX8"/>
    <n v="8.4"/>
    <n v="2.7"/>
    <x v="3"/>
    <x v="5"/>
    <x v="2"/>
    <n v="62"/>
  </r>
  <r>
    <x v="14"/>
    <x v="23"/>
    <x v="8"/>
    <x v="23"/>
    <x v="1"/>
    <x v="1166"/>
    <n v="57.4"/>
    <n v="95.35"/>
    <n v="93.6"/>
    <n v="78.900000000000006"/>
    <s v="IPX8"/>
    <n v="7.7"/>
    <n v="3.5"/>
    <x v="1"/>
    <x v="10"/>
    <x v="0"/>
    <n v="59.6"/>
  </r>
  <r>
    <x v="14"/>
    <x v="24"/>
    <x v="2"/>
    <x v="24"/>
    <x v="1"/>
    <x v="1167"/>
    <n v="43.7"/>
    <n v="93.88"/>
    <n v="93.24"/>
    <n v="79.95"/>
    <s v="5ATM"/>
    <n v="7.5"/>
    <n v="4.3"/>
    <x v="3"/>
    <x v="1"/>
    <x v="0"/>
    <n v="58.3"/>
  </r>
  <r>
    <x v="14"/>
    <x v="18"/>
    <x v="4"/>
    <x v="18"/>
    <x v="2"/>
    <x v="1168"/>
    <n v="451.5"/>
    <n v="93.31"/>
    <n v="98.04"/>
    <n v="73.63"/>
    <s v="5ATM"/>
    <n v="8.6999999999999993"/>
    <n v="2.2000000000000002"/>
    <x v="0"/>
    <x v="6"/>
    <x v="0"/>
    <n v="63.9"/>
  </r>
  <r>
    <x v="14"/>
    <x v="6"/>
    <x v="5"/>
    <x v="6"/>
    <x v="1"/>
    <x v="1169"/>
    <n v="47.2"/>
    <n v="94.43"/>
    <n v="96.03"/>
    <n v="77.86"/>
    <s v="IP68"/>
    <n v="9.1999999999999993"/>
    <n v="4.5999999999999996"/>
    <x v="1"/>
    <x v="4"/>
    <x v="0"/>
    <n v="61.3"/>
  </r>
  <r>
    <x v="14"/>
    <x v="7"/>
    <x v="4"/>
    <x v="7"/>
    <x v="1"/>
    <x v="1170"/>
    <n v="435.2"/>
    <n v="95.26"/>
    <n v="98.19"/>
    <n v="80.03"/>
    <s v="10ATM"/>
    <n v="8.4"/>
    <n v="2.9"/>
    <x v="3"/>
    <x v="5"/>
    <x v="0"/>
    <n v="64.3"/>
  </r>
  <r>
    <x v="14"/>
    <x v="15"/>
    <x v="8"/>
    <x v="15"/>
    <x v="1"/>
    <x v="1171"/>
    <n v="60.6"/>
    <n v="92.16"/>
    <n v="94.64"/>
    <n v="75.37"/>
    <s v="IPX8"/>
    <n v="6.2"/>
    <n v="2.6"/>
    <x v="3"/>
    <x v="10"/>
    <x v="2"/>
    <n v="56.8"/>
  </r>
  <r>
    <x v="14"/>
    <x v="18"/>
    <x v="4"/>
    <x v="18"/>
    <x v="1"/>
    <x v="1172"/>
    <n v="424.4"/>
    <n v="95.56"/>
    <n v="99.22"/>
    <n v="77.22"/>
    <s v="IPX8"/>
    <n v="8.1"/>
    <n v="2.8"/>
    <x v="3"/>
    <x v="1"/>
    <x v="0"/>
    <n v="63.6"/>
  </r>
  <r>
    <x v="14"/>
    <x v="24"/>
    <x v="2"/>
    <x v="24"/>
    <x v="1"/>
    <x v="1173"/>
    <n v="36.6"/>
    <n v="95.72"/>
    <n v="95.27"/>
    <n v="79.900000000000006"/>
    <s v="5ATM"/>
    <n v="8.1"/>
    <n v="4.9000000000000004"/>
    <x v="3"/>
    <x v="5"/>
    <x v="0"/>
    <n v="59.4"/>
  </r>
  <r>
    <x v="14"/>
    <x v="6"/>
    <x v="5"/>
    <x v="6"/>
    <x v="1"/>
    <x v="1174"/>
    <n v="52.4"/>
    <n v="94.59"/>
    <n v="96.37"/>
    <n v="79.069999999999993"/>
    <s v="IP68"/>
    <n v="8.5"/>
    <n v="2"/>
    <x v="3"/>
    <x v="5"/>
    <x v="0"/>
    <n v="62.2"/>
  </r>
  <r>
    <x v="14"/>
    <x v="13"/>
    <x v="0"/>
    <x v="13"/>
    <x v="0"/>
    <x v="1175"/>
    <n v="239.5"/>
    <n v="91.24"/>
    <n v="95.03"/>
    <n v="73.88"/>
    <s v="3ATM"/>
    <n v="8.5"/>
    <m/>
    <x v="2"/>
    <x v="2"/>
    <x v="0"/>
    <n v="73"/>
  </r>
  <r>
    <x v="14"/>
    <x v="8"/>
    <x v="3"/>
    <x v="8"/>
    <x v="1"/>
    <x v="1176"/>
    <n v="62.8"/>
    <n v="94.51"/>
    <n v="97.82"/>
    <n v="75"/>
    <s v="IPX8"/>
    <n v="7.1"/>
    <n v="4"/>
    <x v="1"/>
    <x v="1"/>
    <x v="2"/>
    <n v="58.3"/>
  </r>
  <r>
    <x v="14"/>
    <x v="9"/>
    <x v="6"/>
    <x v="9"/>
    <x v="3"/>
    <x v="9"/>
    <n v="135.30000000000001"/>
    <n v="87.97"/>
    <n v="95.77"/>
    <n v="74.14"/>
    <s v="3ATM"/>
    <n v="6.7"/>
    <m/>
    <x v="2"/>
    <x v="8"/>
    <x v="0"/>
    <n v="68.2"/>
  </r>
  <r>
    <x v="14"/>
    <x v="6"/>
    <x v="5"/>
    <x v="6"/>
    <x v="1"/>
    <x v="1177"/>
    <n v="36.1"/>
    <n v="93.09"/>
    <n v="94.7"/>
    <n v="83.93"/>
    <s v="IP68"/>
    <n v="7.5"/>
    <n v="4.4000000000000004"/>
    <x v="1"/>
    <x v="6"/>
    <x v="0"/>
    <n v="58.9"/>
  </r>
  <r>
    <x v="14"/>
    <x v="26"/>
    <x v="9"/>
    <x v="26"/>
    <x v="1"/>
    <x v="1178"/>
    <n v="60.3"/>
    <n v="94.76"/>
    <n v="93.5"/>
    <n v="83.58"/>
    <s v="IPX8"/>
    <n v="6.9"/>
    <n v="5"/>
    <x v="1"/>
    <x v="10"/>
    <x v="0"/>
    <n v="58"/>
  </r>
  <r>
    <x v="14"/>
    <x v="8"/>
    <x v="3"/>
    <x v="8"/>
    <x v="1"/>
    <x v="1179"/>
    <n v="43.3"/>
    <n v="97.5"/>
    <n v="97.34"/>
    <n v="75.75"/>
    <s v="IPX8"/>
    <n v="8.6"/>
    <n v="3"/>
    <x v="1"/>
    <x v="5"/>
    <x v="2"/>
    <n v="61.6"/>
  </r>
  <r>
    <x v="14"/>
    <x v="4"/>
    <x v="3"/>
    <x v="4"/>
    <x v="1"/>
    <x v="1180"/>
    <n v="58.2"/>
    <n v="93.36"/>
    <n v="98.04"/>
    <n v="82.94"/>
    <s v="5ATM"/>
    <n v="9.1999999999999993"/>
    <n v="2"/>
    <x v="1"/>
    <x v="7"/>
    <x v="2"/>
    <n v="64.2"/>
  </r>
  <r>
    <x v="14"/>
    <x v="3"/>
    <x v="2"/>
    <x v="3"/>
    <x v="1"/>
    <x v="1181"/>
    <n v="23.8"/>
    <n v="92.13"/>
    <n v="93.62"/>
    <n v="80"/>
    <s v="IP68"/>
    <n v="7.4"/>
    <n v="3.9"/>
    <x v="1"/>
    <x v="1"/>
    <x v="0"/>
    <n v="57.8"/>
  </r>
  <r>
    <x v="14"/>
    <x v="6"/>
    <x v="5"/>
    <x v="6"/>
    <x v="2"/>
    <x v="1182"/>
    <n v="201.9"/>
    <n v="97.37"/>
    <n v="95.7"/>
    <n v="71.150000000000006"/>
    <s v="IP68"/>
    <n v="7.8"/>
    <n v="1.7"/>
    <x v="0"/>
    <x v="12"/>
    <x v="2"/>
    <n v="62.6"/>
  </r>
  <r>
    <x v="14"/>
    <x v="4"/>
    <x v="3"/>
    <x v="4"/>
    <x v="1"/>
    <x v="1183"/>
    <n v="40.799999999999997"/>
    <n v="96.54"/>
    <n v="96.79"/>
    <n v="78.2"/>
    <s v="5ATM"/>
    <n v="8.1"/>
    <n v="3.2"/>
    <x v="1"/>
    <x v="3"/>
    <x v="2"/>
    <n v="60.8"/>
  </r>
  <r>
    <x v="14"/>
    <x v="10"/>
    <x v="7"/>
    <x v="10"/>
    <x v="4"/>
    <x v="1184"/>
    <n v="185.1"/>
    <n v="90.2"/>
    <n v="93.19"/>
    <n v="91.18"/>
    <s v="IPX7"/>
    <n v="8.3000000000000007"/>
    <m/>
    <x v="2"/>
    <x v="0"/>
    <x v="0"/>
    <n v="75.5"/>
  </r>
  <r>
    <x v="14"/>
    <x v="2"/>
    <x v="0"/>
    <x v="2"/>
    <x v="2"/>
    <x v="1185"/>
    <n v="115.7"/>
    <n v="92.95"/>
    <n v="93.88"/>
    <n v="75.849999999999994"/>
    <s v="IP68"/>
    <n v="7.9"/>
    <n v="4.3"/>
    <x v="0"/>
    <x v="1"/>
    <x v="0"/>
    <n v="59.7"/>
  </r>
  <r>
    <x v="14"/>
    <x v="10"/>
    <x v="7"/>
    <x v="10"/>
    <x v="4"/>
    <x v="1186"/>
    <n v="190.1"/>
    <n v="88.56"/>
    <n v="96.52"/>
    <n v="91.05"/>
    <s v="IPX8"/>
    <n v="8.1999999999999993"/>
    <m/>
    <x v="2"/>
    <x v="12"/>
    <x v="0"/>
    <n v="75.599999999999994"/>
  </r>
  <r>
    <x v="14"/>
    <x v="17"/>
    <x v="3"/>
    <x v="17"/>
    <x v="1"/>
    <x v="1187"/>
    <n v="55.5"/>
    <n v="92.03"/>
    <n v="97.12"/>
    <n v="78.14"/>
    <s v="5ATM"/>
    <n v="8.1999999999999993"/>
    <n v="2.2000000000000002"/>
    <x v="1"/>
    <x v="3"/>
    <x v="2"/>
    <n v="61.2"/>
  </r>
  <r>
    <x v="14"/>
    <x v="24"/>
    <x v="2"/>
    <x v="24"/>
    <x v="2"/>
    <x v="1188"/>
    <n v="178.8"/>
    <n v="93.41"/>
    <n v="96.68"/>
    <n v="77.400000000000006"/>
    <s v="IP68"/>
    <n v="8.3000000000000007"/>
    <n v="2.6"/>
    <x v="0"/>
    <x v="12"/>
    <x v="0"/>
    <n v="63.3"/>
  </r>
  <r>
    <x v="14"/>
    <x v="20"/>
    <x v="0"/>
    <x v="20"/>
    <x v="2"/>
    <x v="1189"/>
    <n v="173.2"/>
    <n v="95.78"/>
    <n v="94.53"/>
    <n v="73.09"/>
    <s v="5ATM"/>
    <n v="7.9"/>
    <n v="3.9"/>
    <x v="0"/>
    <x v="10"/>
    <x v="0"/>
    <n v="61.1"/>
  </r>
  <r>
    <x v="14"/>
    <x v="3"/>
    <x v="2"/>
    <x v="3"/>
    <x v="1"/>
    <x v="1190"/>
    <n v="35.799999999999997"/>
    <n v="97.77"/>
    <n v="95.56"/>
    <n v="78.05"/>
    <s v="5ATM"/>
    <n v="7.2"/>
    <n v="3.4"/>
    <x v="1"/>
    <x v="7"/>
    <x v="0"/>
    <n v="59"/>
  </r>
  <r>
    <x v="14"/>
    <x v="24"/>
    <x v="2"/>
    <x v="24"/>
    <x v="1"/>
    <x v="1191"/>
    <n v="70.7"/>
    <n v="95.47"/>
    <n v="95.84"/>
    <n v="81.63"/>
    <s v="5ATM"/>
    <n v="8.1999999999999993"/>
    <n v="1.7"/>
    <x v="1"/>
    <x v="10"/>
    <x v="0"/>
    <n v="62.8"/>
  </r>
  <r>
    <x v="14"/>
    <x v="16"/>
    <x v="4"/>
    <x v="16"/>
    <x v="2"/>
    <x v="1192"/>
    <n v="268.2"/>
    <n v="92.06"/>
    <n v="98.79"/>
    <n v="73.12"/>
    <s v="IPX8"/>
    <n v="8"/>
    <n v="4.0999999999999996"/>
    <x v="2"/>
    <x v="10"/>
    <x v="0"/>
    <n v="61.3"/>
  </r>
  <r>
    <x v="14"/>
    <x v="13"/>
    <x v="0"/>
    <x v="13"/>
    <x v="0"/>
    <x v="1193"/>
    <n v="230.7"/>
    <n v="89.08"/>
    <n v="95.85"/>
    <n v="74.47"/>
    <s v="3ATM"/>
    <n v="7.2"/>
    <m/>
    <x v="0"/>
    <x v="1"/>
    <x v="0"/>
    <n v="70.3"/>
  </r>
  <r>
    <x v="14"/>
    <x v="1"/>
    <x v="1"/>
    <x v="1"/>
    <x v="1"/>
    <x v="402"/>
    <n v="30.1"/>
    <n v="92.94"/>
    <n v="96.77"/>
    <n v="84.37"/>
    <s v="5ATM"/>
    <n v="7.7"/>
    <n v="4.9000000000000004"/>
    <x v="1"/>
    <x v="7"/>
    <x v="1"/>
    <n v="59.2"/>
  </r>
  <r>
    <x v="14"/>
    <x v="25"/>
    <x v="5"/>
    <x v="25"/>
    <x v="1"/>
    <x v="1194"/>
    <n v="63.7"/>
    <n v="95.7"/>
    <n v="96.25"/>
    <n v="82.06"/>
    <s v="IPX8"/>
    <n v="8.4"/>
    <n v="3.6"/>
    <x v="3"/>
    <x v="9"/>
    <x v="2"/>
    <n v="61.9"/>
  </r>
  <r>
    <x v="14"/>
    <x v="3"/>
    <x v="2"/>
    <x v="3"/>
    <x v="1"/>
    <x v="1195"/>
    <n v="30.5"/>
    <n v="92.46"/>
    <n v="95.42"/>
    <n v="81.14"/>
    <s v="IP68"/>
    <n v="7.6"/>
    <n v="4.2"/>
    <x v="1"/>
    <x v="3"/>
    <x v="0"/>
    <n v="58.6"/>
  </r>
  <r>
    <x v="14"/>
    <x v="24"/>
    <x v="2"/>
    <x v="24"/>
    <x v="2"/>
    <x v="1196"/>
    <n v="165.4"/>
    <n v="96.8"/>
    <n v="94.15"/>
    <n v="78.84"/>
    <s v="5ATM"/>
    <n v="7.8"/>
    <n v="2.1"/>
    <x v="2"/>
    <x v="10"/>
    <x v="0"/>
    <n v="63.2"/>
  </r>
  <r>
    <x v="14"/>
    <x v="23"/>
    <x v="8"/>
    <x v="23"/>
    <x v="1"/>
    <x v="1197"/>
    <n v="65.3"/>
    <n v="93.05"/>
    <n v="96.64"/>
    <n v="78.489999999999995"/>
    <s v="IPX8"/>
    <n v="8.6"/>
    <n v="3"/>
    <x v="3"/>
    <x v="3"/>
    <x v="2"/>
    <n v="61.7"/>
  </r>
  <r>
    <x v="14"/>
    <x v="19"/>
    <x v="9"/>
    <x v="19"/>
    <x v="0"/>
    <x v="1198"/>
    <n v="86.3"/>
    <n v="88.67"/>
    <n v="93.53"/>
    <n v="78.2"/>
    <s v="IPX4"/>
    <n v="7.9"/>
    <m/>
    <x v="2"/>
    <x v="10"/>
    <x v="2"/>
    <n v="69.900000000000006"/>
  </r>
  <r>
    <x v="14"/>
    <x v="1"/>
    <x v="1"/>
    <x v="1"/>
    <x v="1"/>
    <x v="1199"/>
    <n v="70.400000000000006"/>
    <n v="92.47"/>
    <n v="97.43"/>
    <n v="77.180000000000007"/>
    <s v="5ATM"/>
    <n v="8.4"/>
    <n v="2.8"/>
    <x v="1"/>
    <x v="3"/>
    <x v="1"/>
    <n v="61.4"/>
  </r>
  <r>
    <x v="14"/>
    <x v="22"/>
    <x v="8"/>
    <x v="22"/>
    <x v="1"/>
    <x v="1200"/>
    <n v="21.3"/>
    <n v="97.98"/>
    <n v="93.85"/>
    <n v="81.569999999999993"/>
    <s v="IP68"/>
    <n v="8.1999999999999993"/>
    <n v="3.9"/>
    <x v="1"/>
    <x v="10"/>
    <x v="2"/>
    <n v="60.4"/>
  </r>
  <r>
    <x v="14"/>
    <x v="22"/>
    <x v="8"/>
    <x v="22"/>
    <x v="1"/>
    <x v="1201"/>
    <n v="34.799999999999997"/>
    <n v="95.12"/>
    <n v="93.93"/>
    <n v="75.92"/>
    <s v="5ATM"/>
    <n v="7.9"/>
    <n v="4.2"/>
    <x v="3"/>
    <x v="10"/>
    <x v="0"/>
    <n v="58.6"/>
  </r>
  <r>
    <x v="14"/>
    <x v="28"/>
    <x v="4"/>
    <x v="28"/>
    <x v="1"/>
    <x v="1202"/>
    <n v="1145.8"/>
    <n v="92.71"/>
    <n v="98.01"/>
    <n v="83.18"/>
    <s v="5ATM"/>
    <n v="8.9"/>
    <n v="4.9000000000000004"/>
    <x v="1"/>
    <x v="5"/>
    <x v="0"/>
    <n v="63.9"/>
  </r>
  <r>
    <x v="14"/>
    <x v="25"/>
    <x v="5"/>
    <x v="25"/>
    <x v="1"/>
    <x v="1203"/>
    <n v="37.4"/>
    <n v="92.92"/>
    <n v="95.43"/>
    <n v="80.430000000000007"/>
    <s v="5ATM"/>
    <n v="8.6"/>
    <n v="4"/>
    <x v="1"/>
    <x v="4"/>
    <x v="0"/>
    <n v="60.5"/>
  </r>
  <r>
    <x v="14"/>
    <x v="20"/>
    <x v="0"/>
    <x v="20"/>
    <x v="2"/>
    <x v="1204"/>
    <n v="92.3"/>
    <n v="93.58"/>
    <n v="95.22"/>
    <n v="79.3"/>
    <s v="IP68"/>
    <n v="6.2"/>
    <n v="4.5"/>
    <x v="0"/>
    <x v="0"/>
    <x v="0"/>
    <n v="57.2"/>
  </r>
  <r>
    <x v="14"/>
    <x v="18"/>
    <x v="4"/>
    <x v="18"/>
    <x v="2"/>
    <x v="1205"/>
    <n v="619"/>
    <n v="95.78"/>
    <n v="99.14"/>
    <n v="72.489999999999995"/>
    <s v="IP68"/>
    <n v="8.4"/>
    <n v="2.4"/>
    <x v="0"/>
    <x v="6"/>
    <x v="0"/>
    <n v="63.6"/>
  </r>
  <r>
    <x v="14"/>
    <x v="22"/>
    <x v="8"/>
    <x v="22"/>
    <x v="1"/>
    <x v="1206"/>
    <n v="20.8"/>
    <n v="96"/>
    <n v="96.89"/>
    <n v="77.36"/>
    <s v="IPX8"/>
    <n v="7.5"/>
    <n v="2.1"/>
    <x v="1"/>
    <x v="6"/>
    <x v="0"/>
    <n v="59.9"/>
  </r>
  <r>
    <x v="14"/>
    <x v="3"/>
    <x v="2"/>
    <x v="3"/>
    <x v="2"/>
    <x v="1207"/>
    <n v="186.8"/>
    <n v="92.59"/>
    <n v="95.32"/>
    <n v="74.180000000000007"/>
    <s v="IPX8"/>
    <n v="7.6"/>
    <n v="3.7"/>
    <x v="2"/>
    <x v="12"/>
    <x v="0"/>
    <n v="60.5"/>
  </r>
  <r>
    <x v="14"/>
    <x v="14"/>
    <x v="9"/>
    <x v="14"/>
    <x v="1"/>
    <x v="1208"/>
    <n v="35.700000000000003"/>
    <n v="97.47"/>
    <n v="96.66"/>
    <n v="80.03"/>
    <s v="5ATM"/>
    <n v="7.2"/>
    <n v="1.6"/>
    <x v="1"/>
    <x v="7"/>
    <x v="0"/>
    <n v="60.7"/>
  </r>
  <r>
    <x v="14"/>
    <x v="3"/>
    <x v="2"/>
    <x v="3"/>
    <x v="2"/>
    <x v="1209"/>
    <n v="126.5"/>
    <n v="96.64"/>
    <n v="95.03"/>
    <n v="77.92"/>
    <s v="IPX8"/>
    <n v="7.8"/>
    <n v="2.5"/>
    <x v="0"/>
    <x v="12"/>
    <x v="0"/>
    <n v="62.1"/>
  </r>
  <r>
    <x v="14"/>
    <x v="22"/>
    <x v="8"/>
    <x v="22"/>
    <x v="1"/>
    <x v="1210"/>
    <n v="59.4"/>
    <n v="94.65"/>
    <n v="94.87"/>
    <n v="81.06"/>
    <s v="5ATM"/>
    <n v="8.1999999999999993"/>
    <n v="2.7"/>
    <x v="3"/>
    <x v="3"/>
    <x v="0"/>
    <n v="61.5"/>
  </r>
  <r>
    <x v="14"/>
    <x v="1"/>
    <x v="1"/>
    <x v="1"/>
    <x v="1"/>
    <x v="1211"/>
    <n v="32.799999999999997"/>
    <n v="92.34"/>
    <n v="97.43"/>
    <n v="75.3"/>
    <s v="IP68"/>
    <n v="9.4"/>
    <n v="5"/>
    <x v="3"/>
    <x v="7"/>
    <x v="1"/>
    <n v="60.5"/>
  </r>
  <r>
    <x v="14"/>
    <x v="10"/>
    <x v="7"/>
    <x v="10"/>
    <x v="4"/>
    <x v="1212"/>
    <n v="186.8"/>
    <n v="87.23"/>
    <n v="95.54"/>
    <n v="86.37"/>
    <s v="IPX7"/>
    <n v="8.6999999999999993"/>
    <m/>
    <x v="2"/>
    <x v="12"/>
    <x v="2"/>
    <n v="75.2"/>
  </r>
  <r>
    <x v="14"/>
    <x v="24"/>
    <x v="2"/>
    <x v="24"/>
    <x v="1"/>
    <x v="1213"/>
    <n v="42.7"/>
    <n v="92.67"/>
    <n v="95.2"/>
    <n v="77.959999999999994"/>
    <s v="IPX8"/>
    <n v="7.5"/>
    <n v="3"/>
    <x v="3"/>
    <x v="6"/>
    <x v="0"/>
    <n v="59"/>
  </r>
  <r>
    <x v="14"/>
    <x v="9"/>
    <x v="6"/>
    <x v="9"/>
    <x v="3"/>
    <x v="9"/>
    <n v="166.7"/>
    <n v="88.47"/>
    <n v="94.99"/>
    <n v="79.239999999999995"/>
    <s v="3ATM"/>
    <n v="6.5"/>
    <m/>
    <x v="2"/>
    <x v="13"/>
    <x v="0"/>
    <n v="69.5"/>
  </r>
  <r>
    <x v="14"/>
    <x v="9"/>
    <x v="6"/>
    <x v="9"/>
    <x v="3"/>
    <x v="9"/>
    <n v="138.4"/>
    <n v="91.28"/>
    <n v="93.57"/>
    <n v="70.25"/>
    <s v="3ATM"/>
    <n v="6.9"/>
    <m/>
    <x v="2"/>
    <x v="0"/>
    <x v="2"/>
    <n v="68.099999999999994"/>
  </r>
  <r>
    <x v="14"/>
    <x v="24"/>
    <x v="2"/>
    <x v="24"/>
    <x v="1"/>
    <x v="1214"/>
    <n v="19.8"/>
    <n v="95.76"/>
    <n v="96.81"/>
    <n v="80.069999999999993"/>
    <s v="IPX8"/>
    <n v="7.8"/>
    <n v="3.4"/>
    <x v="3"/>
    <x v="6"/>
    <x v="0"/>
    <n v="59.9"/>
  </r>
  <r>
    <x v="14"/>
    <x v="20"/>
    <x v="0"/>
    <x v="20"/>
    <x v="2"/>
    <x v="1215"/>
    <n v="137.19999999999999"/>
    <n v="94.72"/>
    <n v="93.37"/>
    <n v="77.010000000000005"/>
    <s v="5ATM"/>
    <n v="7.4"/>
    <n v="2.2000000000000002"/>
    <x v="2"/>
    <x v="1"/>
    <x v="0"/>
    <n v="61.1"/>
  </r>
  <r>
    <x v="14"/>
    <x v="19"/>
    <x v="9"/>
    <x v="19"/>
    <x v="0"/>
    <x v="1216"/>
    <n v="235.9"/>
    <n v="92.03"/>
    <n v="93.55"/>
    <n v="78.36"/>
    <s v="IPX4"/>
    <n v="7.5"/>
    <m/>
    <x v="2"/>
    <x v="2"/>
    <x v="2"/>
    <n v="71.8"/>
  </r>
  <r>
    <x v="14"/>
    <x v="5"/>
    <x v="4"/>
    <x v="5"/>
    <x v="1"/>
    <x v="1217"/>
    <n v="575.70000000000005"/>
    <n v="92.97"/>
    <n v="98.32"/>
    <n v="79.010000000000005"/>
    <s v="IPX8"/>
    <n v="9.1999999999999993"/>
    <n v="3.6"/>
    <x v="3"/>
    <x v="1"/>
    <x v="0"/>
    <n v="64.599999999999994"/>
  </r>
  <r>
    <x v="14"/>
    <x v="3"/>
    <x v="2"/>
    <x v="3"/>
    <x v="1"/>
    <x v="1218"/>
    <n v="50.4"/>
    <n v="95.09"/>
    <n v="93.93"/>
    <n v="76.69"/>
    <s v="5ATM"/>
    <n v="7.5"/>
    <n v="3.8"/>
    <x v="3"/>
    <x v="6"/>
    <x v="0"/>
    <n v="58.6"/>
  </r>
  <r>
    <x v="14"/>
    <x v="6"/>
    <x v="5"/>
    <x v="6"/>
    <x v="1"/>
    <x v="1219"/>
    <n v="47.9"/>
    <n v="95.31"/>
    <n v="96.05"/>
    <n v="76.2"/>
    <s v="5ATM"/>
    <n v="8.1999999999999993"/>
    <n v="3.7"/>
    <x v="1"/>
    <x v="4"/>
    <x v="0"/>
    <n v="60.1"/>
  </r>
  <r>
    <x v="14"/>
    <x v="21"/>
    <x v="1"/>
    <x v="21"/>
    <x v="1"/>
    <x v="1220"/>
    <n v="36.1"/>
    <n v="97.87"/>
    <n v="96.38"/>
    <n v="76.349999999999994"/>
    <s v="IPX8"/>
    <n v="8.1"/>
    <n v="4.0999999999999996"/>
    <x v="3"/>
    <x v="6"/>
    <x v="1"/>
    <n v="59.9"/>
  </r>
  <r>
    <x v="14"/>
    <x v="8"/>
    <x v="3"/>
    <x v="8"/>
    <x v="1"/>
    <x v="1221"/>
    <n v="51.1"/>
    <n v="93.68"/>
    <n v="96.73"/>
    <n v="81.069999999999993"/>
    <s v="IP68"/>
    <n v="8.5"/>
    <n v="3.1"/>
    <x v="3"/>
    <x v="5"/>
    <x v="2"/>
    <n v="61.7"/>
  </r>
  <r>
    <x v="14"/>
    <x v="24"/>
    <x v="2"/>
    <x v="24"/>
    <x v="1"/>
    <x v="1222"/>
    <n v="42.8"/>
    <n v="96.28"/>
    <n v="95.09"/>
    <n v="75.040000000000006"/>
    <s v="5ATM"/>
    <n v="9"/>
    <n v="3.6"/>
    <x v="1"/>
    <x v="7"/>
    <x v="0"/>
    <n v="61.2"/>
  </r>
  <r>
    <x v="14"/>
    <x v="26"/>
    <x v="9"/>
    <x v="26"/>
    <x v="1"/>
    <x v="1223"/>
    <n v="71.900000000000006"/>
    <n v="97.98"/>
    <n v="93.29"/>
    <n v="77.13"/>
    <s v="IPX8"/>
    <n v="6.3"/>
    <n v="2.7"/>
    <x v="1"/>
    <x v="5"/>
    <x v="0"/>
    <n v="58.2"/>
  </r>
  <r>
    <x v="14"/>
    <x v="10"/>
    <x v="7"/>
    <x v="10"/>
    <x v="4"/>
    <x v="1224"/>
    <n v="171.8"/>
    <n v="85.8"/>
    <n v="96.83"/>
    <n v="88.92"/>
    <s v="IPX7"/>
    <n v="7.3"/>
    <m/>
    <x v="2"/>
    <x v="0"/>
    <x v="0"/>
    <n v="72.900000000000006"/>
  </r>
  <r>
    <x v="14"/>
    <x v="2"/>
    <x v="0"/>
    <x v="2"/>
    <x v="1"/>
    <x v="1225"/>
    <n v="25.5"/>
    <n v="94.78"/>
    <n v="94.06"/>
    <n v="81.84"/>
    <s v="IP68"/>
    <n v="8"/>
    <n v="4.4000000000000004"/>
    <x v="3"/>
    <x v="9"/>
    <x v="0"/>
    <n v="59.4"/>
  </r>
  <r>
    <x v="14"/>
    <x v="14"/>
    <x v="9"/>
    <x v="14"/>
    <x v="2"/>
    <x v="1226"/>
    <n v="207.8"/>
    <n v="92.28"/>
    <n v="94.88"/>
    <n v="72.05"/>
    <s v="IPX8"/>
    <n v="7.3"/>
    <n v="3.9"/>
    <x v="2"/>
    <x v="6"/>
    <x v="0"/>
    <n v="59.4"/>
  </r>
  <r>
    <x v="14"/>
    <x v="10"/>
    <x v="7"/>
    <x v="10"/>
    <x v="4"/>
    <x v="1227"/>
    <n v="177.3"/>
    <n v="86.64"/>
    <n v="95.21"/>
    <n v="90.66"/>
    <s v="IPX7"/>
    <n v="8.6"/>
    <m/>
    <x v="2"/>
    <x v="0"/>
    <x v="2"/>
    <n v="75.7"/>
  </r>
  <r>
    <x v="14"/>
    <x v="9"/>
    <x v="6"/>
    <x v="9"/>
    <x v="3"/>
    <x v="9"/>
    <n v="158.19999999999999"/>
    <n v="88.51"/>
    <n v="94.55"/>
    <n v="72.56"/>
    <s v="3ATM"/>
    <n v="7.5"/>
    <m/>
    <x v="2"/>
    <x v="13"/>
    <x v="2"/>
    <n v="69.900000000000006"/>
  </r>
  <r>
    <x v="14"/>
    <x v="3"/>
    <x v="2"/>
    <x v="3"/>
    <x v="2"/>
    <x v="1228"/>
    <n v="110.2"/>
    <n v="92.54"/>
    <n v="94.23"/>
    <n v="74.12"/>
    <s v="5ATM"/>
    <n v="7.5"/>
    <n v="1.5"/>
    <x v="0"/>
    <x v="12"/>
    <x v="0"/>
    <n v="60.5"/>
  </r>
  <r>
    <x v="14"/>
    <x v="12"/>
    <x v="8"/>
    <x v="12"/>
    <x v="1"/>
    <x v="1229"/>
    <n v="52"/>
    <n v="96.02"/>
    <n v="96.84"/>
    <n v="80.650000000000006"/>
    <s v="IPX8"/>
    <n v="8.1"/>
    <n v="3.2"/>
    <x v="1"/>
    <x v="5"/>
    <x v="0"/>
    <n v="61.3"/>
  </r>
  <r>
    <x v="14"/>
    <x v="9"/>
    <x v="6"/>
    <x v="9"/>
    <x v="3"/>
    <x v="9"/>
    <n v="155.1"/>
    <n v="87.56"/>
    <n v="93.39"/>
    <n v="78.12"/>
    <s v="3ATM"/>
    <n v="7.9"/>
    <m/>
    <x v="2"/>
    <x v="0"/>
    <x v="2"/>
    <n v="71.3"/>
  </r>
  <r>
    <x v="14"/>
    <x v="4"/>
    <x v="3"/>
    <x v="4"/>
    <x v="1"/>
    <x v="1230"/>
    <n v="54.8"/>
    <n v="93.91"/>
    <n v="96.07"/>
    <n v="77.290000000000006"/>
    <s v="IPX8"/>
    <n v="8.4"/>
    <n v="1.6"/>
    <x v="3"/>
    <x v="4"/>
    <x v="2"/>
    <n v="61.9"/>
  </r>
  <r>
    <x v="14"/>
    <x v="1"/>
    <x v="1"/>
    <x v="1"/>
    <x v="1"/>
    <x v="1231"/>
    <n v="38.4"/>
    <n v="96.13"/>
    <n v="97.2"/>
    <n v="80.92"/>
    <s v="5ATM"/>
    <n v="8.3000000000000007"/>
    <n v="1.9"/>
    <x v="1"/>
    <x v="7"/>
    <x v="1"/>
    <n v="62.4"/>
  </r>
  <r>
    <x v="14"/>
    <x v="8"/>
    <x v="3"/>
    <x v="8"/>
    <x v="1"/>
    <x v="1232"/>
    <n v="58.2"/>
    <n v="93.33"/>
    <n v="96.19"/>
    <n v="76.569999999999993"/>
    <s v="IPX8"/>
    <n v="8.4"/>
    <n v="3.7"/>
    <x v="3"/>
    <x v="6"/>
    <x v="2"/>
    <n v="60.4"/>
  </r>
  <r>
    <x v="14"/>
    <x v="19"/>
    <x v="9"/>
    <x v="19"/>
    <x v="0"/>
    <x v="1233"/>
    <n v="126.2"/>
    <n v="88.68"/>
    <n v="94.95"/>
    <n v="76.91"/>
    <s v="IPX4"/>
    <n v="6.7"/>
    <m/>
    <x v="2"/>
    <x v="10"/>
    <x v="0"/>
    <n v="68.5"/>
  </r>
  <r>
    <x v="14"/>
    <x v="13"/>
    <x v="0"/>
    <x v="13"/>
    <x v="0"/>
    <x v="1234"/>
    <n v="148"/>
    <n v="92.31"/>
    <n v="95.7"/>
    <n v="75.62"/>
    <s v="IPX4"/>
    <n v="7.5"/>
    <m/>
    <x v="2"/>
    <x v="12"/>
    <x v="0"/>
    <n v="71.2"/>
  </r>
  <r>
    <x v="14"/>
    <x v="4"/>
    <x v="3"/>
    <x v="4"/>
    <x v="1"/>
    <x v="1235"/>
    <n v="20.2"/>
    <n v="96.07"/>
    <n v="96.29"/>
    <n v="75.25"/>
    <s v="IP68"/>
    <n v="9.3000000000000007"/>
    <n v="3.1"/>
    <x v="1"/>
    <x v="1"/>
    <x v="2"/>
    <n v="61.8"/>
  </r>
  <r>
    <x v="14"/>
    <x v="23"/>
    <x v="8"/>
    <x v="23"/>
    <x v="1"/>
    <x v="1236"/>
    <n v="32.799999999999997"/>
    <n v="92.46"/>
    <n v="94.14"/>
    <n v="77.72"/>
    <s v="IPX8"/>
    <n v="9.3000000000000007"/>
    <n v="1.8"/>
    <x v="1"/>
    <x v="4"/>
    <x v="2"/>
    <n v="62.3"/>
  </r>
  <r>
    <x v="14"/>
    <x v="26"/>
    <x v="9"/>
    <x v="26"/>
    <x v="2"/>
    <x v="1237"/>
    <n v="143.9"/>
    <n v="97.95"/>
    <n v="94.65"/>
    <n v="70.56"/>
    <s v="5ATM"/>
    <n v="6.5"/>
    <n v="3.8"/>
    <x v="2"/>
    <x v="10"/>
    <x v="2"/>
    <n v="58.3"/>
  </r>
  <r>
    <x v="14"/>
    <x v="9"/>
    <x v="6"/>
    <x v="9"/>
    <x v="3"/>
    <x v="9"/>
    <n v="128.4"/>
    <n v="88.63"/>
    <n v="93.61"/>
    <n v="78.09"/>
    <s v="3ATM"/>
    <n v="6.4"/>
    <m/>
    <x v="2"/>
    <x v="13"/>
    <x v="2"/>
    <n v="67.900000000000006"/>
  </r>
  <r>
    <x v="14"/>
    <x v="8"/>
    <x v="3"/>
    <x v="8"/>
    <x v="1"/>
    <x v="1238"/>
    <n v="43.5"/>
    <n v="92.55"/>
    <n v="96.63"/>
    <n v="77.42"/>
    <s v="IP68"/>
    <n v="8.8000000000000007"/>
    <n v="2.9"/>
    <x v="3"/>
    <x v="3"/>
    <x v="2"/>
    <n v="61.4"/>
  </r>
  <r>
    <x v="14"/>
    <x v="3"/>
    <x v="2"/>
    <x v="3"/>
    <x v="1"/>
    <x v="1239"/>
    <n v="38.9"/>
    <n v="97.74"/>
    <n v="96.9"/>
    <n v="78.13"/>
    <s v="IP68"/>
    <n v="8.1"/>
    <n v="4.0999999999999996"/>
    <x v="1"/>
    <x v="7"/>
    <x v="0"/>
    <n v="60.3"/>
  </r>
  <r>
    <x v="14"/>
    <x v="8"/>
    <x v="3"/>
    <x v="8"/>
    <x v="1"/>
    <x v="1240"/>
    <n v="55.1"/>
    <n v="96.94"/>
    <n v="96.48"/>
    <n v="76.09"/>
    <s v="5ATM"/>
    <n v="7.3"/>
    <n v="3.3"/>
    <x v="1"/>
    <x v="7"/>
    <x v="2"/>
    <n v="59.3"/>
  </r>
  <r>
    <x v="14"/>
    <x v="4"/>
    <x v="3"/>
    <x v="4"/>
    <x v="1"/>
    <x v="1241"/>
    <n v="59.2"/>
    <n v="96.23"/>
    <n v="97.39"/>
    <n v="75.41"/>
    <s v="IPX8"/>
    <n v="7.7"/>
    <n v="2.8"/>
    <x v="1"/>
    <x v="3"/>
    <x v="2"/>
    <n v="60.3"/>
  </r>
  <r>
    <x v="14"/>
    <x v="14"/>
    <x v="9"/>
    <x v="14"/>
    <x v="2"/>
    <x v="1242"/>
    <n v="90"/>
    <n v="97.01"/>
    <n v="96.93"/>
    <n v="74.239999999999995"/>
    <s v="IP68"/>
    <n v="7.3"/>
    <n v="1.9"/>
    <x v="0"/>
    <x v="0"/>
    <x v="0"/>
    <n v="60.7"/>
  </r>
  <r>
    <x v="14"/>
    <x v="10"/>
    <x v="7"/>
    <x v="10"/>
    <x v="4"/>
    <x v="1243"/>
    <n v="178.5"/>
    <n v="86.76"/>
    <n v="94.73"/>
    <n v="86.11"/>
    <s v="IPX7"/>
    <n v="9.1"/>
    <m/>
    <x v="2"/>
    <x v="0"/>
    <x v="2"/>
    <n v="75.7"/>
  </r>
  <r>
    <x v="14"/>
    <x v="3"/>
    <x v="2"/>
    <x v="3"/>
    <x v="2"/>
    <x v="1244"/>
    <n v="141.19999999999999"/>
    <n v="97.53"/>
    <n v="93.65"/>
    <n v="72.180000000000007"/>
    <s v="IP68"/>
    <n v="8.3000000000000007"/>
    <n v="2.2000000000000002"/>
    <x v="0"/>
    <x v="6"/>
    <x v="0"/>
    <n v="62.4"/>
  </r>
  <r>
    <x v="14"/>
    <x v="27"/>
    <x v="9"/>
    <x v="27"/>
    <x v="1"/>
    <x v="1245"/>
    <n v="55.2"/>
    <n v="93.65"/>
    <n v="94.91"/>
    <n v="78.91"/>
    <s v="5ATM"/>
    <n v="7"/>
    <n v="3"/>
    <x v="1"/>
    <x v="5"/>
    <x v="0"/>
    <n v="58.7"/>
  </r>
  <r>
    <x v="14"/>
    <x v="28"/>
    <x v="4"/>
    <x v="28"/>
    <x v="2"/>
    <x v="1246"/>
    <n v="1147.3"/>
    <n v="94.61"/>
    <n v="98.44"/>
    <n v="79.22"/>
    <s v="5ATM"/>
    <n v="8.8000000000000007"/>
    <n v="3.7"/>
    <x v="2"/>
    <x v="10"/>
    <x v="0"/>
    <n v="64.2"/>
  </r>
  <r>
    <x v="14"/>
    <x v="20"/>
    <x v="0"/>
    <x v="20"/>
    <x v="1"/>
    <x v="1247"/>
    <n v="48.1"/>
    <n v="96.48"/>
    <n v="96.07"/>
    <n v="80.77"/>
    <s v="IP68"/>
    <n v="7.7"/>
    <n v="3.8"/>
    <x v="3"/>
    <x v="10"/>
    <x v="0"/>
    <n v="60.1"/>
  </r>
  <r>
    <x v="15"/>
    <x v="10"/>
    <x v="7"/>
    <x v="10"/>
    <x v="4"/>
    <x v="1248"/>
    <n v="178.3"/>
    <n v="87.94"/>
    <n v="94.49"/>
    <n v="91.48"/>
    <s v="IPX8"/>
    <n v="9.1999999999999993"/>
    <m/>
    <x v="2"/>
    <x v="8"/>
    <x v="2"/>
    <n v="77.2"/>
  </r>
  <r>
    <x v="15"/>
    <x v="3"/>
    <x v="2"/>
    <x v="3"/>
    <x v="1"/>
    <x v="1249"/>
    <n v="48.5"/>
    <n v="94.6"/>
    <n v="96.09"/>
    <n v="80.03"/>
    <s v="5ATM"/>
    <n v="8.8000000000000007"/>
    <n v="2.7"/>
    <x v="3"/>
    <x v="9"/>
    <x v="0"/>
    <n v="62.3"/>
  </r>
  <r>
    <x v="15"/>
    <x v="24"/>
    <x v="2"/>
    <x v="24"/>
    <x v="2"/>
    <x v="1250"/>
    <n v="83.4"/>
    <n v="93.69"/>
    <n v="94.09"/>
    <n v="70.64"/>
    <s v="IPX8"/>
    <n v="7.6"/>
    <n v="3.3"/>
    <x v="2"/>
    <x v="12"/>
    <x v="0"/>
    <n v="58.5"/>
  </r>
  <r>
    <x v="15"/>
    <x v="23"/>
    <x v="8"/>
    <x v="23"/>
    <x v="1"/>
    <x v="1251"/>
    <n v="36.4"/>
    <n v="92.64"/>
    <n v="96.85"/>
    <n v="81.319999999999993"/>
    <s v="IP68"/>
    <n v="9.1999999999999993"/>
    <n v="2.4"/>
    <x v="1"/>
    <x v="3"/>
    <x v="2"/>
    <n v="62.9"/>
  </r>
  <r>
    <x v="15"/>
    <x v="17"/>
    <x v="3"/>
    <x v="17"/>
    <x v="1"/>
    <x v="1252"/>
    <n v="34.299999999999997"/>
    <n v="97.21"/>
    <n v="97.64"/>
    <n v="84.01"/>
    <s v="5ATM"/>
    <n v="8.1999999999999993"/>
    <n v="2.2000000000000002"/>
    <x v="3"/>
    <x v="7"/>
    <x v="2"/>
    <n v="62.7"/>
  </r>
  <r>
    <x v="15"/>
    <x v="13"/>
    <x v="0"/>
    <x v="13"/>
    <x v="0"/>
    <x v="1253"/>
    <n v="178.2"/>
    <n v="88.38"/>
    <n v="95.1"/>
    <n v="73.19"/>
    <s v="3ATM"/>
    <n v="7.2"/>
    <m/>
    <x v="2"/>
    <x v="12"/>
    <x v="0"/>
    <n v="69.7"/>
  </r>
  <r>
    <x v="15"/>
    <x v="24"/>
    <x v="2"/>
    <x v="24"/>
    <x v="1"/>
    <x v="1254"/>
    <n v="40.1"/>
    <n v="93.4"/>
    <n v="94.39"/>
    <n v="83.4"/>
    <s v="5ATM"/>
    <n v="8.4"/>
    <n v="1.5"/>
    <x v="3"/>
    <x v="3"/>
    <x v="0"/>
    <n v="62.3"/>
  </r>
  <r>
    <x v="15"/>
    <x v="0"/>
    <x v="0"/>
    <x v="0"/>
    <x v="0"/>
    <x v="1255"/>
    <n v="80.099999999999994"/>
    <n v="94.5"/>
    <n v="93.21"/>
    <n v="72.37"/>
    <s v="IPX7"/>
    <n v="7.6"/>
    <m/>
    <x v="2"/>
    <x v="0"/>
    <x v="0"/>
    <n v="69.099999999999994"/>
  </r>
  <r>
    <x v="15"/>
    <x v="24"/>
    <x v="2"/>
    <x v="24"/>
    <x v="1"/>
    <x v="1256"/>
    <n v="58.5"/>
    <n v="93.74"/>
    <n v="95.98"/>
    <n v="83.23"/>
    <s v="IP68"/>
    <n v="7.5"/>
    <n v="2.4"/>
    <x v="1"/>
    <x v="7"/>
    <x v="0"/>
    <n v="60.9"/>
  </r>
  <r>
    <x v="15"/>
    <x v="2"/>
    <x v="0"/>
    <x v="2"/>
    <x v="2"/>
    <x v="1257"/>
    <n v="139.19999999999999"/>
    <n v="92.91"/>
    <n v="93.79"/>
    <n v="71.27"/>
    <s v="IPX8"/>
    <n v="7.1"/>
    <n v="2.9"/>
    <x v="2"/>
    <x v="6"/>
    <x v="0"/>
    <n v="59"/>
  </r>
  <r>
    <x v="15"/>
    <x v="28"/>
    <x v="4"/>
    <x v="28"/>
    <x v="2"/>
    <x v="1258"/>
    <n v="2104.1999999999998"/>
    <n v="95.38"/>
    <n v="98.19"/>
    <n v="73.84"/>
    <s v="5ATM"/>
    <n v="7.1"/>
    <n v="3.1"/>
    <x v="0"/>
    <x v="6"/>
    <x v="0"/>
    <n v="61"/>
  </r>
  <r>
    <x v="15"/>
    <x v="7"/>
    <x v="4"/>
    <x v="7"/>
    <x v="1"/>
    <x v="1259"/>
    <n v="709.4"/>
    <n v="92.75"/>
    <n v="98.32"/>
    <n v="81.19"/>
    <s v="10ATM"/>
    <n v="8.6"/>
    <n v="4.4000000000000004"/>
    <x v="3"/>
    <x v="6"/>
    <x v="0"/>
    <n v="63.4"/>
  </r>
  <r>
    <x v="15"/>
    <x v="7"/>
    <x v="4"/>
    <x v="7"/>
    <x v="1"/>
    <x v="1260"/>
    <n v="419.7"/>
    <n v="94.19"/>
    <n v="99.34"/>
    <n v="80.36"/>
    <s v="5ATM"/>
    <n v="8.1999999999999993"/>
    <n v="3"/>
    <x v="3"/>
    <x v="10"/>
    <x v="0"/>
    <n v="64"/>
  </r>
  <r>
    <x v="15"/>
    <x v="9"/>
    <x v="6"/>
    <x v="9"/>
    <x v="3"/>
    <x v="9"/>
    <n v="151.80000000000001"/>
    <n v="91.39"/>
    <n v="94.44"/>
    <n v="71.08"/>
    <s v="IPX7"/>
    <n v="7.7"/>
    <m/>
    <x v="2"/>
    <x v="0"/>
    <x v="2"/>
    <n v="70.400000000000006"/>
  </r>
  <r>
    <x v="15"/>
    <x v="13"/>
    <x v="0"/>
    <x v="13"/>
    <x v="0"/>
    <x v="1261"/>
    <n v="130.4"/>
    <n v="92.24"/>
    <n v="94.48"/>
    <n v="70.83"/>
    <s v="3ATM"/>
    <n v="7.8"/>
    <m/>
    <x v="2"/>
    <x v="12"/>
    <x v="0"/>
    <n v="70.2"/>
  </r>
  <r>
    <x v="15"/>
    <x v="0"/>
    <x v="0"/>
    <x v="0"/>
    <x v="0"/>
    <x v="1262"/>
    <n v="117.7"/>
    <n v="94.14"/>
    <n v="95.04"/>
    <n v="71.47"/>
    <s v="IPX7"/>
    <n v="8.3000000000000007"/>
    <m/>
    <x v="2"/>
    <x v="1"/>
    <x v="0"/>
    <n v="71.5"/>
  </r>
  <r>
    <x v="15"/>
    <x v="21"/>
    <x v="1"/>
    <x v="21"/>
    <x v="1"/>
    <x v="1263"/>
    <n v="69.3"/>
    <n v="96.59"/>
    <n v="96.55"/>
    <n v="79.8"/>
    <s v="IP68"/>
    <n v="9.4"/>
    <n v="3.6"/>
    <x v="3"/>
    <x v="1"/>
    <x v="1"/>
    <n v="63.5"/>
  </r>
  <r>
    <x v="15"/>
    <x v="10"/>
    <x v="7"/>
    <x v="10"/>
    <x v="4"/>
    <x v="1264"/>
    <n v="168.6"/>
    <n v="85.73"/>
    <n v="94.66"/>
    <n v="91.73"/>
    <s v="IPX7"/>
    <n v="8.1999999999999993"/>
    <m/>
    <x v="2"/>
    <x v="11"/>
    <x v="0"/>
    <n v="74.8"/>
  </r>
  <r>
    <x v="15"/>
    <x v="9"/>
    <x v="6"/>
    <x v="9"/>
    <x v="3"/>
    <x v="9"/>
    <n v="156.1"/>
    <n v="87.27"/>
    <n v="94.71"/>
    <n v="74.44"/>
    <s v="IPX7"/>
    <n v="7.1"/>
    <m/>
    <x v="2"/>
    <x v="0"/>
    <x v="2"/>
    <n v="69.2"/>
  </r>
  <r>
    <x v="15"/>
    <x v="2"/>
    <x v="0"/>
    <x v="2"/>
    <x v="1"/>
    <x v="1265"/>
    <n v="64.3"/>
    <n v="96.56"/>
    <n v="93.37"/>
    <n v="78.790000000000006"/>
    <s v="IP68"/>
    <n v="7.7"/>
    <n v="3.7"/>
    <x v="3"/>
    <x v="6"/>
    <x v="0"/>
    <n v="59.8"/>
  </r>
  <r>
    <x v="15"/>
    <x v="21"/>
    <x v="1"/>
    <x v="21"/>
    <x v="1"/>
    <x v="1266"/>
    <n v="34.799999999999997"/>
    <n v="94.91"/>
    <n v="98.48"/>
    <n v="79.22"/>
    <s v="5ATM"/>
    <n v="8.3000000000000007"/>
    <n v="2.5"/>
    <x v="1"/>
    <x v="3"/>
    <x v="1"/>
    <n v="61.6"/>
  </r>
  <r>
    <x v="15"/>
    <x v="9"/>
    <x v="6"/>
    <x v="9"/>
    <x v="3"/>
    <x v="9"/>
    <n v="159.5"/>
    <n v="89.52"/>
    <n v="94.03"/>
    <n v="76.010000000000005"/>
    <s v="IPX7"/>
    <n v="6.5"/>
    <m/>
    <x v="2"/>
    <x v="8"/>
    <x v="2"/>
    <n v="68.7"/>
  </r>
  <r>
    <x v="15"/>
    <x v="16"/>
    <x v="4"/>
    <x v="16"/>
    <x v="1"/>
    <x v="1267"/>
    <n v="384.3"/>
    <n v="96.53"/>
    <n v="99.44"/>
    <n v="75.66"/>
    <s v="IPX8"/>
    <n v="8.4"/>
    <n v="4.0999999999999996"/>
    <x v="3"/>
    <x v="9"/>
    <x v="0"/>
    <n v="63.2"/>
  </r>
  <r>
    <x v="15"/>
    <x v="21"/>
    <x v="1"/>
    <x v="21"/>
    <x v="1"/>
    <x v="1268"/>
    <n v="40.799999999999997"/>
    <n v="96.59"/>
    <n v="96.95"/>
    <n v="75.05"/>
    <s v="5ATM"/>
    <n v="8.4"/>
    <n v="3.3"/>
    <x v="1"/>
    <x v="3"/>
    <x v="1"/>
    <n v="60.7"/>
  </r>
  <r>
    <x v="15"/>
    <x v="9"/>
    <x v="6"/>
    <x v="9"/>
    <x v="3"/>
    <x v="9"/>
    <n v="146.69999999999999"/>
    <n v="85.91"/>
    <n v="95.34"/>
    <n v="72.55"/>
    <s v="IPX7"/>
    <n v="6.9"/>
    <m/>
    <x v="2"/>
    <x v="8"/>
    <x v="2"/>
    <n v="68.099999999999994"/>
  </r>
  <r>
    <x v="15"/>
    <x v="24"/>
    <x v="2"/>
    <x v="24"/>
    <x v="1"/>
    <x v="564"/>
    <n v="41.6"/>
    <n v="97.24"/>
    <n v="95.47"/>
    <n v="80.38"/>
    <s v="5ATM"/>
    <n v="7.3"/>
    <n v="4.9000000000000004"/>
    <x v="3"/>
    <x v="3"/>
    <x v="0"/>
    <n v="58.6"/>
  </r>
  <r>
    <x v="15"/>
    <x v="4"/>
    <x v="3"/>
    <x v="4"/>
    <x v="1"/>
    <x v="1269"/>
    <n v="64.2"/>
    <n v="95.69"/>
    <n v="97.27"/>
    <n v="79.63"/>
    <s v="IP68"/>
    <n v="9.4"/>
    <n v="4.0999999999999996"/>
    <x v="1"/>
    <x v="5"/>
    <x v="2"/>
    <n v="63"/>
  </r>
  <r>
    <x v="15"/>
    <x v="27"/>
    <x v="9"/>
    <x v="27"/>
    <x v="1"/>
    <x v="1270"/>
    <n v="28.9"/>
    <n v="97.82"/>
    <n v="96.08"/>
    <n v="75.069999999999993"/>
    <s v="IPX8"/>
    <n v="6.7"/>
    <n v="3.3"/>
    <x v="1"/>
    <x v="9"/>
    <x v="0"/>
    <n v="57.7"/>
  </r>
  <r>
    <x v="15"/>
    <x v="21"/>
    <x v="1"/>
    <x v="21"/>
    <x v="1"/>
    <x v="1271"/>
    <n v="47.5"/>
    <n v="96.04"/>
    <n v="97.79"/>
    <n v="78.66"/>
    <s v="IPX8"/>
    <n v="8.6999999999999993"/>
    <n v="4.9000000000000004"/>
    <x v="1"/>
    <x v="10"/>
    <x v="1"/>
    <n v="60.9"/>
  </r>
  <r>
    <x v="15"/>
    <x v="0"/>
    <x v="0"/>
    <x v="0"/>
    <x v="0"/>
    <x v="1272"/>
    <n v="232.8"/>
    <n v="89.28"/>
    <n v="96.35"/>
    <n v="75.790000000000006"/>
    <s v="IPX7"/>
    <n v="7.4"/>
    <m/>
    <x v="2"/>
    <x v="0"/>
    <x v="0"/>
    <n v="71.099999999999994"/>
  </r>
  <r>
    <x v="15"/>
    <x v="1"/>
    <x v="1"/>
    <x v="1"/>
    <x v="1"/>
    <x v="1273"/>
    <n v="57.6"/>
    <n v="93.36"/>
    <n v="98.19"/>
    <n v="78.12"/>
    <s v="5ATM"/>
    <n v="7.6"/>
    <n v="3.6"/>
    <x v="1"/>
    <x v="1"/>
    <x v="1"/>
    <n v="59.7"/>
  </r>
  <r>
    <x v="15"/>
    <x v="0"/>
    <x v="0"/>
    <x v="0"/>
    <x v="0"/>
    <x v="1274"/>
    <n v="171"/>
    <n v="89.01"/>
    <n v="95.21"/>
    <n v="78.930000000000007"/>
    <s v="IPX4"/>
    <n v="7.4"/>
    <m/>
    <x v="0"/>
    <x v="10"/>
    <x v="0"/>
    <n v="71.400000000000006"/>
  </r>
  <r>
    <x v="15"/>
    <x v="1"/>
    <x v="1"/>
    <x v="1"/>
    <x v="1"/>
    <x v="1275"/>
    <n v="59.2"/>
    <n v="94.57"/>
    <n v="98.06"/>
    <n v="83.73"/>
    <s v="IP68"/>
    <n v="8.8000000000000007"/>
    <n v="3.7"/>
    <x v="1"/>
    <x v="3"/>
    <x v="1"/>
    <n v="62.8"/>
  </r>
  <r>
    <x v="15"/>
    <x v="20"/>
    <x v="0"/>
    <x v="20"/>
    <x v="1"/>
    <x v="1276"/>
    <n v="71.599999999999994"/>
    <n v="92.18"/>
    <n v="96.72"/>
    <n v="78.27"/>
    <s v="IPX8"/>
    <n v="7.5"/>
    <n v="2.2999999999999998"/>
    <x v="1"/>
    <x v="7"/>
    <x v="0"/>
    <n v="60.2"/>
  </r>
  <r>
    <x v="15"/>
    <x v="15"/>
    <x v="8"/>
    <x v="15"/>
    <x v="1"/>
    <x v="1277"/>
    <n v="48"/>
    <n v="96.71"/>
    <n v="94.22"/>
    <n v="79.069999999999993"/>
    <s v="5ATM"/>
    <n v="8.3000000000000007"/>
    <n v="3.3"/>
    <x v="3"/>
    <x v="10"/>
    <x v="0"/>
    <n v="60.9"/>
  </r>
  <r>
    <x v="15"/>
    <x v="11"/>
    <x v="1"/>
    <x v="11"/>
    <x v="1"/>
    <x v="1278"/>
    <n v="59.5"/>
    <n v="96.59"/>
    <n v="98.45"/>
    <n v="81.459999999999994"/>
    <s v="IPX8"/>
    <n v="8.6"/>
    <n v="4.5999999999999996"/>
    <x v="1"/>
    <x v="4"/>
    <x v="1"/>
    <n v="61.9"/>
  </r>
  <r>
    <x v="15"/>
    <x v="17"/>
    <x v="3"/>
    <x v="17"/>
    <x v="1"/>
    <x v="1279"/>
    <n v="20.100000000000001"/>
    <n v="93.2"/>
    <n v="96.49"/>
    <n v="78.290000000000006"/>
    <s v="IPX8"/>
    <n v="8.1"/>
    <n v="4.2"/>
    <x v="3"/>
    <x v="5"/>
    <x v="2"/>
    <n v="59.1"/>
  </r>
  <r>
    <x v="15"/>
    <x v="11"/>
    <x v="1"/>
    <x v="11"/>
    <x v="1"/>
    <x v="1280"/>
    <n v="63.1"/>
    <n v="94.04"/>
    <n v="97.05"/>
    <n v="81.86"/>
    <s v="IPX8"/>
    <n v="9.1"/>
    <n v="3.9"/>
    <x v="1"/>
    <x v="1"/>
    <x v="1"/>
    <n v="62.6"/>
  </r>
  <r>
    <x v="15"/>
    <x v="23"/>
    <x v="8"/>
    <x v="23"/>
    <x v="1"/>
    <x v="1281"/>
    <n v="55"/>
    <n v="97.83"/>
    <n v="93.91"/>
    <n v="78"/>
    <s v="IP68"/>
    <n v="8.6999999999999993"/>
    <n v="4.4000000000000004"/>
    <x v="1"/>
    <x v="4"/>
    <x v="2"/>
    <n v="60.9"/>
  </r>
  <r>
    <x v="15"/>
    <x v="11"/>
    <x v="1"/>
    <x v="11"/>
    <x v="1"/>
    <x v="1282"/>
    <n v="32.1"/>
    <n v="92.63"/>
    <n v="96.85"/>
    <n v="83.88"/>
    <s v="5ATM"/>
    <n v="8.1"/>
    <n v="3.4"/>
    <x v="3"/>
    <x v="6"/>
    <x v="1"/>
    <n v="60.8"/>
  </r>
  <r>
    <x v="15"/>
    <x v="4"/>
    <x v="3"/>
    <x v="4"/>
    <x v="1"/>
    <x v="1186"/>
    <n v="48"/>
    <n v="93.04"/>
    <n v="98.17"/>
    <n v="75.09"/>
    <s v="5ATM"/>
    <n v="7.8"/>
    <n v="2.7"/>
    <x v="3"/>
    <x v="4"/>
    <x v="2"/>
    <n v="59.9"/>
  </r>
  <r>
    <x v="15"/>
    <x v="25"/>
    <x v="5"/>
    <x v="25"/>
    <x v="2"/>
    <x v="1283"/>
    <n v="139.30000000000001"/>
    <n v="95.79"/>
    <n v="96.84"/>
    <n v="70.91"/>
    <s v="IP68"/>
    <n v="9.3000000000000007"/>
    <n v="2.7"/>
    <x v="0"/>
    <x v="2"/>
    <x v="2"/>
    <n v="63.7"/>
  </r>
  <r>
    <x v="15"/>
    <x v="5"/>
    <x v="4"/>
    <x v="5"/>
    <x v="2"/>
    <x v="1284"/>
    <n v="499.5"/>
    <n v="96.42"/>
    <n v="98.34"/>
    <n v="79.83"/>
    <s v="IPX8"/>
    <n v="9.1"/>
    <n v="2.2000000000000002"/>
    <x v="2"/>
    <x v="0"/>
    <x v="0"/>
    <n v="66.099999999999994"/>
  </r>
  <r>
    <x v="15"/>
    <x v="16"/>
    <x v="4"/>
    <x v="16"/>
    <x v="2"/>
    <x v="1285"/>
    <n v="542.5"/>
    <n v="95.87"/>
    <n v="98.87"/>
    <n v="72.59"/>
    <s v="5ATM"/>
    <n v="8"/>
    <n v="1.7"/>
    <x v="0"/>
    <x v="1"/>
    <x v="0"/>
    <n v="63.4"/>
  </r>
  <r>
    <x v="15"/>
    <x v="14"/>
    <x v="9"/>
    <x v="14"/>
    <x v="1"/>
    <x v="1286"/>
    <n v="65.599999999999994"/>
    <n v="96.78"/>
    <n v="96.32"/>
    <n v="76.680000000000007"/>
    <s v="5ATM"/>
    <n v="6.1"/>
    <n v="3.3"/>
    <x v="3"/>
    <x v="9"/>
    <x v="2"/>
    <n v="57.6"/>
  </r>
  <r>
    <x v="15"/>
    <x v="10"/>
    <x v="7"/>
    <x v="10"/>
    <x v="4"/>
    <x v="1287"/>
    <n v="179.8"/>
    <n v="91.68"/>
    <n v="93.21"/>
    <n v="91.94"/>
    <s v="IPX7"/>
    <n v="7.2"/>
    <m/>
    <x v="2"/>
    <x v="11"/>
    <x v="2"/>
    <n v="73.8"/>
  </r>
  <r>
    <x v="15"/>
    <x v="7"/>
    <x v="4"/>
    <x v="7"/>
    <x v="1"/>
    <x v="1288"/>
    <n v="321"/>
    <n v="95.36"/>
    <n v="98.67"/>
    <n v="77.67"/>
    <s v="5ATM"/>
    <n v="6.2"/>
    <n v="3.2"/>
    <x v="1"/>
    <x v="9"/>
    <x v="0"/>
    <n v="60.1"/>
  </r>
  <r>
    <x v="15"/>
    <x v="1"/>
    <x v="1"/>
    <x v="1"/>
    <x v="1"/>
    <x v="1289"/>
    <n v="40.9"/>
    <n v="93.48"/>
    <n v="97.19"/>
    <n v="84.21"/>
    <s v="IPX8"/>
    <n v="8.9"/>
    <n v="3.9"/>
    <x v="3"/>
    <x v="10"/>
    <x v="1"/>
    <n v="62.2"/>
  </r>
  <r>
    <x v="15"/>
    <x v="13"/>
    <x v="0"/>
    <x v="13"/>
    <x v="0"/>
    <x v="1290"/>
    <n v="223.8"/>
    <n v="94.37"/>
    <n v="95.94"/>
    <n v="75.56"/>
    <s v="IPX7"/>
    <n v="7.6"/>
    <m/>
    <x v="2"/>
    <x v="0"/>
    <x v="0"/>
    <n v="72.400000000000006"/>
  </r>
  <r>
    <x v="15"/>
    <x v="24"/>
    <x v="2"/>
    <x v="24"/>
    <x v="1"/>
    <x v="1291"/>
    <n v="31.9"/>
    <n v="93.08"/>
    <n v="96.83"/>
    <n v="80.989999999999995"/>
    <s v="IP68"/>
    <n v="8"/>
    <n v="4.5999999999999996"/>
    <x v="3"/>
    <x v="3"/>
    <x v="0"/>
    <n v="59.4"/>
  </r>
  <r>
    <x v="15"/>
    <x v="18"/>
    <x v="4"/>
    <x v="18"/>
    <x v="2"/>
    <x v="1292"/>
    <n v="662.8"/>
    <n v="96.87"/>
    <n v="98.45"/>
    <n v="70.45"/>
    <s v="5ATM"/>
    <n v="9.4"/>
    <n v="4.9000000000000004"/>
    <x v="0"/>
    <x v="6"/>
    <x v="0"/>
    <n v="63.4"/>
  </r>
  <r>
    <x v="15"/>
    <x v="3"/>
    <x v="2"/>
    <x v="3"/>
    <x v="1"/>
    <x v="1293"/>
    <n v="48.5"/>
    <n v="96.64"/>
    <n v="94.98"/>
    <n v="80.11"/>
    <s v="IP68"/>
    <n v="8.1999999999999993"/>
    <n v="4.2"/>
    <x v="3"/>
    <x v="9"/>
    <x v="0"/>
    <n v="60.5"/>
  </r>
  <r>
    <x v="15"/>
    <x v="14"/>
    <x v="9"/>
    <x v="14"/>
    <x v="2"/>
    <x v="1294"/>
    <n v="178.1"/>
    <n v="92.33"/>
    <n v="93.66"/>
    <n v="72.5"/>
    <s v="5ATM"/>
    <n v="7.3"/>
    <n v="4.8"/>
    <x v="2"/>
    <x v="1"/>
    <x v="0"/>
    <n v="58.7"/>
  </r>
  <r>
    <x v="15"/>
    <x v="6"/>
    <x v="5"/>
    <x v="6"/>
    <x v="1"/>
    <x v="1295"/>
    <n v="71.7"/>
    <n v="94.9"/>
    <n v="95.46"/>
    <n v="80.459999999999994"/>
    <s v="5ATM"/>
    <n v="8.8000000000000007"/>
    <n v="2.4"/>
    <x v="1"/>
    <x v="1"/>
    <x v="2"/>
    <n v="63"/>
  </r>
  <r>
    <x v="15"/>
    <x v="8"/>
    <x v="3"/>
    <x v="8"/>
    <x v="1"/>
    <x v="1296"/>
    <n v="54.7"/>
    <n v="92.03"/>
    <n v="97.21"/>
    <n v="84.06"/>
    <s v="IP68"/>
    <n v="8.1"/>
    <n v="3.3"/>
    <x v="3"/>
    <x v="9"/>
    <x v="2"/>
    <n v="61.3"/>
  </r>
  <r>
    <x v="15"/>
    <x v="18"/>
    <x v="4"/>
    <x v="18"/>
    <x v="1"/>
    <x v="1297"/>
    <n v="606"/>
    <n v="96.34"/>
    <n v="98.25"/>
    <n v="76"/>
    <s v="IPX8"/>
    <n v="9.3000000000000007"/>
    <n v="1.8"/>
    <x v="3"/>
    <x v="6"/>
    <x v="0"/>
    <n v="66.099999999999994"/>
  </r>
  <r>
    <x v="15"/>
    <x v="9"/>
    <x v="6"/>
    <x v="9"/>
    <x v="3"/>
    <x v="9"/>
    <n v="138.80000000000001"/>
    <n v="85.09"/>
    <n v="96.19"/>
    <n v="77.72"/>
    <s v="IPX4"/>
    <n v="7.1"/>
    <m/>
    <x v="2"/>
    <x v="13"/>
    <x v="2"/>
    <n v="69.3"/>
  </r>
  <r>
    <x v="15"/>
    <x v="3"/>
    <x v="2"/>
    <x v="3"/>
    <x v="2"/>
    <x v="1298"/>
    <n v="223.5"/>
    <n v="97.79"/>
    <n v="96.13"/>
    <n v="75.72"/>
    <s v="5ATM"/>
    <n v="9.1"/>
    <n v="3.6"/>
    <x v="0"/>
    <x v="12"/>
    <x v="0"/>
    <n v="64.400000000000006"/>
  </r>
  <r>
    <x v="15"/>
    <x v="1"/>
    <x v="1"/>
    <x v="1"/>
    <x v="1"/>
    <x v="1299"/>
    <n v="33"/>
    <n v="96.46"/>
    <n v="97.83"/>
    <n v="84.17"/>
    <s v="5ATM"/>
    <n v="7.8"/>
    <n v="1.7"/>
    <x v="1"/>
    <x v="7"/>
    <x v="1"/>
    <n v="62.3"/>
  </r>
  <r>
    <x v="15"/>
    <x v="9"/>
    <x v="6"/>
    <x v="9"/>
    <x v="3"/>
    <x v="9"/>
    <n v="146.19999999999999"/>
    <n v="89.32"/>
    <n v="95.15"/>
    <n v="78.05"/>
    <s v="IPX4"/>
    <n v="7.4"/>
    <m/>
    <x v="2"/>
    <x v="0"/>
    <x v="0"/>
    <n v="70.8"/>
  </r>
  <r>
    <x v="15"/>
    <x v="25"/>
    <x v="5"/>
    <x v="25"/>
    <x v="2"/>
    <x v="1300"/>
    <n v="80.5"/>
    <n v="94.21"/>
    <n v="95.55"/>
    <n v="72.7"/>
    <s v="IPX8"/>
    <n v="7.7"/>
    <n v="3.6"/>
    <x v="2"/>
    <x v="0"/>
    <x v="0"/>
    <n v="59.1"/>
  </r>
  <r>
    <x v="15"/>
    <x v="10"/>
    <x v="7"/>
    <x v="10"/>
    <x v="4"/>
    <x v="1301"/>
    <n v="177.4"/>
    <n v="90.58"/>
    <n v="93.69"/>
    <n v="88.6"/>
    <s v="IPX7"/>
    <n v="9.5"/>
    <m/>
    <x v="2"/>
    <x v="12"/>
    <x v="2"/>
    <n v="77.599999999999994"/>
  </r>
  <r>
    <x v="15"/>
    <x v="2"/>
    <x v="0"/>
    <x v="2"/>
    <x v="2"/>
    <x v="1302"/>
    <n v="232.3"/>
    <n v="97.27"/>
    <n v="96.36"/>
    <n v="78.75"/>
    <s v="IP68"/>
    <n v="7.7"/>
    <n v="4.3"/>
    <x v="2"/>
    <x v="2"/>
    <x v="0"/>
    <n v="62"/>
  </r>
  <r>
    <x v="15"/>
    <x v="23"/>
    <x v="8"/>
    <x v="23"/>
    <x v="1"/>
    <x v="1303"/>
    <n v="64"/>
    <n v="97.81"/>
    <n v="95.53"/>
    <n v="80.61"/>
    <s v="IPX8"/>
    <n v="6.2"/>
    <n v="4.0999999999999996"/>
    <x v="3"/>
    <x v="3"/>
    <x v="0"/>
    <n v="57.9"/>
  </r>
  <r>
    <x v="15"/>
    <x v="11"/>
    <x v="1"/>
    <x v="11"/>
    <x v="1"/>
    <x v="1304"/>
    <n v="34.4"/>
    <n v="94.29"/>
    <n v="97.42"/>
    <n v="76.59"/>
    <s v="5ATM"/>
    <n v="8.6"/>
    <n v="3.8"/>
    <x v="3"/>
    <x v="9"/>
    <x v="1"/>
    <n v="60.5"/>
  </r>
  <r>
    <x v="15"/>
    <x v="3"/>
    <x v="2"/>
    <x v="3"/>
    <x v="1"/>
    <x v="1305"/>
    <n v="29.8"/>
    <n v="92.35"/>
    <n v="95.94"/>
    <n v="75.61"/>
    <s v="IPX8"/>
    <n v="7.1"/>
    <n v="3.5"/>
    <x v="3"/>
    <x v="10"/>
    <x v="0"/>
    <n v="57.4"/>
  </r>
  <r>
    <x v="15"/>
    <x v="17"/>
    <x v="3"/>
    <x v="17"/>
    <x v="1"/>
    <x v="1306"/>
    <n v="29.4"/>
    <n v="92.92"/>
    <n v="96.27"/>
    <n v="77.290000000000006"/>
    <s v="5ATM"/>
    <n v="8.4"/>
    <n v="3.3"/>
    <x v="3"/>
    <x v="9"/>
    <x v="2"/>
    <n v="60.1"/>
  </r>
  <r>
    <x v="15"/>
    <x v="23"/>
    <x v="8"/>
    <x v="23"/>
    <x v="1"/>
    <x v="1307"/>
    <n v="72"/>
    <n v="96.42"/>
    <n v="93.28"/>
    <n v="82.36"/>
    <s v="IPX8"/>
    <n v="7.2"/>
    <n v="4.0999999999999996"/>
    <x v="1"/>
    <x v="4"/>
    <x v="2"/>
    <n v="59.4"/>
  </r>
  <r>
    <x v="15"/>
    <x v="4"/>
    <x v="3"/>
    <x v="4"/>
    <x v="1"/>
    <x v="1308"/>
    <n v="35.700000000000003"/>
    <n v="95.2"/>
    <n v="96.84"/>
    <n v="84.89"/>
    <s v="IPX8"/>
    <n v="8.3000000000000007"/>
    <n v="4.8"/>
    <x v="1"/>
    <x v="10"/>
    <x v="2"/>
    <n v="60.8"/>
  </r>
  <r>
    <x v="15"/>
    <x v="22"/>
    <x v="8"/>
    <x v="22"/>
    <x v="1"/>
    <x v="1309"/>
    <n v="42.8"/>
    <n v="92.99"/>
    <n v="93"/>
    <n v="76.47"/>
    <s v="5ATM"/>
    <n v="8.5"/>
    <n v="1.8"/>
    <x v="1"/>
    <x v="5"/>
    <x v="0"/>
    <n v="60.9"/>
  </r>
  <r>
    <x v="15"/>
    <x v="9"/>
    <x v="6"/>
    <x v="9"/>
    <x v="3"/>
    <x v="9"/>
    <n v="163.19999999999999"/>
    <n v="85.81"/>
    <n v="94.16"/>
    <n v="79.040000000000006"/>
    <s v="3ATM"/>
    <n v="7.6"/>
    <m/>
    <x v="2"/>
    <x v="11"/>
    <x v="2"/>
    <n v="70.900000000000006"/>
  </r>
  <r>
    <x v="15"/>
    <x v="14"/>
    <x v="9"/>
    <x v="14"/>
    <x v="2"/>
    <x v="1310"/>
    <n v="182.7"/>
    <n v="93.84"/>
    <n v="96.61"/>
    <n v="79.09"/>
    <s v="IP68"/>
    <n v="6.5"/>
    <n v="4.7"/>
    <x v="2"/>
    <x v="0"/>
    <x v="2"/>
    <n v="59.3"/>
  </r>
  <r>
    <x v="15"/>
    <x v="3"/>
    <x v="2"/>
    <x v="3"/>
    <x v="1"/>
    <x v="1311"/>
    <n v="62.1"/>
    <n v="97.66"/>
    <n v="95.27"/>
    <n v="84.83"/>
    <s v="IP68"/>
    <n v="8.3000000000000007"/>
    <n v="4.7"/>
    <x v="3"/>
    <x v="5"/>
    <x v="0"/>
    <n v="61.6"/>
  </r>
  <r>
    <x v="15"/>
    <x v="6"/>
    <x v="5"/>
    <x v="6"/>
    <x v="1"/>
    <x v="1312"/>
    <n v="24.8"/>
    <n v="92.19"/>
    <n v="93.86"/>
    <n v="75.459999999999994"/>
    <s v="IP68"/>
    <n v="8"/>
    <n v="4.2"/>
    <x v="1"/>
    <x v="3"/>
    <x v="2"/>
    <n v="57.9"/>
  </r>
  <r>
    <x v="15"/>
    <x v="18"/>
    <x v="4"/>
    <x v="18"/>
    <x v="2"/>
    <x v="1313"/>
    <n v="254.6"/>
    <n v="93.16"/>
    <n v="98.41"/>
    <n v="75.73"/>
    <s v="IP68"/>
    <n v="8.1"/>
    <n v="1.5"/>
    <x v="2"/>
    <x v="12"/>
    <x v="0"/>
    <n v="63.7"/>
  </r>
  <r>
    <x v="15"/>
    <x v="2"/>
    <x v="0"/>
    <x v="2"/>
    <x v="1"/>
    <x v="1314"/>
    <n v="67.7"/>
    <n v="96.2"/>
    <n v="95.54"/>
    <n v="76.040000000000006"/>
    <s v="5ATM"/>
    <n v="7.4"/>
    <n v="2.9"/>
    <x v="1"/>
    <x v="3"/>
    <x v="0"/>
    <n v="59.7"/>
  </r>
  <r>
    <x v="15"/>
    <x v="10"/>
    <x v="7"/>
    <x v="10"/>
    <x v="4"/>
    <x v="1315"/>
    <n v="184.9"/>
    <n v="90.34"/>
    <n v="93.38"/>
    <n v="85.9"/>
    <s v="IPX7"/>
    <n v="8.6"/>
    <m/>
    <x v="2"/>
    <x v="0"/>
    <x v="0"/>
    <n v="75.099999999999994"/>
  </r>
  <r>
    <x v="15"/>
    <x v="10"/>
    <x v="7"/>
    <x v="10"/>
    <x v="4"/>
    <x v="1316"/>
    <n v="173.8"/>
    <n v="91.89"/>
    <n v="93.14"/>
    <n v="87.17"/>
    <s v="IPX8"/>
    <n v="8.3000000000000007"/>
    <m/>
    <x v="2"/>
    <x v="12"/>
    <x v="2"/>
    <n v="75"/>
  </r>
  <r>
    <x v="16"/>
    <x v="1"/>
    <x v="1"/>
    <x v="1"/>
    <x v="1"/>
    <x v="1317"/>
    <n v="33.700000000000003"/>
    <n v="96.41"/>
    <n v="97.38"/>
    <n v="76"/>
    <s v="IP68"/>
    <n v="9"/>
    <n v="3.2"/>
    <x v="1"/>
    <x v="4"/>
    <x v="1"/>
    <n v="61.8"/>
  </r>
  <r>
    <x v="16"/>
    <x v="14"/>
    <x v="9"/>
    <x v="14"/>
    <x v="2"/>
    <x v="1318"/>
    <n v="189.1"/>
    <n v="96.04"/>
    <n v="94.36"/>
    <n v="72.900000000000006"/>
    <s v="IP68"/>
    <n v="7.1"/>
    <n v="4.5"/>
    <x v="2"/>
    <x v="12"/>
    <x v="2"/>
    <n v="59.4"/>
  </r>
  <r>
    <x v="16"/>
    <x v="15"/>
    <x v="8"/>
    <x v="15"/>
    <x v="1"/>
    <x v="523"/>
    <n v="46.8"/>
    <n v="96.03"/>
    <n v="93.4"/>
    <n v="75.47"/>
    <s v="IP68"/>
    <n v="8.6"/>
    <n v="3.6"/>
    <x v="1"/>
    <x v="9"/>
    <x v="0"/>
    <n v="60.3"/>
  </r>
  <r>
    <x v="16"/>
    <x v="2"/>
    <x v="0"/>
    <x v="2"/>
    <x v="2"/>
    <x v="1319"/>
    <n v="222.8"/>
    <n v="92.5"/>
    <n v="94.78"/>
    <n v="70.22"/>
    <s v="IP68"/>
    <n v="7.8"/>
    <n v="3.6"/>
    <x v="2"/>
    <x v="10"/>
    <x v="0"/>
    <n v="60.2"/>
  </r>
  <r>
    <x v="16"/>
    <x v="10"/>
    <x v="7"/>
    <x v="10"/>
    <x v="4"/>
    <x v="1320"/>
    <n v="174.3"/>
    <n v="88.08"/>
    <n v="95.98"/>
    <n v="89.59"/>
    <s v="IPX8"/>
    <n v="8.5"/>
    <m/>
    <x v="2"/>
    <x v="11"/>
    <x v="0"/>
    <n v="75.7"/>
  </r>
  <r>
    <x v="16"/>
    <x v="14"/>
    <x v="9"/>
    <x v="14"/>
    <x v="2"/>
    <x v="1321"/>
    <n v="149"/>
    <n v="92.05"/>
    <n v="93.63"/>
    <n v="75.010000000000005"/>
    <s v="IP68"/>
    <n v="7.3"/>
    <n v="4.7"/>
    <x v="2"/>
    <x v="6"/>
    <x v="2"/>
    <n v="58.8"/>
  </r>
  <r>
    <x v="16"/>
    <x v="24"/>
    <x v="2"/>
    <x v="24"/>
    <x v="1"/>
    <x v="1322"/>
    <n v="56.7"/>
    <n v="94.36"/>
    <n v="94.14"/>
    <n v="77.459999999999994"/>
    <s v="IP68"/>
    <n v="7.2"/>
    <n v="4.2"/>
    <x v="1"/>
    <x v="10"/>
    <x v="0"/>
    <n v="58"/>
  </r>
  <r>
    <x v="16"/>
    <x v="26"/>
    <x v="9"/>
    <x v="26"/>
    <x v="2"/>
    <x v="1323"/>
    <n v="188"/>
    <n v="97.19"/>
    <n v="93.49"/>
    <n v="75.849999999999994"/>
    <s v="IP68"/>
    <n v="7.5"/>
    <n v="1.7"/>
    <x v="2"/>
    <x v="12"/>
    <x v="0"/>
    <n v="62.5"/>
  </r>
  <r>
    <x v="16"/>
    <x v="22"/>
    <x v="8"/>
    <x v="22"/>
    <x v="1"/>
    <x v="1324"/>
    <n v="67"/>
    <n v="94.71"/>
    <n v="93.33"/>
    <n v="75.14"/>
    <s v="IPX8"/>
    <n v="9.1"/>
    <n v="3.4"/>
    <x v="3"/>
    <x v="3"/>
    <x v="0"/>
    <n v="61.4"/>
  </r>
  <r>
    <x v="16"/>
    <x v="17"/>
    <x v="3"/>
    <x v="17"/>
    <x v="1"/>
    <x v="1325"/>
    <n v="52.1"/>
    <n v="96.88"/>
    <n v="97.45"/>
    <n v="82.69"/>
    <s v="5ATM"/>
    <n v="9.4"/>
    <n v="3.4"/>
    <x v="3"/>
    <x v="7"/>
    <x v="2"/>
    <n v="63.9"/>
  </r>
  <r>
    <x v="16"/>
    <x v="11"/>
    <x v="1"/>
    <x v="11"/>
    <x v="1"/>
    <x v="1326"/>
    <n v="21.9"/>
    <n v="94.82"/>
    <n v="96.48"/>
    <n v="83.42"/>
    <s v="IPX8"/>
    <n v="9.1999999999999993"/>
    <n v="1.9"/>
    <x v="3"/>
    <x v="5"/>
    <x v="1"/>
    <n v="63.6"/>
  </r>
  <r>
    <x v="16"/>
    <x v="18"/>
    <x v="4"/>
    <x v="18"/>
    <x v="1"/>
    <x v="1327"/>
    <n v="293.2"/>
    <n v="92.99"/>
    <n v="98.31"/>
    <n v="77.510000000000005"/>
    <s v="IP68"/>
    <n v="8.1"/>
    <n v="3.2"/>
    <x v="1"/>
    <x v="9"/>
    <x v="0"/>
    <n v="62.8"/>
  </r>
  <r>
    <x v="16"/>
    <x v="16"/>
    <x v="4"/>
    <x v="16"/>
    <x v="1"/>
    <x v="1328"/>
    <n v="692.9"/>
    <n v="92.22"/>
    <n v="98.3"/>
    <n v="82.91"/>
    <s v="5ATM"/>
    <n v="8.5"/>
    <n v="2.6"/>
    <x v="1"/>
    <x v="7"/>
    <x v="0"/>
    <n v="64.7"/>
  </r>
  <r>
    <x v="16"/>
    <x v="26"/>
    <x v="9"/>
    <x v="26"/>
    <x v="1"/>
    <x v="1329"/>
    <n v="21.5"/>
    <n v="94.9"/>
    <n v="94.48"/>
    <n v="76.53"/>
    <s v="IP68"/>
    <n v="8"/>
    <n v="2.5"/>
    <x v="3"/>
    <x v="10"/>
    <x v="0"/>
    <n v="59.7"/>
  </r>
  <r>
    <x v="16"/>
    <x v="11"/>
    <x v="1"/>
    <x v="11"/>
    <x v="1"/>
    <x v="1330"/>
    <n v="25.6"/>
    <n v="97.44"/>
    <n v="97.97"/>
    <n v="80.8"/>
    <s v="IPX8"/>
    <n v="7.2"/>
    <n v="3.4"/>
    <x v="3"/>
    <x v="3"/>
    <x v="1"/>
    <n v="59.6"/>
  </r>
  <r>
    <x v="16"/>
    <x v="5"/>
    <x v="4"/>
    <x v="5"/>
    <x v="2"/>
    <x v="1331"/>
    <n v="655.29999999999995"/>
    <n v="94.94"/>
    <n v="98.66"/>
    <n v="75.38"/>
    <s v="5ATM"/>
    <n v="8.9"/>
    <n v="4.2"/>
    <x v="2"/>
    <x v="2"/>
    <x v="0"/>
    <n v="63.5"/>
  </r>
  <r>
    <x v="16"/>
    <x v="25"/>
    <x v="5"/>
    <x v="25"/>
    <x v="2"/>
    <x v="1332"/>
    <n v="90.8"/>
    <n v="95.9"/>
    <n v="93.75"/>
    <n v="73.92"/>
    <s v="5ATM"/>
    <n v="7.9"/>
    <n v="3.4"/>
    <x v="2"/>
    <x v="1"/>
    <x v="0"/>
    <n v="60"/>
  </r>
  <r>
    <x v="16"/>
    <x v="27"/>
    <x v="9"/>
    <x v="27"/>
    <x v="2"/>
    <x v="1333"/>
    <n v="146.19999999999999"/>
    <n v="93.59"/>
    <n v="93.3"/>
    <n v="79.010000000000005"/>
    <s v="IPX8"/>
    <n v="7.7"/>
    <n v="3.3"/>
    <x v="2"/>
    <x v="2"/>
    <x v="2"/>
    <n v="61.2"/>
  </r>
  <r>
    <x v="16"/>
    <x v="10"/>
    <x v="7"/>
    <x v="10"/>
    <x v="4"/>
    <x v="1334"/>
    <n v="171.8"/>
    <n v="85.01"/>
    <n v="95.55"/>
    <n v="88.88"/>
    <s v="IPX8"/>
    <n v="8.6999999999999993"/>
    <m/>
    <x v="2"/>
    <x v="11"/>
    <x v="0"/>
    <n v="75.3"/>
  </r>
  <r>
    <x v="16"/>
    <x v="10"/>
    <x v="7"/>
    <x v="10"/>
    <x v="4"/>
    <x v="1335"/>
    <n v="171"/>
    <n v="88.72"/>
    <n v="96.24"/>
    <n v="86.52"/>
    <s v="IPX7"/>
    <n v="8.6"/>
    <m/>
    <x v="2"/>
    <x v="0"/>
    <x v="2"/>
    <n v="75.5"/>
  </r>
  <r>
    <x v="16"/>
    <x v="24"/>
    <x v="2"/>
    <x v="24"/>
    <x v="2"/>
    <x v="1336"/>
    <n v="159.1"/>
    <n v="94.4"/>
    <n v="95.3"/>
    <n v="79.02"/>
    <s v="IPX8"/>
    <n v="8.1"/>
    <n v="4"/>
    <x v="0"/>
    <x v="2"/>
    <x v="0"/>
    <n v="62.1"/>
  </r>
  <r>
    <x v="16"/>
    <x v="9"/>
    <x v="6"/>
    <x v="9"/>
    <x v="3"/>
    <x v="9"/>
    <n v="159.4"/>
    <n v="88.94"/>
    <n v="94.66"/>
    <n v="75.489999999999995"/>
    <s v="IPX4"/>
    <n v="7.9"/>
    <m/>
    <x v="2"/>
    <x v="8"/>
    <x v="2"/>
    <n v="71.400000000000006"/>
  </r>
  <r>
    <x v="16"/>
    <x v="26"/>
    <x v="9"/>
    <x v="26"/>
    <x v="2"/>
    <x v="1337"/>
    <n v="207.9"/>
    <n v="96.56"/>
    <n v="95.52"/>
    <n v="75.91"/>
    <s v="5ATM"/>
    <n v="6.5"/>
    <n v="2.8"/>
    <x v="2"/>
    <x v="6"/>
    <x v="0"/>
    <n v="60.3"/>
  </r>
  <r>
    <x v="16"/>
    <x v="6"/>
    <x v="5"/>
    <x v="6"/>
    <x v="2"/>
    <x v="1338"/>
    <n v="200.9"/>
    <n v="92.77"/>
    <n v="95.76"/>
    <n v="70.709999999999994"/>
    <s v="5ATM"/>
    <n v="7.2"/>
    <n v="4.7"/>
    <x v="2"/>
    <x v="12"/>
    <x v="0"/>
    <n v="58.7"/>
  </r>
  <r>
    <x v="16"/>
    <x v="0"/>
    <x v="0"/>
    <x v="0"/>
    <x v="0"/>
    <x v="1250"/>
    <n v="180.5"/>
    <n v="90.74"/>
    <n v="93.77"/>
    <n v="78.34"/>
    <s v="IPX4"/>
    <n v="7.3"/>
    <m/>
    <x v="0"/>
    <x v="12"/>
    <x v="0"/>
    <n v="71.2"/>
  </r>
  <r>
    <x v="16"/>
    <x v="11"/>
    <x v="1"/>
    <x v="11"/>
    <x v="1"/>
    <x v="1339"/>
    <n v="71.7"/>
    <n v="93.64"/>
    <n v="97.7"/>
    <n v="79.67"/>
    <s v="IPX8"/>
    <n v="8.8000000000000007"/>
    <n v="1.7"/>
    <x v="3"/>
    <x v="1"/>
    <x v="1"/>
    <n v="63.5"/>
  </r>
  <r>
    <x v="16"/>
    <x v="4"/>
    <x v="3"/>
    <x v="4"/>
    <x v="1"/>
    <x v="1340"/>
    <n v="50.3"/>
    <n v="95.41"/>
    <n v="97.84"/>
    <n v="83.34"/>
    <s v="5ATM"/>
    <n v="8.1"/>
    <n v="1.9"/>
    <x v="3"/>
    <x v="5"/>
    <x v="2"/>
    <n v="62.7"/>
  </r>
  <r>
    <x v="16"/>
    <x v="24"/>
    <x v="2"/>
    <x v="24"/>
    <x v="1"/>
    <x v="1341"/>
    <n v="63.9"/>
    <n v="97.29"/>
    <n v="95.32"/>
    <n v="82.23"/>
    <s v="5ATM"/>
    <n v="8.4"/>
    <n v="3.8"/>
    <x v="1"/>
    <x v="1"/>
    <x v="0"/>
    <n v="61.9"/>
  </r>
  <r>
    <x v="16"/>
    <x v="24"/>
    <x v="2"/>
    <x v="24"/>
    <x v="2"/>
    <x v="1342"/>
    <n v="216.5"/>
    <n v="92.03"/>
    <n v="95.54"/>
    <n v="79.540000000000006"/>
    <s v="IPX8"/>
    <n v="8"/>
    <n v="3.9"/>
    <x v="2"/>
    <x v="10"/>
    <x v="0"/>
    <n v="61.9"/>
  </r>
  <r>
    <x v="16"/>
    <x v="17"/>
    <x v="3"/>
    <x v="17"/>
    <x v="1"/>
    <x v="1343"/>
    <n v="59.6"/>
    <n v="93.59"/>
    <n v="96.53"/>
    <n v="80.72"/>
    <s v="IP68"/>
    <n v="9"/>
    <n v="3.2"/>
    <x v="3"/>
    <x v="3"/>
    <x v="2"/>
    <n v="62.5"/>
  </r>
  <r>
    <x v="16"/>
    <x v="3"/>
    <x v="2"/>
    <x v="3"/>
    <x v="2"/>
    <x v="1344"/>
    <n v="90.9"/>
    <n v="97.29"/>
    <n v="96.02"/>
    <n v="72.87"/>
    <s v="IPX8"/>
    <n v="7.5"/>
    <n v="3.8"/>
    <x v="2"/>
    <x v="1"/>
    <x v="0"/>
    <n v="59.5"/>
  </r>
  <r>
    <x v="16"/>
    <x v="1"/>
    <x v="1"/>
    <x v="1"/>
    <x v="1"/>
    <x v="1345"/>
    <n v="23.7"/>
    <n v="94.63"/>
    <n v="97.65"/>
    <n v="75.849999999999994"/>
    <s v="5ATM"/>
    <n v="8.6"/>
    <n v="3.9"/>
    <x v="3"/>
    <x v="10"/>
    <x v="1"/>
    <n v="60.2"/>
  </r>
  <r>
    <x v="16"/>
    <x v="21"/>
    <x v="1"/>
    <x v="21"/>
    <x v="1"/>
    <x v="1346"/>
    <n v="27.6"/>
    <n v="92.79"/>
    <n v="97.62"/>
    <n v="82.42"/>
    <s v="IP68"/>
    <n v="8.4"/>
    <n v="3.2"/>
    <x v="3"/>
    <x v="5"/>
    <x v="1"/>
    <n v="61.2"/>
  </r>
  <r>
    <x v="16"/>
    <x v="25"/>
    <x v="5"/>
    <x v="25"/>
    <x v="1"/>
    <x v="1347"/>
    <n v="20.399999999999999"/>
    <n v="92.64"/>
    <n v="94.73"/>
    <n v="81.09"/>
    <s v="IPX8"/>
    <n v="8"/>
    <n v="1.6"/>
    <x v="1"/>
    <x v="6"/>
    <x v="2"/>
    <n v="60.7"/>
  </r>
  <r>
    <x v="16"/>
    <x v="25"/>
    <x v="5"/>
    <x v="25"/>
    <x v="1"/>
    <x v="1348"/>
    <n v="23.9"/>
    <n v="95.24"/>
    <n v="94.73"/>
    <n v="81.14"/>
    <s v="5ATM"/>
    <n v="8.4"/>
    <n v="4"/>
    <x v="1"/>
    <x v="6"/>
    <x v="2"/>
    <n v="60.3"/>
  </r>
  <r>
    <x v="16"/>
    <x v="4"/>
    <x v="3"/>
    <x v="4"/>
    <x v="1"/>
    <x v="553"/>
    <n v="55"/>
    <n v="97.07"/>
    <n v="96.94"/>
    <n v="79.77"/>
    <s v="IPX8"/>
    <n v="7.1"/>
    <n v="3.4"/>
    <x v="1"/>
    <x v="5"/>
    <x v="2"/>
    <n v="59.6"/>
  </r>
  <r>
    <x v="16"/>
    <x v="16"/>
    <x v="4"/>
    <x v="16"/>
    <x v="1"/>
    <x v="1349"/>
    <n v="296.10000000000002"/>
    <n v="97.96"/>
    <n v="98.86"/>
    <n v="79.41"/>
    <s v="IPX8"/>
    <n v="7.3"/>
    <n v="3.5"/>
    <x v="1"/>
    <x v="9"/>
    <x v="0"/>
    <n v="62.5"/>
  </r>
  <r>
    <x v="16"/>
    <x v="15"/>
    <x v="8"/>
    <x v="15"/>
    <x v="1"/>
    <x v="1350"/>
    <n v="40.9"/>
    <n v="95.08"/>
    <n v="95.1"/>
    <n v="80.11"/>
    <s v="IP68"/>
    <n v="7.7"/>
    <n v="2.1"/>
    <x v="3"/>
    <x v="1"/>
    <x v="0"/>
    <n v="60.6"/>
  </r>
  <r>
    <x v="16"/>
    <x v="26"/>
    <x v="9"/>
    <x v="26"/>
    <x v="2"/>
    <x v="1351"/>
    <n v="73.3"/>
    <n v="94.53"/>
    <n v="94.34"/>
    <n v="76.48"/>
    <s v="5ATM"/>
    <n v="7.3"/>
    <n v="2.8"/>
    <x v="2"/>
    <x v="6"/>
    <x v="2"/>
    <n v="59.3"/>
  </r>
  <r>
    <x v="16"/>
    <x v="5"/>
    <x v="4"/>
    <x v="5"/>
    <x v="2"/>
    <x v="1352"/>
    <n v="466.8"/>
    <n v="96.99"/>
    <n v="99.14"/>
    <n v="74.69"/>
    <s v="IP68"/>
    <n v="8"/>
    <n v="1.8"/>
    <x v="2"/>
    <x v="12"/>
    <x v="0"/>
    <n v="63.9"/>
  </r>
  <r>
    <x v="16"/>
    <x v="13"/>
    <x v="0"/>
    <x v="13"/>
    <x v="0"/>
    <x v="1353"/>
    <n v="190.8"/>
    <n v="92.53"/>
    <n v="93.99"/>
    <n v="78.83"/>
    <s v="IPX7"/>
    <n v="7.3"/>
    <m/>
    <x v="0"/>
    <x v="0"/>
    <x v="0"/>
    <n v="71.7"/>
  </r>
  <r>
    <x v="16"/>
    <x v="21"/>
    <x v="1"/>
    <x v="21"/>
    <x v="1"/>
    <x v="1354"/>
    <n v="62.1"/>
    <n v="94.4"/>
    <n v="96.92"/>
    <n v="83.59"/>
    <s v="5ATM"/>
    <n v="8.8000000000000007"/>
    <n v="4.2"/>
    <x v="1"/>
    <x v="5"/>
    <x v="1"/>
    <n v="62.3"/>
  </r>
  <r>
    <x v="16"/>
    <x v="10"/>
    <x v="7"/>
    <x v="10"/>
    <x v="4"/>
    <x v="1355"/>
    <n v="178.9"/>
    <n v="91.05"/>
    <n v="96.31"/>
    <n v="85.02"/>
    <s v="IPX8"/>
    <n v="7.9"/>
    <m/>
    <x v="2"/>
    <x v="0"/>
    <x v="2"/>
    <n v="74.3"/>
  </r>
  <r>
    <x v="16"/>
    <x v="23"/>
    <x v="8"/>
    <x v="23"/>
    <x v="1"/>
    <x v="1356"/>
    <n v="48.5"/>
    <n v="97.38"/>
    <n v="95.32"/>
    <n v="83.44"/>
    <s v="IPX8"/>
    <n v="7.4"/>
    <n v="2.8"/>
    <x v="3"/>
    <x v="10"/>
    <x v="2"/>
    <n v="60.8"/>
  </r>
  <r>
    <x v="16"/>
    <x v="24"/>
    <x v="2"/>
    <x v="24"/>
    <x v="2"/>
    <x v="1357"/>
    <n v="194.5"/>
    <n v="95.29"/>
    <n v="94.31"/>
    <n v="76.95"/>
    <s v="5ATM"/>
    <n v="8"/>
    <n v="2.1"/>
    <x v="2"/>
    <x v="10"/>
    <x v="0"/>
    <n v="63"/>
  </r>
  <r>
    <x v="16"/>
    <x v="21"/>
    <x v="1"/>
    <x v="21"/>
    <x v="1"/>
    <x v="1358"/>
    <n v="59.2"/>
    <n v="95.02"/>
    <n v="96.19"/>
    <n v="81.680000000000007"/>
    <s v="IP68"/>
    <n v="8.5"/>
    <n v="4.9000000000000004"/>
    <x v="3"/>
    <x v="1"/>
    <x v="1"/>
    <n v="60.9"/>
  </r>
  <r>
    <x v="16"/>
    <x v="4"/>
    <x v="3"/>
    <x v="4"/>
    <x v="1"/>
    <x v="1359"/>
    <n v="62.9"/>
    <n v="93.97"/>
    <n v="97.87"/>
    <n v="79.540000000000006"/>
    <s v="IPX8"/>
    <n v="7.2"/>
    <n v="2.4"/>
    <x v="1"/>
    <x v="4"/>
    <x v="2"/>
    <n v="60.2"/>
  </r>
  <r>
    <x v="16"/>
    <x v="21"/>
    <x v="1"/>
    <x v="21"/>
    <x v="1"/>
    <x v="1360"/>
    <n v="29.6"/>
    <n v="94.52"/>
    <n v="96.85"/>
    <n v="78.7"/>
    <s v="IP68"/>
    <n v="8.5"/>
    <n v="4.8"/>
    <x v="3"/>
    <x v="1"/>
    <x v="1"/>
    <n v="59.9"/>
  </r>
  <r>
    <x v="16"/>
    <x v="6"/>
    <x v="5"/>
    <x v="6"/>
    <x v="2"/>
    <x v="1361"/>
    <n v="129.80000000000001"/>
    <n v="95.27"/>
    <n v="93.32"/>
    <n v="77.37"/>
    <s v="5ATM"/>
    <n v="7.5"/>
    <n v="4.4000000000000004"/>
    <x v="2"/>
    <x v="10"/>
    <x v="0"/>
    <n v="59.8"/>
  </r>
  <r>
    <x v="16"/>
    <x v="19"/>
    <x v="9"/>
    <x v="19"/>
    <x v="0"/>
    <x v="1362"/>
    <n v="196.8"/>
    <n v="88.35"/>
    <n v="96.67"/>
    <n v="79.760000000000005"/>
    <s v="IPX4"/>
    <n v="7.7"/>
    <m/>
    <x v="2"/>
    <x v="1"/>
    <x v="0"/>
    <n v="72.400000000000006"/>
  </r>
  <r>
    <x v="16"/>
    <x v="22"/>
    <x v="8"/>
    <x v="22"/>
    <x v="1"/>
    <x v="1363"/>
    <n v="36.4"/>
    <n v="96.98"/>
    <n v="94.74"/>
    <n v="79.28"/>
    <s v="IP68"/>
    <n v="9.4"/>
    <n v="4.0999999999999996"/>
    <x v="3"/>
    <x v="4"/>
    <x v="0"/>
    <n v="62.2"/>
  </r>
  <r>
    <x v="16"/>
    <x v="0"/>
    <x v="0"/>
    <x v="0"/>
    <x v="0"/>
    <x v="1364"/>
    <n v="216.2"/>
    <n v="91.77"/>
    <n v="93.34"/>
    <n v="77.7"/>
    <s v="IPX4"/>
    <n v="7.7"/>
    <m/>
    <x v="2"/>
    <x v="12"/>
    <x v="0"/>
    <n v="72"/>
  </r>
  <r>
    <x v="16"/>
    <x v="9"/>
    <x v="6"/>
    <x v="9"/>
    <x v="3"/>
    <x v="9"/>
    <n v="120.6"/>
    <n v="89.59"/>
    <n v="94.84"/>
    <n v="74.05"/>
    <s v="3ATM"/>
    <n v="7.9"/>
    <m/>
    <x v="2"/>
    <x v="0"/>
    <x v="0"/>
    <n v="70.400000000000006"/>
  </r>
  <r>
    <x v="16"/>
    <x v="23"/>
    <x v="8"/>
    <x v="23"/>
    <x v="1"/>
    <x v="1365"/>
    <n v="31.3"/>
    <n v="95.35"/>
    <n v="93.9"/>
    <n v="84.73"/>
    <s v="IPX8"/>
    <n v="8.1999999999999993"/>
    <n v="4"/>
    <x v="3"/>
    <x v="7"/>
    <x v="0"/>
    <n v="60.6"/>
  </r>
  <r>
    <x v="16"/>
    <x v="3"/>
    <x v="2"/>
    <x v="3"/>
    <x v="1"/>
    <x v="1366"/>
    <n v="37.799999999999997"/>
    <n v="94.3"/>
    <n v="96.81"/>
    <n v="77.48"/>
    <s v="IPX8"/>
    <n v="7.8"/>
    <n v="2.5"/>
    <x v="3"/>
    <x v="3"/>
    <x v="0"/>
    <n v="60.2"/>
  </r>
  <r>
    <x v="16"/>
    <x v="6"/>
    <x v="5"/>
    <x v="6"/>
    <x v="1"/>
    <x v="1367"/>
    <n v="23.9"/>
    <n v="97.04"/>
    <n v="96.23"/>
    <n v="77.23"/>
    <s v="5ATM"/>
    <n v="9.1999999999999993"/>
    <n v="3"/>
    <x v="3"/>
    <x v="1"/>
    <x v="0"/>
    <n v="62.2"/>
  </r>
  <r>
    <x v="16"/>
    <x v="7"/>
    <x v="4"/>
    <x v="7"/>
    <x v="2"/>
    <x v="1368"/>
    <n v="412.4"/>
    <n v="95.24"/>
    <n v="98.17"/>
    <n v="70.37"/>
    <s v="10ATM"/>
    <n v="8.1999999999999993"/>
    <n v="3.8"/>
    <x v="2"/>
    <x v="6"/>
    <x v="0"/>
    <n v="61.8"/>
  </r>
  <r>
    <x v="16"/>
    <x v="27"/>
    <x v="9"/>
    <x v="27"/>
    <x v="1"/>
    <x v="1369"/>
    <n v="51.3"/>
    <n v="97.06"/>
    <n v="95.37"/>
    <n v="80.069999999999993"/>
    <s v="IP68"/>
    <n v="7.1"/>
    <n v="4"/>
    <x v="1"/>
    <x v="1"/>
    <x v="0"/>
    <n v="58.9"/>
  </r>
  <r>
    <x v="16"/>
    <x v="6"/>
    <x v="5"/>
    <x v="6"/>
    <x v="1"/>
    <x v="1370"/>
    <n v="67.7"/>
    <n v="97.7"/>
    <n v="96.64"/>
    <n v="81.31"/>
    <s v="IP68"/>
    <n v="8.3000000000000007"/>
    <n v="2.5"/>
    <x v="1"/>
    <x v="10"/>
    <x v="2"/>
    <n v="62.8"/>
  </r>
  <r>
    <x v="16"/>
    <x v="7"/>
    <x v="4"/>
    <x v="7"/>
    <x v="2"/>
    <x v="1169"/>
    <n v="528.20000000000005"/>
    <n v="94.25"/>
    <n v="98.79"/>
    <n v="76.19"/>
    <s v="5ATM"/>
    <n v="9.1"/>
    <n v="4"/>
    <x v="2"/>
    <x v="0"/>
    <x v="0"/>
    <n v="64"/>
  </r>
  <r>
    <x v="16"/>
    <x v="5"/>
    <x v="4"/>
    <x v="5"/>
    <x v="1"/>
    <x v="1371"/>
    <n v="626.4"/>
    <n v="95.99"/>
    <n v="98.1"/>
    <n v="77.03"/>
    <s v="5ATM"/>
    <n v="8.4"/>
    <n v="2.9"/>
    <x v="1"/>
    <x v="4"/>
    <x v="0"/>
    <n v="63.9"/>
  </r>
  <r>
    <x v="16"/>
    <x v="26"/>
    <x v="9"/>
    <x v="26"/>
    <x v="1"/>
    <x v="1372"/>
    <n v="54"/>
    <n v="97.03"/>
    <n v="94.19"/>
    <n v="84.2"/>
    <s v="5ATM"/>
    <n v="7.2"/>
    <n v="5"/>
    <x v="1"/>
    <x v="3"/>
    <x v="2"/>
    <n v="59"/>
  </r>
  <r>
    <x v="16"/>
    <x v="6"/>
    <x v="5"/>
    <x v="6"/>
    <x v="2"/>
    <x v="1373"/>
    <n v="118.4"/>
    <n v="92.06"/>
    <n v="96.46"/>
    <n v="79.28"/>
    <s v="5ATM"/>
    <n v="7.3"/>
    <n v="5"/>
    <x v="2"/>
    <x v="6"/>
    <x v="0"/>
    <n v="59.1"/>
  </r>
  <r>
    <x v="16"/>
    <x v="11"/>
    <x v="1"/>
    <x v="11"/>
    <x v="1"/>
    <x v="1374"/>
    <n v="38.700000000000003"/>
    <n v="96.96"/>
    <n v="96.21"/>
    <n v="77.790000000000006"/>
    <s v="IP68"/>
    <n v="7.6"/>
    <n v="1.6"/>
    <x v="1"/>
    <x v="7"/>
    <x v="1"/>
    <n v="60.9"/>
  </r>
  <r>
    <x v="16"/>
    <x v="6"/>
    <x v="5"/>
    <x v="6"/>
    <x v="1"/>
    <x v="1375"/>
    <n v="26.8"/>
    <n v="97.1"/>
    <n v="94.58"/>
    <n v="76.63"/>
    <s v="IPX8"/>
    <n v="7.2"/>
    <n v="4.3"/>
    <x v="1"/>
    <x v="5"/>
    <x v="2"/>
    <n v="57.7"/>
  </r>
  <r>
    <x v="16"/>
    <x v="8"/>
    <x v="3"/>
    <x v="8"/>
    <x v="1"/>
    <x v="1376"/>
    <n v="56.4"/>
    <n v="94.12"/>
    <n v="98.09"/>
    <n v="77.42"/>
    <s v="IP68"/>
    <n v="9.1"/>
    <n v="2.2000000000000002"/>
    <x v="1"/>
    <x v="7"/>
    <x v="2"/>
    <n v="63.1"/>
  </r>
  <r>
    <x v="16"/>
    <x v="16"/>
    <x v="4"/>
    <x v="16"/>
    <x v="1"/>
    <x v="1377"/>
    <n v="393.5"/>
    <n v="95.98"/>
    <n v="99.42"/>
    <n v="76.2"/>
    <s v="5ATM"/>
    <n v="8.9"/>
    <n v="2.2999999999999998"/>
    <x v="3"/>
    <x v="6"/>
    <x v="0"/>
    <n v="65.2"/>
  </r>
  <r>
    <x v="16"/>
    <x v="19"/>
    <x v="9"/>
    <x v="19"/>
    <x v="0"/>
    <x v="1378"/>
    <n v="189.9"/>
    <n v="88.6"/>
    <n v="94.98"/>
    <n v="72.03"/>
    <s v="IPX4"/>
    <n v="7.6"/>
    <m/>
    <x v="2"/>
    <x v="10"/>
    <x v="0"/>
    <n v="70.3"/>
  </r>
  <r>
    <x v="16"/>
    <x v="13"/>
    <x v="0"/>
    <x v="13"/>
    <x v="0"/>
    <x v="1379"/>
    <n v="122.4"/>
    <n v="93.83"/>
    <n v="96.83"/>
    <n v="76.02"/>
    <s v="IPX4"/>
    <n v="7.2"/>
    <m/>
    <x v="2"/>
    <x v="10"/>
    <x v="0"/>
    <n v="70.7"/>
  </r>
  <r>
    <x v="16"/>
    <x v="1"/>
    <x v="1"/>
    <x v="1"/>
    <x v="1"/>
    <x v="1380"/>
    <n v="38.200000000000003"/>
    <n v="96.29"/>
    <n v="97.15"/>
    <n v="75.55"/>
    <s v="5ATM"/>
    <n v="8.5"/>
    <n v="2.6"/>
    <x v="1"/>
    <x v="1"/>
    <x v="1"/>
    <n v="61.4"/>
  </r>
  <r>
    <x v="16"/>
    <x v="25"/>
    <x v="5"/>
    <x v="25"/>
    <x v="2"/>
    <x v="1381"/>
    <n v="180.7"/>
    <n v="94.44"/>
    <n v="95.27"/>
    <n v="75.23"/>
    <s v="5ATM"/>
    <n v="7.1"/>
    <n v="3"/>
    <x v="0"/>
    <x v="12"/>
    <x v="2"/>
    <n v="60.7"/>
  </r>
  <r>
    <x v="16"/>
    <x v="9"/>
    <x v="6"/>
    <x v="9"/>
    <x v="3"/>
    <x v="9"/>
    <n v="136.69999999999999"/>
    <n v="89.64"/>
    <n v="94.61"/>
    <n v="73.66"/>
    <s v="3ATM"/>
    <n v="6.6"/>
    <m/>
    <x v="2"/>
    <x v="8"/>
    <x v="2"/>
    <n v="68"/>
  </r>
  <r>
    <x v="16"/>
    <x v="0"/>
    <x v="0"/>
    <x v="0"/>
    <x v="0"/>
    <x v="1382"/>
    <n v="72.5"/>
    <n v="92.7"/>
    <n v="96.63"/>
    <n v="78.349999999999994"/>
    <s v="3ATM"/>
    <n v="7"/>
    <m/>
    <x v="0"/>
    <x v="6"/>
    <x v="0"/>
    <n v="69.3"/>
  </r>
  <r>
    <x v="16"/>
    <x v="26"/>
    <x v="9"/>
    <x v="26"/>
    <x v="1"/>
    <x v="1383"/>
    <n v="41.4"/>
    <n v="95.21"/>
    <n v="93.68"/>
    <n v="76.040000000000006"/>
    <s v="5ATM"/>
    <n v="7"/>
    <n v="3.4"/>
    <x v="3"/>
    <x v="6"/>
    <x v="2"/>
    <n v="57.7"/>
  </r>
  <r>
    <x v="16"/>
    <x v="7"/>
    <x v="4"/>
    <x v="7"/>
    <x v="2"/>
    <x v="1384"/>
    <n v="374.5"/>
    <n v="95.12"/>
    <n v="99.37"/>
    <n v="74.900000000000006"/>
    <s v="10ATM"/>
    <n v="7.1"/>
    <n v="2.2999999999999998"/>
    <x v="2"/>
    <x v="1"/>
    <x v="0"/>
    <n v="61.9"/>
  </r>
  <r>
    <x v="16"/>
    <x v="10"/>
    <x v="7"/>
    <x v="10"/>
    <x v="4"/>
    <x v="1385"/>
    <n v="182.6"/>
    <n v="89.86"/>
    <n v="95.58"/>
    <n v="86.43"/>
    <s v="IPX7"/>
    <n v="8.6999999999999993"/>
    <m/>
    <x v="2"/>
    <x v="8"/>
    <x v="0"/>
    <n v="75.8"/>
  </r>
  <r>
    <x v="16"/>
    <x v="9"/>
    <x v="6"/>
    <x v="9"/>
    <x v="3"/>
    <x v="9"/>
    <n v="140.9"/>
    <n v="85.1"/>
    <n v="93.98"/>
    <n v="72.25"/>
    <s v="3ATM"/>
    <n v="7.3"/>
    <m/>
    <x v="2"/>
    <x v="8"/>
    <x v="2"/>
    <n v="68.2"/>
  </r>
  <r>
    <x v="16"/>
    <x v="10"/>
    <x v="7"/>
    <x v="10"/>
    <x v="4"/>
    <x v="1386"/>
    <n v="186.7"/>
    <n v="85.88"/>
    <n v="96.38"/>
    <n v="85.99"/>
    <s v="IPX8"/>
    <n v="7.7"/>
    <m/>
    <x v="2"/>
    <x v="8"/>
    <x v="2"/>
    <n v="73"/>
  </r>
  <r>
    <x v="16"/>
    <x v="26"/>
    <x v="9"/>
    <x v="26"/>
    <x v="1"/>
    <x v="1387"/>
    <n v="71.099999999999994"/>
    <n v="96.08"/>
    <n v="93.67"/>
    <n v="75.56"/>
    <s v="IPX8"/>
    <n v="7.9"/>
    <n v="2.1"/>
    <x v="1"/>
    <x v="9"/>
    <x v="0"/>
    <n v="60.7"/>
  </r>
  <r>
    <x v="16"/>
    <x v="15"/>
    <x v="8"/>
    <x v="15"/>
    <x v="1"/>
    <x v="1388"/>
    <n v="52.8"/>
    <n v="94.53"/>
    <n v="94.47"/>
    <n v="82.76"/>
    <s v="5ATM"/>
    <n v="6.9"/>
    <n v="2.8"/>
    <x v="1"/>
    <x v="7"/>
    <x v="0"/>
    <n v="59.3"/>
  </r>
  <r>
    <x v="16"/>
    <x v="11"/>
    <x v="1"/>
    <x v="11"/>
    <x v="1"/>
    <x v="1389"/>
    <n v="52.5"/>
    <n v="97.62"/>
    <n v="96.9"/>
    <n v="79.89"/>
    <s v="5ATM"/>
    <n v="7.9"/>
    <n v="3.1"/>
    <x v="1"/>
    <x v="10"/>
    <x v="1"/>
    <n v="61.2"/>
  </r>
  <r>
    <x v="16"/>
    <x v="18"/>
    <x v="4"/>
    <x v="18"/>
    <x v="1"/>
    <x v="1390"/>
    <n v="563.1"/>
    <n v="95.29"/>
    <n v="99.31"/>
    <n v="76.680000000000007"/>
    <s v="IPX8"/>
    <n v="9.4"/>
    <n v="3.2"/>
    <x v="3"/>
    <x v="5"/>
    <x v="0"/>
    <n v="65.400000000000006"/>
  </r>
  <r>
    <x v="16"/>
    <x v="4"/>
    <x v="3"/>
    <x v="4"/>
    <x v="1"/>
    <x v="1391"/>
    <n v="50.9"/>
    <n v="92.93"/>
    <n v="98.27"/>
    <n v="79.8"/>
    <s v="5ATM"/>
    <n v="9.1999999999999993"/>
    <n v="2.5"/>
    <x v="3"/>
    <x v="3"/>
    <x v="2"/>
    <n v="63.2"/>
  </r>
  <r>
    <x v="16"/>
    <x v="10"/>
    <x v="7"/>
    <x v="10"/>
    <x v="4"/>
    <x v="1392"/>
    <n v="175"/>
    <n v="89.85"/>
    <n v="96.28"/>
    <n v="90.57"/>
    <s v="IPX8"/>
    <n v="9"/>
    <m/>
    <x v="2"/>
    <x v="11"/>
    <x v="0"/>
    <n v="77.3"/>
  </r>
  <r>
    <x v="16"/>
    <x v="13"/>
    <x v="0"/>
    <x v="13"/>
    <x v="0"/>
    <x v="1393"/>
    <n v="114.6"/>
    <n v="91.28"/>
    <n v="93.27"/>
    <n v="76.92"/>
    <s v="3ATM"/>
    <n v="7.8"/>
    <m/>
    <x v="0"/>
    <x v="2"/>
    <x v="0"/>
    <n v="70.599999999999994"/>
  </r>
  <r>
    <x v="16"/>
    <x v="23"/>
    <x v="8"/>
    <x v="23"/>
    <x v="1"/>
    <x v="1394"/>
    <n v="44"/>
    <n v="94"/>
    <n v="95.86"/>
    <n v="76.959999999999994"/>
    <s v="5ATM"/>
    <n v="8"/>
    <n v="4.5"/>
    <x v="3"/>
    <x v="9"/>
    <x v="0"/>
    <n v="59"/>
  </r>
  <r>
    <x v="16"/>
    <x v="12"/>
    <x v="8"/>
    <x v="12"/>
    <x v="1"/>
    <x v="1395"/>
    <n v="45.1"/>
    <n v="94.48"/>
    <n v="95.29"/>
    <n v="77.75"/>
    <s v="5ATM"/>
    <n v="9.1999999999999993"/>
    <n v="4.7"/>
    <x v="1"/>
    <x v="3"/>
    <x v="0"/>
    <n v="61"/>
  </r>
  <r>
    <x v="16"/>
    <x v="27"/>
    <x v="9"/>
    <x v="27"/>
    <x v="1"/>
    <x v="1396"/>
    <n v="34.6"/>
    <n v="96.91"/>
    <n v="93.5"/>
    <n v="79.989999999999995"/>
    <s v="IPX8"/>
    <n v="6.8"/>
    <n v="2.7"/>
    <x v="3"/>
    <x v="4"/>
    <x v="0"/>
    <n v="58.6"/>
  </r>
  <r>
    <x v="16"/>
    <x v="27"/>
    <x v="9"/>
    <x v="27"/>
    <x v="1"/>
    <x v="1397"/>
    <n v="18.7"/>
    <n v="95.31"/>
    <n v="96.45"/>
    <n v="78.31"/>
    <s v="IP68"/>
    <n v="7.6"/>
    <n v="4.0999999999999996"/>
    <x v="3"/>
    <x v="9"/>
    <x v="2"/>
    <n v="58.6"/>
  </r>
  <r>
    <x v="16"/>
    <x v="25"/>
    <x v="5"/>
    <x v="25"/>
    <x v="1"/>
    <x v="1398"/>
    <n v="51"/>
    <n v="93.25"/>
    <n v="96.04"/>
    <n v="81.430000000000007"/>
    <s v="IP68"/>
    <n v="9.3000000000000007"/>
    <n v="2"/>
    <x v="3"/>
    <x v="7"/>
    <x v="0"/>
    <n v="63.6"/>
  </r>
  <r>
    <x v="16"/>
    <x v="3"/>
    <x v="2"/>
    <x v="3"/>
    <x v="2"/>
    <x v="1399"/>
    <n v="154"/>
    <n v="95.49"/>
    <n v="96.48"/>
    <n v="78.47"/>
    <s v="5ATM"/>
    <n v="8.1"/>
    <n v="3.1"/>
    <x v="2"/>
    <x v="2"/>
    <x v="0"/>
    <n v="62.9"/>
  </r>
  <r>
    <x v="16"/>
    <x v="10"/>
    <x v="7"/>
    <x v="10"/>
    <x v="4"/>
    <x v="1400"/>
    <n v="175.5"/>
    <n v="90.26"/>
    <n v="95.45"/>
    <n v="91.84"/>
    <s v="IPX8"/>
    <n v="8.8000000000000007"/>
    <m/>
    <x v="2"/>
    <x v="0"/>
    <x v="0"/>
    <n v="77.099999999999994"/>
  </r>
  <r>
    <x v="16"/>
    <x v="10"/>
    <x v="7"/>
    <x v="10"/>
    <x v="4"/>
    <x v="1401"/>
    <n v="191.5"/>
    <n v="86.67"/>
    <n v="94.53"/>
    <n v="90.99"/>
    <s v="IPX8"/>
    <n v="8.1"/>
    <m/>
    <x v="2"/>
    <x v="12"/>
    <x v="0"/>
    <n v="74.599999999999994"/>
  </r>
  <r>
    <x v="16"/>
    <x v="10"/>
    <x v="7"/>
    <x v="10"/>
    <x v="4"/>
    <x v="1402"/>
    <n v="187.1"/>
    <n v="86.18"/>
    <n v="95.88"/>
    <n v="88.42"/>
    <s v="IPX7"/>
    <n v="7.8"/>
    <m/>
    <x v="2"/>
    <x v="8"/>
    <x v="2"/>
    <n v="73.7"/>
  </r>
  <r>
    <x v="16"/>
    <x v="17"/>
    <x v="3"/>
    <x v="17"/>
    <x v="1"/>
    <x v="1403"/>
    <n v="52.7"/>
    <n v="94.77"/>
    <n v="98.15"/>
    <n v="82.66"/>
    <s v="IP68"/>
    <n v="9.4"/>
    <n v="2.2999999999999998"/>
    <x v="1"/>
    <x v="3"/>
    <x v="2"/>
    <n v="64.400000000000006"/>
  </r>
  <r>
    <x v="16"/>
    <x v="9"/>
    <x v="6"/>
    <x v="9"/>
    <x v="3"/>
    <x v="9"/>
    <n v="167.5"/>
    <n v="86.47"/>
    <n v="96.96"/>
    <n v="71.63"/>
    <s v="IPX4"/>
    <n v="6.5"/>
    <m/>
    <x v="2"/>
    <x v="0"/>
    <x v="2"/>
    <n v="68"/>
  </r>
  <r>
    <x v="17"/>
    <x v="1"/>
    <x v="1"/>
    <x v="1"/>
    <x v="1"/>
    <x v="1404"/>
    <n v="31.4"/>
    <n v="93.75"/>
    <n v="97.79"/>
    <n v="79.03"/>
    <s v="5ATM"/>
    <n v="8.9"/>
    <n v="3.6"/>
    <x v="1"/>
    <x v="6"/>
    <x v="1"/>
    <n v="61.5"/>
  </r>
  <r>
    <x v="17"/>
    <x v="11"/>
    <x v="1"/>
    <x v="11"/>
    <x v="1"/>
    <x v="1405"/>
    <n v="70"/>
    <n v="96.53"/>
    <n v="98.44"/>
    <n v="82.82"/>
    <s v="IP68"/>
    <n v="9.1999999999999993"/>
    <n v="4.8"/>
    <x v="3"/>
    <x v="1"/>
    <x v="1"/>
    <n v="63.2"/>
  </r>
  <r>
    <x v="17"/>
    <x v="9"/>
    <x v="6"/>
    <x v="9"/>
    <x v="3"/>
    <x v="9"/>
    <n v="148.1"/>
    <n v="91.57"/>
    <n v="93.62"/>
    <n v="72.23"/>
    <s v="IPX7"/>
    <n v="6.5"/>
    <m/>
    <x v="2"/>
    <x v="8"/>
    <x v="0"/>
    <n v="68"/>
  </r>
  <r>
    <x v="17"/>
    <x v="24"/>
    <x v="2"/>
    <x v="24"/>
    <x v="1"/>
    <x v="1406"/>
    <n v="23.6"/>
    <n v="96.86"/>
    <n v="94.41"/>
    <n v="84.1"/>
    <s v="IPX8"/>
    <n v="7.5"/>
    <n v="1.9"/>
    <x v="3"/>
    <x v="7"/>
    <x v="0"/>
    <n v="60.9"/>
  </r>
  <r>
    <x v="17"/>
    <x v="10"/>
    <x v="7"/>
    <x v="10"/>
    <x v="4"/>
    <x v="1407"/>
    <n v="171.8"/>
    <n v="88.45"/>
    <n v="96.17"/>
    <n v="91.6"/>
    <s v="IPX8"/>
    <n v="7.5"/>
    <m/>
    <x v="2"/>
    <x v="11"/>
    <x v="2"/>
    <n v="74.2"/>
  </r>
  <r>
    <x v="17"/>
    <x v="3"/>
    <x v="2"/>
    <x v="3"/>
    <x v="1"/>
    <x v="1408"/>
    <n v="65.7"/>
    <n v="94.45"/>
    <n v="96.22"/>
    <n v="80.61"/>
    <s v="IP68"/>
    <n v="8.1999999999999993"/>
    <n v="2.4"/>
    <x v="1"/>
    <x v="4"/>
    <x v="0"/>
    <n v="61.9"/>
  </r>
  <r>
    <x v="17"/>
    <x v="25"/>
    <x v="5"/>
    <x v="25"/>
    <x v="2"/>
    <x v="1409"/>
    <n v="174"/>
    <n v="94.58"/>
    <n v="95.27"/>
    <n v="73.739999999999995"/>
    <s v="IP68"/>
    <n v="8.1999999999999993"/>
    <n v="3.1"/>
    <x v="0"/>
    <x v="6"/>
    <x v="0"/>
    <n v="62.2"/>
  </r>
  <r>
    <x v="17"/>
    <x v="9"/>
    <x v="6"/>
    <x v="9"/>
    <x v="3"/>
    <x v="9"/>
    <n v="135.6"/>
    <n v="85.4"/>
    <n v="96.26"/>
    <n v="78.239999999999995"/>
    <s v="IPX4"/>
    <n v="7.5"/>
    <m/>
    <x v="2"/>
    <x v="11"/>
    <x v="2"/>
    <n v="70.2"/>
  </r>
  <r>
    <x v="17"/>
    <x v="8"/>
    <x v="3"/>
    <x v="8"/>
    <x v="1"/>
    <x v="1410"/>
    <n v="53.7"/>
    <n v="97.12"/>
    <n v="98.18"/>
    <n v="82.31"/>
    <s v="IP68"/>
    <n v="8.1"/>
    <n v="2.6"/>
    <x v="1"/>
    <x v="7"/>
    <x v="2"/>
    <n v="62.4"/>
  </r>
  <r>
    <x v="17"/>
    <x v="11"/>
    <x v="1"/>
    <x v="11"/>
    <x v="1"/>
    <x v="1411"/>
    <n v="24.9"/>
    <n v="95.2"/>
    <n v="96.54"/>
    <n v="82.79"/>
    <s v="5ATM"/>
    <n v="7.3"/>
    <n v="2.7"/>
    <x v="1"/>
    <x v="5"/>
    <x v="1"/>
    <n v="59.9"/>
  </r>
  <r>
    <x v="17"/>
    <x v="2"/>
    <x v="0"/>
    <x v="2"/>
    <x v="2"/>
    <x v="1412"/>
    <n v="233"/>
    <n v="94.18"/>
    <n v="96.25"/>
    <n v="71.22"/>
    <s v="5ATM"/>
    <n v="7.7"/>
    <n v="2.9"/>
    <x v="0"/>
    <x v="1"/>
    <x v="0"/>
    <n v="61.2"/>
  </r>
  <r>
    <x v="17"/>
    <x v="22"/>
    <x v="8"/>
    <x v="22"/>
    <x v="1"/>
    <x v="1413"/>
    <n v="25.6"/>
    <n v="95.4"/>
    <n v="94.87"/>
    <n v="80.930000000000007"/>
    <s v="IP68"/>
    <n v="8.3000000000000007"/>
    <n v="4.5"/>
    <x v="1"/>
    <x v="3"/>
    <x v="0"/>
    <n v="59.9"/>
  </r>
  <r>
    <x v="17"/>
    <x v="9"/>
    <x v="6"/>
    <x v="9"/>
    <x v="3"/>
    <x v="9"/>
    <n v="139.19999999999999"/>
    <n v="90.74"/>
    <n v="95.14"/>
    <n v="75.959999999999994"/>
    <s v="IPX4"/>
    <n v="6.2"/>
    <m/>
    <x v="2"/>
    <x v="11"/>
    <x v="0"/>
    <n v="68.099999999999994"/>
  </r>
  <r>
    <x v="17"/>
    <x v="9"/>
    <x v="6"/>
    <x v="9"/>
    <x v="3"/>
    <x v="9"/>
    <n v="155.6"/>
    <n v="91.92"/>
    <n v="96.03"/>
    <n v="70.66"/>
    <s v="IPX7"/>
    <n v="7.7"/>
    <m/>
    <x v="2"/>
    <x v="0"/>
    <x v="0"/>
    <n v="70.8"/>
  </r>
  <r>
    <x v="17"/>
    <x v="4"/>
    <x v="3"/>
    <x v="4"/>
    <x v="1"/>
    <x v="1414"/>
    <n v="66.7"/>
    <n v="96.37"/>
    <n v="97.95"/>
    <n v="78.41"/>
    <s v="5ATM"/>
    <n v="7.6"/>
    <n v="1.5"/>
    <x v="1"/>
    <x v="4"/>
    <x v="2"/>
    <n v="61.8"/>
  </r>
  <r>
    <x v="17"/>
    <x v="13"/>
    <x v="0"/>
    <x v="13"/>
    <x v="0"/>
    <x v="1415"/>
    <n v="132.80000000000001"/>
    <n v="89.68"/>
    <n v="96.21"/>
    <n v="78.510000000000005"/>
    <s v="IPX7"/>
    <n v="6.6"/>
    <m/>
    <x v="0"/>
    <x v="1"/>
    <x v="0"/>
    <n v="69.2"/>
  </r>
  <r>
    <x v="17"/>
    <x v="27"/>
    <x v="9"/>
    <x v="27"/>
    <x v="2"/>
    <x v="1416"/>
    <n v="108.8"/>
    <n v="93.98"/>
    <n v="93.26"/>
    <n v="73.81"/>
    <s v="IPX8"/>
    <n v="8.3000000000000007"/>
    <n v="4.9000000000000004"/>
    <x v="2"/>
    <x v="1"/>
    <x v="0"/>
    <n v="59.6"/>
  </r>
  <r>
    <x v="17"/>
    <x v="12"/>
    <x v="8"/>
    <x v="12"/>
    <x v="1"/>
    <x v="1417"/>
    <n v="62.8"/>
    <n v="93.89"/>
    <n v="94.23"/>
    <n v="80.63"/>
    <s v="IPX8"/>
    <n v="8"/>
    <n v="4.8"/>
    <x v="1"/>
    <x v="4"/>
    <x v="0"/>
    <n v="59.5"/>
  </r>
  <r>
    <x v="17"/>
    <x v="9"/>
    <x v="6"/>
    <x v="9"/>
    <x v="3"/>
    <x v="9"/>
    <n v="152.30000000000001"/>
    <n v="91.18"/>
    <n v="94.12"/>
    <n v="72.180000000000007"/>
    <s v="3ATM"/>
    <n v="6.8"/>
    <m/>
    <x v="2"/>
    <x v="8"/>
    <x v="0"/>
    <n v="68.7"/>
  </r>
  <r>
    <x v="17"/>
    <x v="25"/>
    <x v="5"/>
    <x v="25"/>
    <x v="2"/>
    <x v="1418"/>
    <n v="177.3"/>
    <n v="94.24"/>
    <n v="94.81"/>
    <n v="70.010000000000005"/>
    <s v="IP68"/>
    <n v="7.7"/>
    <n v="4.4000000000000004"/>
    <x v="2"/>
    <x v="1"/>
    <x v="0"/>
    <n v="59.7"/>
  </r>
  <r>
    <x v="17"/>
    <x v="1"/>
    <x v="1"/>
    <x v="1"/>
    <x v="1"/>
    <x v="1419"/>
    <n v="35.4"/>
    <n v="94.1"/>
    <n v="96.05"/>
    <n v="83.4"/>
    <s v="5ATM"/>
    <n v="9.1999999999999993"/>
    <n v="4.5"/>
    <x v="1"/>
    <x v="4"/>
    <x v="1"/>
    <n v="62"/>
  </r>
  <r>
    <x v="17"/>
    <x v="17"/>
    <x v="3"/>
    <x v="17"/>
    <x v="1"/>
    <x v="1420"/>
    <n v="65"/>
    <n v="94.25"/>
    <n v="96.55"/>
    <n v="79.709999999999994"/>
    <s v="IPX8"/>
    <n v="8.1"/>
    <n v="3"/>
    <x v="1"/>
    <x v="7"/>
    <x v="2"/>
    <n v="61.2"/>
  </r>
  <r>
    <x v="17"/>
    <x v="26"/>
    <x v="9"/>
    <x v="26"/>
    <x v="1"/>
    <x v="1421"/>
    <n v="66.5"/>
    <n v="93.75"/>
    <n v="93.44"/>
    <n v="78.45"/>
    <s v="IP68"/>
    <n v="7.4"/>
    <n v="4.5999999999999996"/>
    <x v="3"/>
    <x v="1"/>
    <x v="2"/>
    <n v="58.2"/>
  </r>
  <r>
    <x v="17"/>
    <x v="28"/>
    <x v="4"/>
    <x v="28"/>
    <x v="2"/>
    <x v="1422"/>
    <n v="1535.6"/>
    <n v="97.41"/>
    <n v="98.51"/>
    <n v="79.86"/>
    <s v="10ATM"/>
    <n v="8.9"/>
    <n v="2.1"/>
    <x v="2"/>
    <x v="10"/>
    <x v="0"/>
    <n v="66.099999999999994"/>
  </r>
  <r>
    <x v="17"/>
    <x v="10"/>
    <x v="7"/>
    <x v="10"/>
    <x v="4"/>
    <x v="1423"/>
    <n v="183.6"/>
    <n v="88.71"/>
    <n v="93.37"/>
    <n v="88.17"/>
    <s v="IPX7"/>
    <n v="8.1999999999999993"/>
    <m/>
    <x v="2"/>
    <x v="11"/>
    <x v="0"/>
    <n v="74.5"/>
  </r>
  <r>
    <x v="17"/>
    <x v="10"/>
    <x v="7"/>
    <x v="10"/>
    <x v="4"/>
    <x v="1424"/>
    <n v="171.1"/>
    <n v="90.91"/>
    <n v="95.11"/>
    <n v="91"/>
    <s v="IPX8"/>
    <n v="7.6"/>
    <m/>
    <x v="2"/>
    <x v="11"/>
    <x v="0"/>
    <n v="74.599999999999994"/>
  </r>
  <r>
    <x v="17"/>
    <x v="8"/>
    <x v="3"/>
    <x v="8"/>
    <x v="1"/>
    <x v="1425"/>
    <n v="63.1"/>
    <n v="92.38"/>
    <n v="98.04"/>
    <n v="76.14"/>
    <s v="IP68"/>
    <n v="9.1999999999999993"/>
    <n v="2.2999999999999998"/>
    <x v="3"/>
    <x v="4"/>
    <x v="2"/>
    <n v="62.8"/>
  </r>
  <r>
    <x v="17"/>
    <x v="10"/>
    <x v="7"/>
    <x v="10"/>
    <x v="4"/>
    <x v="1426"/>
    <n v="187.7"/>
    <n v="85.44"/>
    <n v="95.78"/>
    <n v="88.64"/>
    <s v="IPX7"/>
    <n v="8.3000000000000007"/>
    <m/>
    <x v="2"/>
    <x v="8"/>
    <x v="2"/>
    <n v="74.599999999999994"/>
  </r>
  <r>
    <x v="17"/>
    <x v="25"/>
    <x v="5"/>
    <x v="25"/>
    <x v="2"/>
    <x v="1427"/>
    <n v="183.9"/>
    <n v="95.18"/>
    <n v="95.19"/>
    <n v="74.58"/>
    <s v="IP68"/>
    <n v="7.2"/>
    <n v="4.3"/>
    <x v="2"/>
    <x v="2"/>
    <x v="2"/>
    <n v="60"/>
  </r>
  <r>
    <x v="17"/>
    <x v="7"/>
    <x v="4"/>
    <x v="7"/>
    <x v="2"/>
    <x v="46"/>
    <n v="437.4"/>
    <n v="95.53"/>
    <n v="98.38"/>
    <n v="71.8"/>
    <s v="10ATM"/>
    <n v="7.1"/>
    <n v="4.8"/>
    <x v="0"/>
    <x v="12"/>
    <x v="0"/>
    <n v="59.6"/>
  </r>
  <r>
    <x v="17"/>
    <x v="2"/>
    <x v="0"/>
    <x v="2"/>
    <x v="1"/>
    <x v="558"/>
    <n v="65.3"/>
    <n v="96.54"/>
    <n v="94.24"/>
    <n v="81.95"/>
    <s v="IP68"/>
    <n v="7.9"/>
    <n v="2.8"/>
    <x v="1"/>
    <x v="9"/>
    <x v="0"/>
    <n v="61.4"/>
  </r>
  <r>
    <x v="17"/>
    <x v="8"/>
    <x v="3"/>
    <x v="8"/>
    <x v="1"/>
    <x v="1428"/>
    <n v="56.9"/>
    <n v="93.71"/>
    <n v="96.6"/>
    <n v="77.2"/>
    <s v="IP68"/>
    <n v="8.9"/>
    <n v="2.4"/>
    <x v="3"/>
    <x v="5"/>
    <x v="2"/>
    <n v="62.3"/>
  </r>
  <r>
    <x v="17"/>
    <x v="23"/>
    <x v="8"/>
    <x v="23"/>
    <x v="1"/>
    <x v="1429"/>
    <n v="18.3"/>
    <n v="94.2"/>
    <n v="95.06"/>
    <n v="82.39"/>
    <s v="5ATM"/>
    <n v="8.4"/>
    <n v="2.5"/>
    <x v="3"/>
    <x v="6"/>
    <x v="2"/>
    <n v="61.3"/>
  </r>
  <r>
    <x v="17"/>
    <x v="10"/>
    <x v="7"/>
    <x v="10"/>
    <x v="4"/>
    <x v="1430"/>
    <n v="185.4"/>
    <n v="91.38"/>
    <n v="95.46"/>
    <n v="88.04"/>
    <s v="IPX7"/>
    <n v="8.1"/>
    <m/>
    <x v="2"/>
    <x v="12"/>
    <x v="0"/>
    <n v="75.2"/>
  </r>
  <r>
    <x v="17"/>
    <x v="27"/>
    <x v="9"/>
    <x v="27"/>
    <x v="1"/>
    <x v="1431"/>
    <n v="24.4"/>
    <n v="96.04"/>
    <n v="93.21"/>
    <n v="77.23"/>
    <s v="IP68"/>
    <n v="8"/>
    <n v="4.8"/>
    <x v="1"/>
    <x v="7"/>
    <x v="0"/>
    <n v="58.4"/>
  </r>
  <r>
    <x v="17"/>
    <x v="6"/>
    <x v="5"/>
    <x v="6"/>
    <x v="1"/>
    <x v="1432"/>
    <n v="27.3"/>
    <n v="95.46"/>
    <n v="95.27"/>
    <n v="81.150000000000006"/>
    <s v="IP68"/>
    <n v="7.6"/>
    <n v="2.1"/>
    <x v="1"/>
    <x v="4"/>
    <x v="0"/>
    <n v="60.5"/>
  </r>
  <r>
    <x v="17"/>
    <x v="6"/>
    <x v="5"/>
    <x v="6"/>
    <x v="2"/>
    <x v="1433"/>
    <n v="164.5"/>
    <n v="93.42"/>
    <n v="93.67"/>
    <n v="76.53"/>
    <s v="IP68"/>
    <n v="8.4"/>
    <n v="4.3"/>
    <x v="0"/>
    <x v="6"/>
    <x v="2"/>
    <n v="61.7"/>
  </r>
  <r>
    <x v="17"/>
    <x v="10"/>
    <x v="7"/>
    <x v="10"/>
    <x v="4"/>
    <x v="1434"/>
    <n v="178.2"/>
    <n v="88.11"/>
    <n v="94.7"/>
    <n v="86.03"/>
    <s v="IPX7"/>
    <n v="8"/>
    <m/>
    <x v="2"/>
    <x v="11"/>
    <x v="2"/>
    <n v="73.8"/>
  </r>
  <r>
    <x v="17"/>
    <x v="16"/>
    <x v="4"/>
    <x v="16"/>
    <x v="2"/>
    <x v="1435"/>
    <n v="475.4"/>
    <n v="92.72"/>
    <n v="98.3"/>
    <n v="73.39"/>
    <s v="5ATM"/>
    <n v="7.1"/>
    <n v="4.5999999999999996"/>
    <x v="2"/>
    <x v="0"/>
    <x v="0"/>
    <n v="59.5"/>
  </r>
  <r>
    <x v="17"/>
    <x v="27"/>
    <x v="9"/>
    <x v="27"/>
    <x v="2"/>
    <x v="1436"/>
    <n v="164.7"/>
    <n v="95.67"/>
    <n v="93.34"/>
    <n v="73.09"/>
    <s v="IP68"/>
    <n v="8.1"/>
    <n v="3.3"/>
    <x v="0"/>
    <x v="6"/>
    <x v="2"/>
    <n v="61.6"/>
  </r>
  <r>
    <x v="17"/>
    <x v="8"/>
    <x v="3"/>
    <x v="8"/>
    <x v="1"/>
    <x v="1437"/>
    <n v="30.5"/>
    <n v="97.65"/>
    <n v="96.07"/>
    <n v="82.38"/>
    <s v="5ATM"/>
    <n v="8.6999999999999993"/>
    <n v="1.6"/>
    <x v="1"/>
    <x v="9"/>
    <x v="2"/>
    <n v="63.4"/>
  </r>
  <r>
    <x v="17"/>
    <x v="15"/>
    <x v="8"/>
    <x v="15"/>
    <x v="1"/>
    <x v="1438"/>
    <n v="19.100000000000001"/>
    <n v="93.96"/>
    <n v="94.84"/>
    <n v="83.63"/>
    <s v="IP68"/>
    <n v="7.8"/>
    <n v="3"/>
    <x v="1"/>
    <x v="7"/>
    <x v="2"/>
    <n v="60.1"/>
  </r>
  <r>
    <x v="17"/>
    <x v="16"/>
    <x v="4"/>
    <x v="16"/>
    <x v="2"/>
    <x v="1439"/>
    <n v="608.1"/>
    <n v="93.64"/>
    <n v="98.68"/>
    <n v="71.260000000000005"/>
    <s v="5ATM"/>
    <n v="9.1"/>
    <n v="2.7"/>
    <x v="0"/>
    <x v="1"/>
    <x v="0"/>
    <n v="64"/>
  </r>
  <r>
    <x v="17"/>
    <x v="2"/>
    <x v="0"/>
    <x v="2"/>
    <x v="1"/>
    <x v="1440"/>
    <n v="39.200000000000003"/>
    <n v="92.91"/>
    <n v="93.32"/>
    <n v="83.69"/>
    <s v="5ATM"/>
    <n v="7.6"/>
    <n v="1.5"/>
    <x v="1"/>
    <x v="4"/>
    <x v="0"/>
    <n v="60.8"/>
  </r>
  <r>
    <x v="17"/>
    <x v="24"/>
    <x v="2"/>
    <x v="24"/>
    <x v="1"/>
    <x v="1441"/>
    <n v="58.8"/>
    <n v="94.99"/>
    <n v="96.65"/>
    <n v="81.42"/>
    <s v="5ATM"/>
    <n v="8"/>
    <n v="2.2999999999999998"/>
    <x v="3"/>
    <x v="6"/>
    <x v="0"/>
    <n v="61.8"/>
  </r>
  <r>
    <x v="17"/>
    <x v="25"/>
    <x v="5"/>
    <x v="25"/>
    <x v="2"/>
    <x v="1442"/>
    <n v="173.3"/>
    <n v="97.94"/>
    <n v="96.19"/>
    <n v="79.73"/>
    <s v="IP68"/>
    <n v="8"/>
    <n v="4.3"/>
    <x v="0"/>
    <x v="12"/>
    <x v="2"/>
    <n v="62.8"/>
  </r>
  <r>
    <x v="17"/>
    <x v="22"/>
    <x v="8"/>
    <x v="22"/>
    <x v="1"/>
    <x v="1443"/>
    <n v="48.6"/>
    <n v="94.06"/>
    <n v="94.21"/>
    <n v="81.05"/>
    <s v="5ATM"/>
    <n v="8.6999999999999993"/>
    <n v="2"/>
    <x v="1"/>
    <x v="10"/>
    <x v="0"/>
    <n v="62.4"/>
  </r>
  <r>
    <x v="17"/>
    <x v="23"/>
    <x v="8"/>
    <x v="23"/>
    <x v="1"/>
    <x v="1444"/>
    <n v="65.400000000000006"/>
    <n v="94.23"/>
    <n v="96.32"/>
    <n v="78.03"/>
    <s v="IP68"/>
    <n v="6.6"/>
    <n v="1.9"/>
    <x v="3"/>
    <x v="5"/>
    <x v="2"/>
    <n v="59.1"/>
  </r>
  <r>
    <x v="17"/>
    <x v="24"/>
    <x v="2"/>
    <x v="24"/>
    <x v="1"/>
    <x v="1445"/>
    <n v="34.200000000000003"/>
    <n v="95.73"/>
    <n v="96.64"/>
    <n v="82.12"/>
    <s v="IPX8"/>
    <n v="7.4"/>
    <n v="1.8"/>
    <x v="1"/>
    <x v="10"/>
    <x v="0"/>
    <n v="60.9"/>
  </r>
  <r>
    <x v="17"/>
    <x v="24"/>
    <x v="2"/>
    <x v="24"/>
    <x v="1"/>
    <x v="1446"/>
    <n v="57"/>
    <n v="93.44"/>
    <n v="94.89"/>
    <n v="82.13"/>
    <s v="5ATM"/>
    <n v="7.5"/>
    <n v="2.5"/>
    <x v="3"/>
    <x v="5"/>
    <x v="0"/>
    <n v="60.4"/>
  </r>
  <r>
    <x v="17"/>
    <x v="4"/>
    <x v="3"/>
    <x v="4"/>
    <x v="1"/>
    <x v="1447"/>
    <n v="66.099999999999994"/>
    <n v="92.87"/>
    <n v="97.6"/>
    <n v="78.7"/>
    <s v="IPX8"/>
    <n v="7.4"/>
    <n v="3.8"/>
    <x v="3"/>
    <x v="9"/>
    <x v="2"/>
    <n v="59.3"/>
  </r>
  <r>
    <x v="17"/>
    <x v="4"/>
    <x v="3"/>
    <x v="4"/>
    <x v="1"/>
    <x v="1448"/>
    <n v="71.8"/>
    <n v="94.08"/>
    <n v="98.48"/>
    <n v="83.58"/>
    <s v="IP68"/>
    <n v="7.2"/>
    <n v="4.4000000000000004"/>
    <x v="3"/>
    <x v="10"/>
    <x v="2"/>
    <n v="59.8"/>
  </r>
  <r>
    <x v="17"/>
    <x v="24"/>
    <x v="2"/>
    <x v="24"/>
    <x v="1"/>
    <x v="1449"/>
    <n v="40.9"/>
    <n v="97.47"/>
    <n v="94.81"/>
    <n v="75.010000000000005"/>
    <s v="IPX8"/>
    <n v="8.4"/>
    <n v="3.7"/>
    <x v="3"/>
    <x v="10"/>
    <x v="0"/>
    <n v="60.2"/>
  </r>
  <r>
    <x v="17"/>
    <x v="14"/>
    <x v="9"/>
    <x v="14"/>
    <x v="1"/>
    <x v="1450"/>
    <n v="51.7"/>
    <n v="95.51"/>
    <n v="95.85"/>
    <n v="78.81"/>
    <s v="IP68"/>
    <n v="7.1"/>
    <n v="3.1"/>
    <x v="3"/>
    <x v="6"/>
    <x v="2"/>
    <n v="59.2"/>
  </r>
  <r>
    <x v="17"/>
    <x v="16"/>
    <x v="4"/>
    <x v="16"/>
    <x v="1"/>
    <x v="1451"/>
    <n v="272.60000000000002"/>
    <n v="96.3"/>
    <n v="98.71"/>
    <n v="84.23"/>
    <s v="IP68"/>
    <n v="8.1999999999999993"/>
    <n v="4.9000000000000004"/>
    <x v="1"/>
    <x v="4"/>
    <x v="0"/>
    <n v="63.6"/>
  </r>
  <r>
    <x v="17"/>
    <x v="10"/>
    <x v="7"/>
    <x v="10"/>
    <x v="4"/>
    <x v="1452"/>
    <n v="174.9"/>
    <n v="90.1"/>
    <n v="93.87"/>
    <n v="86.16"/>
    <s v="IPX7"/>
    <n v="8"/>
    <m/>
    <x v="2"/>
    <x v="11"/>
    <x v="0"/>
    <n v="74"/>
  </r>
  <r>
    <x v="17"/>
    <x v="17"/>
    <x v="3"/>
    <x v="17"/>
    <x v="1"/>
    <x v="1453"/>
    <n v="61.5"/>
    <n v="93.46"/>
    <n v="97.24"/>
    <n v="80.91"/>
    <s v="IP68"/>
    <n v="7.4"/>
    <n v="5"/>
    <x v="3"/>
    <x v="7"/>
    <x v="2"/>
    <n v="58.8"/>
  </r>
  <r>
    <x v="17"/>
    <x v="6"/>
    <x v="5"/>
    <x v="6"/>
    <x v="1"/>
    <x v="1454"/>
    <n v="35.700000000000003"/>
    <n v="95.28"/>
    <n v="95.64"/>
    <n v="80.569999999999993"/>
    <s v="IPX8"/>
    <n v="8"/>
    <n v="2"/>
    <x v="3"/>
    <x v="9"/>
    <x v="0"/>
    <n v="61.3"/>
  </r>
  <r>
    <x v="17"/>
    <x v="12"/>
    <x v="8"/>
    <x v="12"/>
    <x v="1"/>
    <x v="1455"/>
    <n v="18.899999999999999"/>
    <n v="93.47"/>
    <n v="93.62"/>
    <n v="78.930000000000007"/>
    <s v="IP68"/>
    <n v="8.3000000000000007"/>
    <n v="3.2"/>
    <x v="1"/>
    <x v="4"/>
    <x v="2"/>
    <n v="59.7"/>
  </r>
  <r>
    <x v="17"/>
    <x v="15"/>
    <x v="8"/>
    <x v="15"/>
    <x v="1"/>
    <x v="1456"/>
    <n v="28.5"/>
    <n v="95.65"/>
    <n v="95.02"/>
    <n v="78.02"/>
    <s v="IPX8"/>
    <n v="8.6999999999999993"/>
    <n v="2.5"/>
    <x v="1"/>
    <x v="9"/>
    <x v="2"/>
    <n v="61.5"/>
  </r>
  <r>
    <x v="17"/>
    <x v="1"/>
    <x v="1"/>
    <x v="1"/>
    <x v="1"/>
    <x v="464"/>
    <n v="71.3"/>
    <n v="97.6"/>
    <n v="97.62"/>
    <n v="79.16"/>
    <s v="5ATM"/>
    <n v="9.5"/>
    <n v="4.5"/>
    <x v="1"/>
    <x v="6"/>
    <x v="1"/>
    <n v="63.3"/>
  </r>
  <r>
    <x v="17"/>
    <x v="9"/>
    <x v="6"/>
    <x v="9"/>
    <x v="3"/>
    <x v="9"/>
    <n v="151.4"/>
    <n v="90.5"/>
    <n v="96.86"/>
    <n v="74.37"/>
    <s v="IPX4"/>
    <n v="6.4"/>
    <m/>
    <x v="2"/>
    <x v="13"/>
    <x v="0"/>
    <n v="68.8"/>
  </r>
  <r>
    <x v="17"/>
    <x v="20"/>
    <x v="0"/>
    <x v="20"/>
    <x v="1"/>
    <x v="1457"/>
    <n v="31.1"/>
    <n v="96.69"/>
    <n v="94.03"/>
    <n v="79.040000000000006"/>
    <s v="IPX8"/>
    <n v="7.6"/>
    <n v="4.5"/>
    <x v="1"/>
    <x v="4"/>
    <x v="0"/>
    <n v="58.6"/>
  </r>
  <r>
    <x v="17"/>
    <x v="12"/>
    <x v="8"/>
    <x v="12"/>
    <x v="1"/>
    <x v="1458"/>
    <n v="63.8"/>
    <n v="94.29"/>
    <n v="93.26"/>
    <n v="82.24"/>
    <s v="5ATM"/>
    <n v="8.8000000000000007"/>
    <n v="4.4000000000000004"/>
    <x v="1"/>
    <x v="9"/>
    <x v="2"/>
    <n v="61.3"/>
  </r>
  <r>
    <x v="17"/>
    <x v="5"/>
    <x v="4"/>
    <x v="5"/>
    <x v="1"/>
    <x v="1459"/>
    <n v="461.5"/>
    <n v="97.15"/>
    <n v="99.3"/>
    <n v="80.290000000000006"/>
    <s v="IP68"/>
    <n v="8.6"/>
    <n v="2.7"/>
    <x v="1"/>
    <x v="7"/>
    <x v="0"/>
    <n v="65.3"/>
  </r>
  <r>
    <x v="17"/>
    <x v="11"/>
    <x v="1"/>
    <x v="11"/>
    <x v="1"/>
    <x v="1460"/>
    <n v="55.7"/>
    <n v="92.98"/>
    <n v="97.14"/>
    <n v="79.36"/>
    <s v="5ATM"/>
    <n v="9.3000000000000007"/>
    <n v="2.1"/>
    <x v="3"/>
    <x v="5"/>
    <x v="1"/>
    <n v="63.5"/>
  </r>
  <r>
    <x v="17"/>
    <x v="20"/>
    <x v="0"/>
    <x v="20"/>
    <x v="1"/>
    <x v="1461"/>
    <n v="56.9"/>
    <n v="92.15"/>
    <n v="94.76"/>
    <n v="83.43"/>
    <s v="IP68"/>
    <n v="7.1"/>
    <n v="3.4"/>
    <x v="1"/>
    <x v="9"/>
    <x v="0"/>
    <n v="59.1"/>
  </r>
  <r>
    <x v="17"/>
    <x v="28"/>
    <x v="4"/>
    <x v="28"/>
    <x v="2"/>
    <x v="1462"/>
    <n v="1445.5"/>
    <n v="96.11"/>
    <n v="98.54"/>
    <n v="73.540000000000006"/>
    <s v="5ATM"/>
    <n v="8.6"/>
    <n v="2.9"/>
    <x v="2"/>
    <x v="6"/>
    <x v="0"/>
    <n v="63.8"/>
  </r>
  <r>
    <x v="17"/>
    <x v="2"/>
    <x v="0"/>
    <x v="2"/>
    <x v="2"/>
    <x v="1463"/>
    <n v="120.5"/>
    <n v="97.5"/>
    <n v="93.94"/>
    <n v="75.53"/>
    <s v="IPX8"/>
    <n v="8"/>
    <n v="3.7"/>
    <x v="2"/>
    <x v="6"/>
    <x v="0"/>
    <n v="61.1"/>
  </r>
  <r>
    <x v="17"/>
    <x v="1"/>
    <x v="1"/>
    <x v="1"/>
    <x v="1"/>
    <x v="1464"/>
    <n v="61.9"/>
    <n v="92.1"/>
    <n v="96.9"/>
    <n v="75.459999999999994"/>
    <s v="IP68"/>
    <n v="8.5"/>
    <n v="3.1"/>
    <x v="3"/>
    <x v="4"/>
    <x v="1"/>
    <n v="60.7"/>
  </r>
  <r>
    <x v="17"/>
    <x v="17"/>
    <x v="3"/>
    <x v="17"/>
    <x v="1"/>
    <x v="1465"/>
    <n v="31"/>
    <n v="95.72"/>
    <n v="96.63"/>
    <n v="78.540000000000006"/>
    <s v="IPX8"/>
    <n v="8.1"/>
    <n v="4.9000000000000004"/>
    <x v="1"/>
    <x v="5"/>
    <x v="2"/>
    <n v="59.3"/>
  </r>
  <r>
    <x v="17"/>
    <x v="13"/>
    <x v="0"/>
    <x v="13"/>
    <x v="0"/>
    <x v="31"/>
    <n v="236.4"/>
    <n v="91.24"/>
    <n v="95.88"/>
    <n v="74.239999999999995"/>
    <s v="IPX7"/>
    <n v="8.1999999999999993"/>
    <m/>
    <x v="2"/>
    <x v="2"/>
    <x v="0"/>
    <n v="72.7"/>
  </r>
  <r>
    <x v="17"/>
    <x v="2"/>
    <x v="0"/>
    <x v="2"/>
    <x v="2"/>
    <x v="1466"/>
    <n v="135.30000000000001"/>
    <n v="94.94"/>
    <n v="94.96"/>
    <n v="73.22"/>
    <s v="IPX8"/>
    <n v="7.2"/>
    <n v="2.6"/>
    <x v="0"/>
    <x v="2"/>
    <x v="0"/>
    <n v="60.1"/>
  </r>
  <r>
    <x v="17"/>
    <x v="20"/>
    <x v="0"/>
    <x v="20"/>
    <x v="2"/>
    <x v="1467"/>
    <n v="96.3"/>
    <n v="94.78"/>
    <n v="93.23"/>
    <n v="74.13"/>
    <s v="IPX8"/>
    <n v="7.8"/>
    <n v="2"/>
    <x v="2"/>
    <x v="12"/>
    <x v="0"/>
    <n v="60.6"/>
  </r>
  <r>
    <x v="17"/>
    <x v="21"/>
    <x v="1"/>
    <x v="21"/>
    <x v="1"/>
    <x v="1468"/>
    <n v="28.8"/>
    <n v="92.12"/>
    <n v="96.38"/>
    <n v="76.260000000000005"/>
    <s v="IP68"/>
    <n v="8.1999999999999993"/>
    <n v="4.8"/>
    <x v="1"/>
    <x v="3"/>
    <x v="1"/>
    <n v="58.5"/>
  </r>
  <r>
    <x v="17"/>
    <x v="12"/>
    <x v="8"/>
    <x v="12"/>
    <x v="1"/>
    <x v="1469"/>
    <n v="65.8"/>
    <n v="94.47"/>
    <n v="96.07"/>
    <n v="80"/>
    <s v="5ATM"/>
    <n v="7.4"/>
    <n v="4.3"/>
    <x v="3"/>
    <x v="10"/>
    <x v="0"/>
    <n v="59.2"/>
  </r>
  <r>
    <x v="17"/>
    <x v="4"/>
    <x v="3"/>
    <x v="4"/>
    <x v="1"/>
    <x v="1470"/>
    <n v="52.1"/>
    <n v="94.33"/>
    <n v="98.31"/>
    <n v="82.71"/>
    <s v="5ATM"/>
    <n v="7.5"/>
    <n v="3.7"/>
    <x v="3"/>
    <x v="9"/>
    <x v="2"/>
    <n v="60.3"/>
  </r>
  <r>
    <x v="17"/>
    <x v="5"/>
    <x v="4"/>
    <x v="5"/>
    <x v="2"/>
    <x v="1471"/>
    <n v="299.8"/>
    <n v="92.39"/>
    <n v="98.04"/>
    <n v="72.349999999999994"/>
    <s v="IPX8"/>
    <n v="8"/>
    <n v="1.9"/>
    <x v="2"/>
    <x v="0"/>
    <x v="0"/>
    <n v="62.5"/>
  </r>
  <r>
    <x v="17"/>
    <x v="4"/>
    <x v="3"/>
    <x v="4"/>
    <x v="1"/>
    <x v="1472"/>
    <n v="39.799999999999997"/>
    <n v="95.31"/>
    <n v="97.61"/>
    <n v="84.43"/>
    <s v="5ATM"/>
    <n v="8.3000000000000007"/>
    <n v="4.2"/>
    <x v="3"/>
    <x v="7"/>
    <x v="2"/>
    <n v="61.4"/>
  </r>
  <r>
    <x v="17"/>
    <x v="2"/>
    <x v="0"/>
    <x v="2"/>
    <x v="1"/>
    <x v="1473"/>
    <n v="47.2"/>
    <n v="94.75"/>
    <n v="96.79"/>
    <n v="83"/>
    <s v="IP68"/>
    <n v="7.6"/>
    <n v="4.7"/>
    <x v="1"/>
    <x v="7"/>
    <x v="0"/>
    <n v="59.6"/>
  </r>
  <r>
    <x v="17"/>
    <x v="12"/>
    <x v="8"/>
    <x v="12"/>
    <x v="1"/>
    <x v="1474"/>
    <n v="59.1"/>
    <n v="95.13"/>
    <n v="96.91"/>
    <n v="81.48"/>
    <s v="IPX8"/>
    <n v="9.1"/>
    <n v="2.2999999999999998"/>
    <x v="3"/>
    <x v="9"/>
    <x v="2"/>
    <n v="63.7"/>
  </r>
  <r>
    <x v="17"/>
    <x v="6"/>
    <x v="5"/>
    <x v="6"/>
    <x v="2"/>
    <x v="1475"/>
    <n v="177.8"/>
    <n v="92.35"/>
    <n v="93.4"/>
    <n v="73.319999999999993"/>
    <s v="IPX8"/>
    <n v="8.4"/>
    <n v="4.8"/>
    <x v="2"/>
    <x v="1"/>
    <x v="2"/>
    <n v="60.6"/>
  </r>
  <r>
    <x v="17"/>
    <x v="24"/>
    <x v="2"/>
    <x v="24"/>
    <x v="1"/>
    <x v="1476"/>
    <n v="34.1"/>
    <n v="95.83"/>
    <n v="95.44"/>
    <n v="76.53"/>
    <s v="5ATM"/>
    <n v="8.8000000000000007"/>
    <n v="4.2"/>
    <x v="3"/>
    <x v="1"/>
    <x v="0"/>
    <n v="60.5"/>
  </r>
  <r>
    <x v="17"/>
    <x v="5"/>
    <x v="4"/>
    <x v="5"/>
    <x v="2"/>
    <x v="1477"/>
    <n v="642.20000000000005"/>
    <n v="92.84"/>
    <n v="99.19"/>
    <n v="76.989999999999995"/>
    <s v="5ATM"/>
    <n v="8.8000000000000007"/>
    <n v="3.7"/>
    <x v="2"/>
    <x v="10"/>
    <x v="0"/>
    <n v="63.7"/>
  </r>
  <r>
    <x v="17"/>
    <x v="9"/>
    <x v="6"/>
    <x v="9"/>
    <x v="3"/>
    <x v="9"/>
    <n v="135.5"/>
    <n v="86.95"/>
    <n v="93.58"/>
    <n v="75.78"/>
    <s v="3ATM"/>
    <n v="6.3"/>
    <m/>
    <x v="2"/>
    <x v="11"/>
    <x v="0"/>
    <n v="67.099999999999994"/>
  </r>
  <r>
    <x v="17"/>
    <x v="24"/>
    <x v="2"/>
    <x v="24"/>
    <x v="1"/>
    <x v="1478"/>
    <n v="43.6"/>
    <n v="97"/>
    <n v="94.78"/>
    <n v="75.56"/>
    <s v="5ATM"/>
    <n v="7.4"/>
    <n v="3.2"/>
    <x v="1"/>
    <x v="5"/>
    <x v="0"/>
    <n v="59"/>
  </r>
  <r>
    <x v="17"/>
    <x v="10"/>
    <x v="7"/>
    <x v="10"/>
    <x v="4"/>
    <x v="1479"/>
    <n v="188.5"/>
    <n v="88.76"/>
    <n v="93.54"/>
    <n v="89.22"/>
    <s v="IPX7"/>
    <n v="8.5"/>
    <m/>
    <x v="2"/>
    <x v="12"/>
    <x v="0"/>
    <n v="75.3"/>
  </r>
  <r>
    <x v="17"/>
    <x v="1"/>
    <x v="1"/>
    <x v="1"/>
    <x v="1"/>
    <x v="1480"/>
    <n v="20.2"/>
    <n v="92.42"/>
    <n v="96.76"/>
    <n v="84.45"/>
    <s v="IP68"/>
    <n v="7.1"/>
    <n v="4"/>
    <x v="3"/>
    <x v="5"/>
    <x v="1"/>
    <n v="58.5"/>
  </r>
  <r>
    <x v="17"/>
    <x v="25"/>
    <x v="5"/>
    <x v="25"/>
    <x v="2"/>
    <x v="1481"/>
    <n v="73.900000000000006"/>
    <n v="93.04"/>
    <n v="96.25"/>
    <n v="72.599999999999994"/>
    <s v="5ATM"/>
    <n v="7.6"/>
    <n v="2.6"/>
    <x v="2"/>
    <x v="12"/>
    <x v="2"/>
    <n v="59.4"/>
  </r>
  <r>
    <x v="17"/>
    <x v="14"/>
    <x v="9"/>
    <x v="14"/>
    <x v="1"/>
    <x v="1482"/>
    <n v="46.6"/>
    <n v="96.72"/>
    <n v="93.55"/>
    <n v="79.290000000000006"/>
    <s v="IPX8"/>
    <n v="8.3000000000000007"/>
    <n v="4.8"/>
    <x v="3"/>
    <x v="9"/>
    <x v="2"/>
    <n v="59.8"/>
  </r>
  <r>
    <x v="17"/>
    <x v="14"/>
    <x v="9"/>
    <x v="14"/>
    <x v="1"/>
    <x v="1483"/>
    <n v="37.1"/>
    <n v="95.36"/>
    <n v="96.5"/>
    <n v="84.74"/>
    <s v="IP68"/>
    <n v="7.2"/>
    <n v="4.8"/>
    <x v="3"/>
    <x v="10"/>
    <x v="0"/>
    <n v="59"/>
  </r>
  <r>
    <x v="17"/>
    <x v="8"/>
    <x v="3"/>
    <x v="8"/>
    <x v="1"/>
    <x v="1484"/>
    <n v="34.9"/>
    <n v="92.54"/>
    <n v="96.2"/>
    <n v="82.3"/>
    <s v="5ATM"/>
    <n v="8.1999999999999993"/>
    <n v="1.7"/>
    <x v="3"/>
    <x v="7"/>
    <x v="2"/>
    <n v="61.7"/>
  </r>
  <r>
    <x v="17"/>
    <x v="11"/>
    <x v="1"/>
    <x v="11"/>
    <x v="1"/>
    <x v="1485"/>
    <n v="47.9"/>
    <n v="92.04"/>
    <n v="98.36"/>
    <n v="83.97"/>
    <s v="IPX8"/>
    <n v="9.4"/>
    <n v="4.8"/>
    <x v="3"/>
    <x v="9"/>
    <x v="1"/>
    <n v="62.5"/>
  </r>
  <r>
    <x v="17"/>
    <x v="14"/>
    <x v="9"/>
    <x v="14"/>
    <x v="1"/>
    <x v="1486"/>
    <n v="18.899999999999999"/>
    <n v="95.37"/>
    <n v="95.87"/>
    <n v="80.95"/>
    <s v="IPX8"/>
    <n v="7.3"/>
    <n v="3.4"/>
    <x v="1"/>
    <x v="3"/>
    <x v="0"/>
    <n v="59"/>
  </r>
  <r>
    <x v="17"/>
    <x v="13"/>
    <x v="0"/>
    <x v="13"/>
    <x v="0"/>
    <x v="1487"/>
    <n v="204.8"/>
    <n v="93.53"/>
    <n v="94.69"/>
    <n v="73.55"/>
    <s v="IPX4"/>
    <n v="7"/>
    <m/>
    <x v="2"/>
    <x v="12"/>
    <x v="0"/>
    <n v="70.400000000000006"/>
  </r>
  <r>
    <x v="17"/>
    <x v="9"/>
    <x v="6"/>
    <x v="9"/>
    <x v="3"/>
    <x v="9"/>
    <n v="143.69999999999999"/>
    <n v="86.2"/>
    <n v="96.02"/>
    <n v="70.23"/>
    <s v="3ATM"/>
    <n v="7.3"/>
    <m/>
    <x v="2"/>
    <x v="11"/>
    <x v="2"/>
    <n v="68.5"/>
  </r>
  <r>
    <x v="17"/>
    <x v="12"/>
    <x v="8"/>
    <x v="12"/>
    <x v="1"/>
    <x v="1488"/>
    <n v="58.9"/>
    <n v="97.65"/>
    <n v="94.79"/>
    <n v="80.72"/>
    <s v="5ATM"/>
    <n v="6.9"/>
    <n v="4.9000000000000004"/>
    <x v="3"/>
    <x v="5"/>
    <x v="0"/>
    <n v="58.3"/>
  </r>
  <r>
    <x v="17"/>
    <x v="24"/>
    <x v="2"/>
    <x v="24"/>
    <x v="1"/>
    <x v="1489"/>
    <n v="26.3"/>
    <n v="96.95"/>
    <n v="94.32"/>
    <n v="82.14"/>
    <s v="IP68"/>
    <n v="9.1"/>
    <n v="2.4"/>
    <x v="1"/>
    <x v="5"/>
    <x v="0"/>
    <n v="63"/>
  </r>
  <r>
    <x v="17"/>
    <x v="4"/>
    <x v="3"/>
    <x v="4"/>
    <x v="1"/>
    <x v="1490"/>
    <n v="64.2"/>
    <n v="96.83"/>
    <n v="96.25"/>
    <n v="76.86"/>
    <s v="5ATM"/>
    <n v="7.9"/>
    <n v="3"/>
    <x v="1"/>
    <x v="5"/>
    <x v="2"/>
    <n v="60.8"/>
  </r>
  <r>
    <x v="17"/>
    <x v="28"/>
    <x v="4"/>
    <x v="28"/>
    <x v="2"/>
    <x v="1491"/>
    <n v="1703"/>
    <n v="93.26"/>
    <n v="99.5"/>
    <n v="74.05"/>
    <s v="5ATM"/>
    <n v="7.1"/>
    <n v="4.5"/>
    <x v="0"/>
    <x v="2"/>
    <x v="0"/>
    <n v="60"/>
  </r>
  <r>
    <x v="17"/>
    <x v="16"/>
    <x v="4"/>
    <x v="16"/>
    <x v="2"/>
    <x v="1492"/>
    <n v="262.39999999999998"/>
    <n v="93.43"/>
    <n v="98.27"/>
    <n v="75.75"/>
    <s v="IPX8"/>
    <n v="9"/>
    <n v="1.5"/>
    <x v="2"/>
    <x v="12"/>
    <x v="0"/>
    <n v="65.2"/>
  </r>
  <r>
    <x v="17"/>
    <x v="7"/>
    <x v="4"/>
    <x v="7"/>
    <x v="2"/>
    <x v="1493"/>
    <n v="327.9"/>
    <n v="97.33"/>
    <n v="99.49"/>
    <n v="73.38"/>
    <s v="5ATM"/>
    <n v="7.3"/>
    <n v="4.7"/>
    <x v="2"/>
    <x v="10"/>
    <x v="0"/>
    <n v="60.7"/>
  </r>
  <r>
    <x v="17"/>
    <x v="15"/>
    <x v="8"/>
    <x v="15"/>
    <x v="1"/>
    <x v="1494"/>
    <n v="54.9"/>
    <n v="92.46"/>
    <n v="96.57"/>
    <n v="81.23"/>
    <s v="IP68"/>
    <n v="8.6999999999999993"/>
    <n v="4.8"/>
    <x v="3"/>
    <x v="5"/>
    <x v="0"/>
    <n v="60.8"/>
  </r>
  <r>
    <x v="18"/>
    <x v="28"/>
    <x v="4"/>
    <x v="28"/>
    <x v="1"/>
    <x v="1495"/>
    <n v="817.9"/>
    <n v="95.08"/>
    <n v="99.48"/>
    <n v="80.66"/>
    <s v="10ATM"/>
    <n v="8.9"/>
    <n v="2.9"/>
    <x v="3"/>
    <x v="5"/>
    <x v="0"/>
    <n v="65.400000000000006"/>
  </r>
  <r>
    <x v="18"/>
    <x v="8"/>
    <x v="3"/>
    <x v="8"/>
    <x v="1"/>
    <x v="1496"/>
    <n v="47.8"/>
    <n v="97.14"/>
    <n v="97.3"/>
    <n v="84.17"/>
    <s v="5ATM"/>
    <n v="9.1999999999999993"/>
    <n v="3.7"/>
    <x v="3"/>
    <x v="4"/>
    <x v="2"/>
    <n v="63.6"/>
  </r>
  <r>
    <x v="18"/>
    <x v="7"/>
    <x v="4"/>
    <x v="7"/>
    <x v="1"/>
    <x v="1497"/>
    <n v="582.79999999999995"/>
    <n v="94.08"/>
    <n v="98.66"/>
    <n v="77.56"/>
    <s v="5ATM"/>
    <n v="7.3"/>
    <n v="4.4000000000000004"/>
    <x v="1"/>
    <x v="3"/>
    <x v="0"/>
    <n v="60.9"/>
  </r>
  <r>
    <x v="18"/>
    <x v="10"/>
    <x v="7"/>
    <x v="10"/>
    <x v="4"/>
    <x v="1498"/>
    <n v="192"/>
    <n v="90.85"/>
    <n v="96.88"/>
    <n v="91.48"/>
    <s v="IPX7"/>
    <n v="7.2"/>
    <m/>
    <x v="2"/>
    <x v="12"/>
    <x v="0"/>
    <n v="74.2"/>
  </r>
  <r>
    <x v="18"/>
    <x v="17"/>
    <x v="3"/>
    <x v="17"/>
    <x v="1"/>
    <x v="1499"/>
    <n v="41.2"/>
    <n v="95.14"/>
    <n v="96.66"/>
    <n v="84.75"/>
    <s v="IP68"/>
    <n v="7.1"/>
    <n v="3.1"/>
    <x v="1"/>
    <x v="7"/>
    <x v="2"/>
    <n v="60"/>
  </r>
  <r>
    <x v="18"/>
    <x v="11"/>
    <x v="1"/>
    <x v="11"/>
    <x v="1"/>
    <x v="1500"/>
    <n v="50.3"/>
    <n v="94.74"/>
    <n v="97.18"/>
    <n v="76.64"/>
    <s v="IP68"/>
    <n v="9.4"/>
    <n v="4"/>
    <x v="3"/>
    <x v="9"/>
    <x v="1"/>
    <n v="62.1"/>
  </r>
  <r>
    <x v="18"/>
    <x v="21"/>
    <x v="1"/>
    <x v="21"/>
    <x v="1"/>
    <x v="1501"/>
    <n v="62.9"/>
    <n v="94.5"/>
    <n v="97.04"/>
    <n v="76.19"/>
    <s v="IP68"/>
    <n v="9.5"/>
    <n v="4.0999999999999996"/>
    <x v="1"/>
    <x v="1"/>
    <x v="1"/>
    <n v="62.3"/>
  </r>
  <r>
    <x v="18"/>
    <x v="8"/>
    <x v="3"/>
    <x v="8"/>
    <x v="1"/>
    <x v="1502"/>
    <n v="20.3"/>
    <n v="93.24"/>
    <n v="98.27"/>
    <n v="78.61"/>
    <s v="IPX8"/>
    <n v="8.4"/>
    <n v="4.5999999999999996"/>
    <x v="1"/>
    <x v="9"/>
    <x v="2"/>
    <n v="59.7"/>
  </r>
  <r>
    <x v="18"/>
    <x v="9"/>
    <x v="6"/>
    <x v="9"/>
    <x v="3"/>
    <x v="9"/>
    <n v="163.4"/>
    <n v="88.39"/>
    <n v="95.39"/>
    <n v="70.88"/>
    <s v="IPX4"/>
    <n v="7"/>
    <m/>
    <x v="2"/>
    <x v="0"/>
    <x v="2"/>
    <n v="68.8"/>
  </r>
  <r>
    <x v="18"/>
    <x v="4"/>
    <x v="3"/>
    <x v="4"/>
    <x v="1"/>
    <x v="1503"/>
    <n v="50.3"/>
    <n v="93.8"/>
    <n v="96.02"/>
    <n v="79.3"/>
    <s v="5ATM"/>
    <n v="9.1"/>
    <n v="3"/>
    <x v="3"/>
    <x v="7"/>
    <x v="2"/>
    <n v="62.4"/>
  </r>
  <r>
    <x v="18"/>
    <x v="9"/>
    <x v="6"/>
    <x v="9"/>
    <x v="3"/>
    <x v="9"/>
    <n v="152.9"/>
    <n v="88.98"/>
    <n v="93.12"/>
    <n v="71.25"/>
    <s v="IPX7"/>
    <n v="7.8"/>
    <m/>
    <x v="2"/>
    <x v="8"/>
    <x v="0"/>
    <n v="69.900000000000006"/>
  </r>
  <r>
    <x v="18"/>
    <x v="10"/>
    <x v="7"/>
    <x v="10"/>
    <x v="4"/>
    <x v="1504"/>
    <n v="176"/>
    <n v="91.7"/>
    <n v="93.06"/>
    <n v="91.56"/>
    <s v="IPX7"/>
    <n v="9.1"/>
    <m/>
    <x v="2"/>
    <x v="12"/>
    <x v="2"/>
    <n v="77.5"/>
  </r>
  <r>
    <x v="18"/>
    <x v="16"/>
    <x v="4"/>
    <x v="16"/>
    <x v="1"/>
    <x v="1505"/>
    <n v="248.1"/>
    <n v="93.31"/>
    <n v="99.06"/>
    <n v="76.69"/>
    <s v="IP68"/>
    <n v="8.8000000000000007"/>
    <n v="5"/>
    <x v="1"/>
    <x v="3"/>
    <x v="0"/>
    <n v="62.8"/>
  </r>
  <r>
    <x v="18"/>
    <x v="1"/>
    <x v="1"/>
    <x v="1"/>
    <x v="1"/>
    <x v="1506"/>
    <n v="48.1"/>
    <n v="96.1"/>
    <n v="96.24"/>
    <n v="75.02"/>
    <s v="IP68"/>
    <n v="7"/>
    <n v="2.6"/>
    <x v="1"/>
    <x v="9"/>
    <x v="1"/>
    <n v="58.8"/>
  </r>
  <r>
    <x v="18"/>
    <x v="21"/>
    <x v="1"/>
    <x v="21"/>
    <x v="1"/>
    <x v="1507"/>
    <n v="35"/>
    <n v="96.23"/>
    <n v="97.69"/>
    <n v="82.68"/>
    <s v="IP68"/>
    <n v="8.1"/>
    <n v="2.2999999999999998"/>
    <x v="3"/>
    <x v="9"/>
    <x v="1"/>
    <n v="62.1"/>
  </r>
  <r>
    <x v="18"/>
    <x v="25"/>
    <x v="5"/>
    <x v="25"/>
    <x v="1"/>
    <x v="1508"/>
    <n v="60"/>
    <n v="96.75"/>
    <n v="94.1"/>
    <n v="76.430000000000007"/>
    <s v="5ATM"/>
    <n v="7.7"/>
    <n v="2.2999999999999998"/>
    <x v="1"/>
    <x v="9"/>
    <x v="0"/>
    <n v="60.4"/>
  </r>
  <r>
    <x v="18"/>
    <x v="9"/>
    <x v="6"/>
    <x v="9"/>
    <x v="3"/>
    <x v="9"/>
    <n v="156.6"/>
    <n v="87.03"/>
    <n v="94.4"/>
    <n v="71.84"/>
    <s v="IPX7"/>
    <n v="6.3"/>
    <m/>
    <x v="2"/>
    <x v="13"/>
    <x v="0"/>
    <n v="67"/>
  </r>
  <r>
    <x v="18"/>
    <x v="20"/>
    <x v="0"/>
    <x v="20"/>
    <x v="1"/>
    <x v="1509"/>
    <n v="48"/>
    <n v="93.7"/>
    <n v="95.14"/>
    <n v="79.709999999999994"/>
    <s v="5ATM"/>
    <n v="7.1"/>
    <n v="2.8"/>
    <x v="3"/>
    <x v="3"/>
    <x v="0"/>
    <n v="59"/>
  </r>
  <r>
    <x v="18"/>
    <x v="2"/>
    <x v="0"/>
    <x v="2"/>
    <x v="2"/>
    <x v="1510"/>
    <n v="150.30000000000001"/>
    <n v="93.34"/>
    <n v="95.9"/>
    <n v="77.81"/>
    <s v="IP68"/>
    <n v="6.4"/>
    <n v="4.2"/>
    <x v="2"/>
    <x v="6"/>
    <x v="0"/>
    <n v="58.7"/>
  </r>
  <r>
    <x v="18"/>
    <x v="23"/>
    <x v="8"/>
    <x v="23"/>
    <x v="1"/>
    <x v="1511"/>
    <n v="28.8"/>
    <n v="97.31"/>
    <n v="95.1"/>
    <n v="81.31"/>
    <s v="IP68"/>
    <n v="7.6"/>
    <n v="5"/>
    <x v="3"/>
    <x v="9"/>
    <x v="0"/>
    <n v="58.9"/>
  </r>
  <r>
    <x v="18"/>
    <x v="6"/>
    <x v="5"/>
    <x v="6"/>
    <x v="2"/>
    <x v="1512"/>
    <n v="109.4"/>
    <n v="95.21"/>
    <n v="96.14"/>
    <n v="79.069999999999993"/>
    <s v="IP68"/>
    <n v="8.5"/>
    <n v="2.6"/>
    <x v="2"/>
    <x v="10"/>
    <x v="2"/>
    <n v="63"/>
  </r>
  <r>
    <x v="18"/>
    <x v="12"/>
    <x v="8"/>
    <x v="12"/>
    <x v="1"/>
    <x v="1513"/>
    <n v="43.5"/>
    <n v="93.39"/>
    <n v="94.62"/>
    <n v="82.74"/>
    <s v="IPX8"/>
    <n v="8"/>
    <n v="5"/>
    <x v="3"/>
    <x v="4"/>
    <x v="0"/>
    <n v="59.3"/>
  </r>
  <r>
    <x v="18"/>
    <x v="10"/>
    <x v="7"/>
    <x v="10"/>
    <x v="4"/>
    <x v="1514"/>
    <n v="178.6"/>
    <n v="86.45"/>
    <n v="94.45"/>
    <n v="86.67"/>
    <s v="IPX7"/>
    <n v="8.5"/>
    <m/>
    <x v="2"/>
    <x v="0"/>
    <x v="2"/>
    <n v="74.5"/>
  </r>
  <r>
    <x v="18"/>
    <x v="5"/>
    <x v="4"/>
    <x v="5"/>
    <x v="2"/>
    <x v="1515"/>
    <n v="441.7"/>
    <n v="96.71"/>
    <n v="98.75"/>
    <n v="73.709999999999994"/>
    <s v="IP68"/>
    <n v="8.1999999999999993"/>
    <n v="2.7"/>
    <x v="0"/>
    <x v="12"/>
    <x v="0"/>
    <n v="63.4"/>
  </r>
  <r>
    <x v="18"/>
    <x v="1"/>
    <x v="1"/>
    <x v="1"/>
    <x v="1"/>
    <x v="1516"/>
    <n v="33.5"/>
    <n v="95.61"/>
    <n v="97.05"/>
    <n v="78.540000000000006"/>
    <s v="5ATM"/>
    <n v="7.7"/>
    <n v="1.9"/>
    <x v="3"/>
    <x v="4"/>
    <x v="1"/>
    <n v="60.8"/>
  </r>
  <r>
    <x v="18"/>
    <x v="10"/>
    <x v="7"/>
    <x v="10"/>
    <x v="4"/>
    <x v="1517"/>
    <n v="175.5"/>
    <n v="91.17"/>
    <n v="94.54"/>
    <n v="86.04"/>
    <s v="IPX8"/>
    <n v="8.1"/>
    <m/>
    <x v="2"/>
    <x v="12"/>
    <x v="0"/>
    <n v="74.5"/>
  </r>
  <r>
    <x v="18"/>
    <x v="22"/>
    <x v="8"/>
    <x v="22"/>
    <x v="1"/>
    <x v="1518"/>
    <n v="61.4"/>
    <n v="95.44"/>
    <n v="93.69"/>
    <n v="78.11"/>
    <s v="IPX8"/>
    <n v="8.8000000000000007"/>
    <n v="1.7"/>
    <x v="1"/>
    <x v="1"/>
    <x v="2"/>
    <n v="62.6"/>
  </r>
  <r>
    <x v="18"/>
    <x v="20"/>
    <x v="0"/>
    <x v="20"/>
    <x v="2"/>
    <x v="1519"/>
    <n v="73.5"/>
    <n v="94.16"/>
    <n v="94.37"/>
    <n v="76.150000000000006"/>
    <s v="IPX8"/>
    <n v="6"/>
    <n v="3.2"/>
    <x v="0"/>
    <x v="6"/>
    <x v="0"/>
    <n v="56.8"/>
  </r>
  <r>
    <x v="18"/>
    <x v="9"/>
    <x v="6"/>
    <x v="9"/>
    <x v="3"/>
    <x v="9"/>
    <n v="138.80000000000001"/>
    <n v="86.53"/>
    <n v="95.1"/>
    <n v="79.39"/>
    <s v="IPX4"/>
    <n v="6"/>
    <m/>
    <x v="2"/>
    <x v="11"/>
    <x v="2"/>
    <n v="67.5"/>
  </r>
  <r>
    <x v="18"/>
    <x v="6"/>
    <x v="5"/>
    <x v="6"/>
    <x v="2"/>
    <x v="1520"/>
    <n v="156.9"/>
    <n v="95.56"/>
    <n v="93.41"/>
    <n v="75.36"/>
    <s v="IP68"/>
    <n v="8.4"/>
    <n v="4.7"/>
    <x v="0"/>
    <x v="0"/>
    <x v="0"/>
    <n v="61.4"/>
  </r>
  <r>
    <x v="18"/>
    <x v="10"/>
    <x v="7"/>
    <x v="10"/>
    <x v="4"/>
    <x v="1521"/>
    <n v="182.3"/>
    <n v="89.62"/>
    <n v="93.86"/>
    <n v="88.14"/>
    <s v="IPX7"/>
    <n v="8.9"/>
    <m/>
    <x v="2"/>
    <x v="12"/>
    <x v="0"/>
    <n v="76.099999999999994"/>
  </r>
  <r>
    <x v="18"/>
    <x v="2"/>
    <x v="0"/>
    <x v="2"/>
    <x v="2"/>
    <x v="1522"/>
    <n v="191.2"/>
    <n v="93.65"/>
    <n v="96.58"/>
    <n v="78.52"/>
    <s v="IPX8"/>
    <n v="7.4"/>
    <n v="3.1"/>
    <x v="2"/>
    <x v="6"/>
    <x v="0"/>
    <n v="61.7"/>
  </r>
  <r>
    <x v="18"/>
    <x v="18"/>
    <x v="4"/>
    <x v="18"/>
    <x v="2"/>
    <x v="1523"/>
    <n v="305.2"/>
    <n v="92.82"/>
    <n v="99.21"/>
    <n v="78.599999999999994"/>
    <s v="IP68"/>
    <n v="8.9"/>
    <n v="3"/>
    <x v="2"/>
    <x v="6"/>
    <x v="0"/>
    <n v="64.599999999999994"/>
  </r>
  <r>
    <x v="18"/>
    <x v="6"/>
    <x v="5"/>
    <x v="6"/>
    <x v="2"/>
    <x v="1524"/>
    <n v="126.6"/>
    <n v="93.5"/>
    <n v="95.28"/>
    <n v="74.72"/>
    <s v="5ATM"/>
    <n v="9.4"/>
    <n v="1.6"/>
    <x v="2"/>
    <x v="10"/>
    <x v="0"/>
    <n v="64.400000000000006"/>
  </r>
  <r>
    <x v="18"/>
    <x v="6"/>
    <x v="5"/>
    <x v="6"/>
    <x v="2"/>
    <x v="1525"/>
    <n v="176.2"/>
    <n v="92.75"/>
    <n v="96.75"/>
    <n v="79.400000000000006"/>
    <s v="IP68"/>
    <n v="8.4"/>
    <n v="4.9000000000000004"/>
    <x v="2"/>
    <x v="2"/>
    <x v="0"/>
    <n v="62.2"/>
  </r>
  <r>
    <x v="18"/>
    <x v="17"/>
    <x v="3"/>
    <x v="17"/>
    <x v="1"/>
    <x v="1526"/>
    <n v="52.5"/>
    <n v="97.27"/>
    <n v="98.24"/>
    <n v="80.89"/>
    <s v="5ATM"/>
    <n v="8.1999999999999993"/>
    <n v="2.2000000000000002"/>
    <x v="3"/>
    <x v="4"/>
    <x v="2"/>
    <n v="62.6"/>
  </r>
  <r>
    <x v="18"/>
    <x v="8"/>
    <x v="3"/>
    <x v="8"/>
    <x v="1"/>
    <x v="1527"/>
    <n v="31.8"/>
    <n v="92.64"/>
    <n v="96.44"/>
    <n v="77.569999999999993"/>
    <s v="IPX8"/>
    <n v="7.4"/>
    <n v="4.2"/>
    <x v="3"/>
    <x v="7"/>
    <x v="2"/>
    <n v="57.9"/>
  </r>
  <r>
    <x v="18"/>
    <x v="4"/>
    <x v="3"/>
    <x v="4"/>
    <x v="1"/>
    <x v="1528"/>
    <n v="52.6"/>
    <n v="96.53"/>
    <n v="96.17"/>
    <n v="78.77"/>
    <s v="5ATM"/>
    <n v="7.4"/>
    <n v="3.4"/>
    <x v="1"/>
    <x v="4"/>
    <x v="2"/>
    <n v="59.7"/>
  </r>
  <r>
    <x v="18"/>
    <x v="26"/>
    <x v="9"/>
    <x v="26"/>
    <x v="2"/>
    <x v="1529"/>
    <n v="86.2"/>
    <n v="97.04"/>
    <n v="93.72"/>
    <n v="76.290000000000006"/>
    <s v="IPX8"/>
    <n v="7.3"/>
    <n v="1.8"/>
    <x v="2"/>
    <x v="10"/>
    <x v="0"/>
    <n v="60.5"/>
  </r>
  <r>
    <x v="18"/>
    <x v="5"/>
    <x v="4"/>
    <x v="5"/>
    <x v="2"/>
    <x v="1530"/>
    <n v="367.3"/>
    <n v="93.5"/>
    <n v="98.1"/>
    <n v="72.569999999999993"/>
    <s v="5ATM"/>
    <n v="9.1"/>
    <n v="1.7"/>
    <x v="2"/>
    <x v="1"/>
    <x v="0"/>
    <n v="64.7"/>
  </r>
  <r>
    <x v="18"/>
    <x v="22"/>
    <x v="8"/>
    <x v="22"/>
    <x v="1"/>
    <x v="1531"/>
    <n v="68.099999999999994"/>
    <n v="95.83"/>
    <n v="96.17"/>
    <n v="80.09"/>
    <s v="5ATM"/>
    <n v="9.5"/>
    <n v="4.3"/>
    <x v="1"/>
    <x v="7"/>
    <x v="2"/>
    <n v="63"/>
  </r>
  <r>
    <x v="18"/>
    <x v="10"/>
    <x v="7"/>
    <x v="10"/>
    <x v="4"/>
    <x v="1532"/>
    <n v="173.8"/>
    <n v="87.23"/>
    <n v="95.14"/>
    <n v="85.95"/>
    <s v="IPX8"/>
    <n v="8.9"/>
    <m/>
    <x v="2"/>
    <x v="12"/>
    <x v="0"/>
    <n v="75.5"/>
  </r>
  <r>
    <x v="18"/>
    <x v="3"/>
    <x v="2"/>
    <x v="3"/>
    <x v="1"/>
    <x v="1533"/>
    <n v="58.6"/>
    <n v="92.24"/>
    <n v="96.68"/>
    <n v="79.2"/>
    <s v="IP68"/>
    <n v="8.5"/>
    <n v="4.0999999999999996"/>
    <x v="1"/>
    <x v="6"/>
    <x v="0"/>
    <n v="60.6"/>
  </r>
  <r>
    <x v="18"/>
    <x v="3"/>
    <x v="2"/>
    <x v="3"/>
    <x v="2"/>
    <x v="1534"/>
    <n v="79.400000000000006"/>
    <n v="96.17"/>
    <n v="93.97"/>
    <n v="74.790000000000006"/>
    <s v="IPX8"/>
    <n v="8"/>
    <n v="1.9"/>
    <x v="0"/>
    <x v="12"/>
    <x v="0"/>
    <n v="61.1"/>
  </r>
  <r>
    <x v="18"/>
    <x v="16"/>
    <x v="4"/>
    <x v="16"/>
    <x v="2"/>
    <x v="1535"/>
    <n v="361.2"/>
    <n v="97.26"/>
    <n v="99.28"/>
    <n v="79.069999999999993"/>
    <s v="IPX8"/>
    <n v="9.3000000000000007"/>
    <n v="3.1"/>
    <x v="0"/>
    <x v="1"/>
    <x v="0"/>
    <n v="66"/>
  </r>
  <r>
    <x v="18"/>
    <x v="13"/>
    <x v="0"/>
    <x v="13"/>
    <x v="0"/>
    <x v="1536"/>
    <n v="162.4"/>
    <n v="93.96"/>
    <n v="93.17"/>
    <n v="75.739999999999995"/>
    <s v="IPX4"/>
    <n v="7.4"/>
    <m/>
    <x v="2"/>
    <x v="10"/>
    <x v="0"/>
    <n v="71.2"/>
  </r>
  <r>
    <x v="18"/>
    <x v="14"/>
    <x v="9"/>
    <x v="14"/>
    <x v="2"/>
    <x v="1537"/>
    <n v="102.8"/>
    <n v="97.92"/>
    <n v="96.19"/>
    <n v="75.02"/>
    <s v="IPX8"/>
    <n v="8.4"/>
    <n v="3.3"/>
    <x v="0"/>
    <x v="12"/>
    <x v="0"/>
    <n v="62"/>
  </r>
  <r>
    <x v="18"/>
    <x v="23"/>
    <x v="8"/>
    <x v="23"/>
    <x v="1"/>
    <x v="1538"/>
    <n v="36.4"/>
    <n v="96.91"/>
    <n v="94.23"/>
    <n v="79.099999999999994"/>
    <s v="IP68"/>
    <n v="9.3000000000000007"/>
    <n v="3.4"/>
    <x v="3"/>
    <x v="6"/>
    <x v="0"/>
    <n v="62.3"/>
  </r>
  <r>
    <x v="18"/>
    <x v="8"/>
    <x v="3"/>
    <x v="8"/>
    <x v="1"/>
    <x v="1539"/>
    <n v="41.2"/>
    <n v="97.65"/>
    <n v="97.04"/>
    <n v="79.39"/>
    <s v="IP68"/>
    <n v="8"/>
    <n v="2"/>
    <x v="3"/>
    <x v="3"/>
    <x v="2"/>
    <n v="61.8"/>
  </r>
  <r>
    <x v="18"/>
    <x v="16"/>
    <x v="4"/>
    <x v="16"/>
    <x v="2"/>
    <x v="1540"/>
    <n v="605.79999999999995"/>
    <n v="94.71"/>
    <n v="99.45"/>
    <n v="74.78"/>
    <s v="IP68"/>
    <n v="7.7"/>
    <n v="2.9"/>
    <x v="0"/>
    <x v="6"/>
    <x v="0"/>
    <n v="62.4"/>
  </r>
  <r>
    <x v="18"/>
    <x v="6"/>
    <x v="5"/>
    <x v="6"/>
    <x v="1"/>
    <x v="1541"/>
    <n v="22.7"/>
    <n v="94.59"/>
    <n v="95.81"/>
    <n v="84.88"/>
    <s v="IPX8"/>
    <n v="8.3000000000000007"/>
    <n v="3.7"/>
    <x v="3"/>
    <x v="10"/>
    <x v="0"/>
    <n v="61"/>
  </r>
  <r>
    <x v="18"/>
    <x v="3"/>
    <x v="2"/>
    <x v="3"/>
    <x v="2"/>
    <x v="1542"/>
    <n v="158.80000000000001"/>
    <n v="94.8"/>
    <n v="96.59"/>
    <n v="72.459999999999994"/>
    <s v="5ATM"/>
    <n v="7"/>
    <n v="1.7"/>
    <x v="0"/>
    <x v="1"/>
    <x v="0"/>
    <n v="61"/>
  </r>
  <r>
    <x v="18"/>
    <x v="9"/>
    <x v="6"/>
    <x v="9"/>
    <x v="3"/>
    <x v="9"/>
    <n v="124.3"/>
    <n v="87.76"/>
    <n v="94.06"/>
    <n v="71.239999999999995"/>
    <s v="IPX7"/>
    <n v="7.3"/>
    <m/>
    <x v="2"/>
    <x v="11"/>
    <x v="0"/>
    <n v="68.2"/>
  </r>
  <r>
    <x v="18"/>
    <x v="12"/>
    <x v="8"/>
    <x v="12"/>
    <x v="1"/>
    <x v="1543"/>
    <n v="63.8"/>
    <n v="94.66"/>
    <n v="93.07"/>
    <n v="75.09"/>
    <s v="5ATM"/>
    <n v="9.4"/>
    <n v="3.2"/>
    <x v="3"/>
    <x v="5"/>
    <x v="0"/>
    <n v="61.9"/>
  </r>
  <r>
    <x v="18"/>
    <x v="27"/>
    <x v="9"/>
    <x v="27"/>
    <x v="1"/>
    <x v="1544"/>
    <n v="56"/>
    <n v="97.35"/>
    <n v="96.77"/>
    <n v="84.87"/>
    <s v="5ATM"/>
    <n v="8.1999999999999993"/>
    <n v="3.4"/>
    <x v="1"/>
    <x v="3"/>
    <x v="0"/>
    <n v="62.3"/>
  </r>
  <r>
    <x v="18"/>
    <x v="18"/>
    <x v="4"/>
    <x v="18"/>
    <x v="1"/>
    <x v="1545"/>
    <n v="700.1"/>
    <n v="97.95"/>
    <n v="98.85"/>
    <n v="84.98"/>
    <s v="IP68"/>
    <n v="8.8000000000000007"/>
    <n v="3"/>
    <x v="3"/>
    <x v="1"/>
    <x v="0"/>
    <n v="66.3"/>
  </r>
  <r>
    <x v="18"/>
    <x v="17"/>
    <x v="3"/>
    <x v="17"/>
    <x v="1"/>
    <x v="441"/>
    <n v="65.7"/>
    <n v="94.15"/>
    <n v="98.33"/>
    <n v="83.97"/>
    <s v="IPX8"/>
    <n v="8.6999999999999993"/>
    <n v="5"/>
    <x v="1"/>
    <x v="3"/>
    <x v="2"/>
    <n v="61.9"/>
  </r>
  <r>
    <x v="18"/>
    <x v="16"/>
    <x v="4"/>
    <x v="16"/>
    <x v="1"/>
    <x v="1546"/>
    <n v="370.6"/>
    <n v="95.97"/>
    <n v="98.73"/>
    <n v="79.42"/>
    <s v="IPX8"/>
    <n v="8.3000000000000007"/>
    <n v="3.3"/>
    <x v="1"/>
    <x v="6"/>
    <x v="0"/>
    <n v="64"/>
  </r>
  <r>
    <x v="18"/>
    <x v="13"/>
    <x v="0"/>
    <x v="13"/>
    <x v="0"/>
    <x v="1547"/>
    <n v="175.2"/>
    <n v="94.41"/>
    <n v="95.48"/>
    <n v="75.599999999999994"/>
    <s v="3ATM"/>
    <n v="8.1"/>
    <m/>
    <x v="2"/>
    <x v="2"/>
    <x v="0"/>
    <n v="73.3"/>
  </r>
  <r>
    <x v="18"/>
    <x v="8"/>
    <x v="3"/>
    <x v="8"/>
    <x v="1"/>
    <x v="1548"/>
    <n v="29.1"/>
    <n v="94.98"/>
    <n v="98.18"/>
    <n v="80.23"/>
    <s v="IPX8"/>
    <n v="9.5"/>
    <n v="1.9"/>
    <x v="1"/>
    <x v="5"/>
    <x v="2"/>
    <n v="64"/>
  </r>
  <r>
    <x v="18"/>
    <x v="15"/>
    <x v="8"/>
    <x v="15"/>
    <x v="1"/>
    <x v="1549"/>
    <n v="28.3"/>
    <n v="94.33"/>
    <n v="94.69"/>
    <n v="82.71"/>
    <s v="IP68"/>
    <n v="9.4"/>
    <n v="1.9"/>
    <x v="3"/>
    <x v="5"/>
    <x v="2"/>
    <n v="63.6"/>
  </r>
  <r>
    <x v="18"/>
    <x v="15"/>
    <x v="8"/>
    <x v="15"/>
    <x v="1"/>
    <x v="1550"/>
    <n v="54.5"/>
    <n v="95.94"/>
    <n v="95.25"/>
    <n v="76.459999999999994"/>
    <s v="5ATM"/>
    <n v="8.9"/>
    <n v="3.3"/>
    <x v="1"/>
    <x v="7"/>
    <x v="2"/>
    <n v="61.7"/>
  </r>
  <r>
    <x v="18"/>
    <x v="24"/>
    <x v="2"/>
    <x v="24"/>
    <x v="2"/>
    <x v="1551"/>
    <n v="113.4"/>
    <n v="94.99"/>
    <n v="93.38"/>
    <n v="73.290000000000006"/>
    <s v="IPX8"/>
    <n v="9"/>
    <n v="3.9"/>
    <x v="2"/>
    <x v="6"/>
    <x v="0"/>
    <n v="61.6"/>
  </r>
  <r>
    <x v="18"/>
    <x v="11"/>
    <x v="1"/>
    <x v="11"/>
    <x v="1"/>
    <x v="1552"/>
    <n v="60.3"/>
    <n v="96.6"/>
    <n v="97.38"/>
    <n v="76.38"/>
    <s v="IPX8"/>
    <n v="7.5"/>
    <n v="4.5"/>
    <x v="3"/>
    <x v="6"/>
    <x v="1"/>
    <n v="59.1"/>
  </r>
  <r>
    <x v="18"/>
    <x v="3"/>
    <x v="2"/>
    <x v="3"/>
    <x v="1"/>
    <x v="1553"/>
    <n v="23.6"/>
    <n v="94.34"/>
    <n v="95.3"/>
    <n v="75.45"/>
    <s v="IP68"/>
    <n v="7.2"/>
    <n v="4.5"/>
    <x v="3"/>
    <x v="4"/>
    <x v="0"/>
    <n v="57"/>
  </r>
  <r>
    <x v="18"/>
    <x v="20"/>
    <x v="0"/>
    <x v="20"/>
    <x v="1"/>
    <x v="1218"/>
    <n v="26.3"/>
    <n v="96.76"/>
    <n v="93.04"/>
    <n v="75.16"/>
    <s v="IPX8"/>
    <n v="7.6"/>
    <n v="5"/>
    <x v="1"/>
    <x v="1"/>
    <x v="0"/>
    <n v="57.3"/>
  </r>
  <r>
    <x v="18"/>
    <x v="6"/>
    <x v="5"/>
    <x v="6"/>
    <x v="1"/>
    <x v="1554"/>
    <n v="27"/>
    <n v="94.56"/>
    <n v="95.77"/>
    <n v="80.010000000000005"/>
    <s v="IP68"/>
    <n v="9"/>
    <n v="2.8"/>
    <x v="1"/>
    <x v="4"/>
    <x v="2"/>
    <n v="62.1"/>
  </r>
  <r>
    <x v="18"/>
    <x v="9"/>
    <x v="6"/>
    <x v="9"/>
    <x v="3"/>
    <x v="9"/>
    <n v="150.80000000000001"/>
    <n v="86.67"/>
    <n v="95.9"/>
    <n v="79.89"/>
    <s v="IPX7"/>
    <n v="7.5"/>
    <m/>
    <x v="2"/>
    <x v="11"/>
    <x v="2"/>
    <n v="71.099999999999994"/>
  </r>
  <r>
    <x v="18"/>
    <x v="13"/>
    <x v="0"/>
    <x v="13"/>
    <x v="0"/>
    <x v="1555"/>
    <n v="209.2"/>
    <n v="89.42"/>
    <n v="94.16"/>
    <n v="73.02"/>
    <s v="IPX4"/>
    <n v="7.5"/>
    <m/>
    <x v="0"/>
    <x v="1"/>
    <x v="0"/>
    <n v="70.3"/>
  </r>
  <r>
    <x v="18"/>
    <x v="26"/>
    <x v="9"/>
    <x v="26"/>
    <x v="2"/>
    <x v="1556"/>
    <n v="108.5"/>
    <n v="96.23"/>
    <n v="95.21"/>
    <n v="70.16"/>
    <s v="IP68"/>
    <n v="7.3"/>
    <n v="4.7"/>
    <x v="0"/>
    <x v="2"/>
    <x v="2"/>
    <n v="58.1"/>
  </r>
  <r>
    <x v="18"/>
    <x v="1"/>
    <x v="1"/>
    <x v="1"/>
    <x v="1"/>
    <x v="1557"/>
    <n v="61"/>
    <n v="97.25"/>
    <n v="98.05"/>
    <n v="77.23"/>
    <s v="IPX8"/>
    <n v="8.6999999999999993"/>
    <n v="2"/>
    <x v="1"/>
    <x v="9"/>
    <x v="1"/>
    <n v="63.1"/>
  </r>
  <r>
    <x v="18"/>
    <x v="3"/>
    <x v="2"/>
    <x v="3"/>
    <x v="2"/>
    <x v="1558"/>
    <n v="101.9"/>
    <n v="96.05"/>
    <n v="96.96"/>
    <n v="78.22"/>
    <s v="5ATM"/>
    <n v="8.1"/>
    <n v="2.8"/>
    <x v="2"/>
    <x v="1"/>
    <x v="0"/>
    <n v="62.2"/>
  </r>
  <r>
    <x v="18"/>
    <x v="23"/>
    <x v="8"/>
    <x v="23"/>
    <x v="1"/>
    <x v="1559"/>
    <n v="63.5"/>
    <n v="96.75"/>
    <n v="94.56"/>
    <n v="83.23"/>
    <s v="5ATM"/>
    <n v="7.6"/>
    <n v="2.1"/>
    <x v="3"/>
    <x v="4"/>
    <x v="0"/>
    <n v="61.6"/>
  </r>
  <r>
    <x v="18"/>
    <x v="12"/>
    <x v="8"/>
    <x v="12"/>
    <x v="1"/>
    <x v="1560"/>
    <n v="69.5"/>
    <n v="94.99"/>
    <n v="95.86"/>
    <n v="76.16"/>
    <s v="IPX8"/>
    <n v="8.9"/>
    <n v="4.5"/>
    <x v="3"/>
    <x v="1"/>
    <x v="2"/>
    <n v="61"/>
  </r>
  <r>
    <x v="18"/>
    <x v="23"/>
    <x v="8"/>
    <x v="23"/>
    <x v="1"/>
    <x v="1561"/>
    <n v="26.4"/>
    <n v="95.04"/>
    <n v="95.87"/>
    <n v="76.52"/>
    <s v="5ATM"/>
    <n v="9.1999999999999993"/>
    <n v="4.3"/>
    <x v="3"/>
    <x v="4"/>
    <x v="0"/>
    <n v="60.9"/>
  </r>
  <r>
    <x v="18"/>
    <x v="23"/>
    <x v="8"/>
    <x v="23"/>
    <x v="1"/>
    <x v="1562"/>
    <n v="62.7"/>
    <n v="93.21"/>
    <n v="93.87"/>
    <n v="76.739999999999995"/>
    <s v="IP68"/>
    <n v="7.8"/>
    <n v="4.4000000000000004"/>
    <x v="1"/>
    <x v="6"/>
    <x v="2"/>
    <n v="58.6"/>
  </r>
  <r>
    <x v="18"/>
    <x v="11"/>
    <x v="1"/>
    <x v="11"/>
    <x v="1"/>
    <x v="1563"/>
    <n v="70.599999999999994"/>
    <n v="96.25"/>
    <n v="97.7"/>
    <n v="75.02"/>
    <s v="IP68"/>
    <n v="8.5"/>
    <n v="2"/>
    <x v="1"/>
    <x v="4"/>
    <x v="1"/>
    <n v="62.4"/>
  </r>
  <r>
    <x v="18"/>
    <x v="6"/>
    <x v="5"/>
    <x v="6"/>
    <x v="2"/>
    <x v="1564"/>
    <n v="141.9"/>
    <n v="93.96"/>
    <n v="94.89"/>
    <n v="76.11"/>
    <s v="IP68"/>
    <n v="9.1999999999999993"/>
    <n v="4.5"/>
    <x v="2"/>
    <x v="2"/>
    <x v="2"/>
    <n v="62.6"/>
  </r>
  <r>
    <x v="18"/>
    <x v="9"/>
    <x v="6"/>
    <x v="9"/>
    <x v="3"/>
    <x v="9"/>
    <n v="130.1"/>
    <n v="89.82"/>
    <n v="95.06"/>
    <n v="75.91"/>
    <s v="IPX7"/>
    <n v="7.2"/>
    <m/>
    <x v="2"/>
    <x v="13"/>
    <x v="0"/>
    <n v="69.7"/>
  </r>
  <r>
    <x v="18"/>
    <x v="10"/>
    <x v="7"/>
    <x v="10"/>
    <x v="4"/>
    <x v="1565"/>
    <n v="186.2"/>
    <n v="86.54"/>
    <n v="94.18"/>
    <n v="86.1"/>
    <s v="IPX7"/>
    <n v="8.9"/>
    <m/>
    <x v="2"/>
    <x v="11"/>
    <x v="2"/>
    <n v="75.2"/>
  </r>
  <r>
    <x v="18"/>
    <x v="15"/>
    <x v="8"/>
    <x v="15"/>
    <x v="1"/>
    <x v="1566"/>
    <n v="23.4"/>
    <n v="93.01"/>
    <n v="93.58"/>
    <n v="77.56"/>
    <s v="5ATM"/>
    <n v="6.3"/>
    <n v="4.8"/>
    <x v="3"/>
    <x v="1"/>
    <x v="0"/>
    <n v="55.1"/>
  </r>
  <r>
    <x v="18"/>
    <x v="11"/>
    <x v="1"/>
    <x v="11"/>
    <x v="1"/>
    <x v="1567"/>
    <n v="44.3"/>
    <n v="95.62"/>
    <n v="97.6"/>
    <n v="79.02"/>
    <s v="5ATM"/>
    <n v="9"/>
    <n v="1.8"/>
    <x v="1"/>
    <x v="10"/>
    <x v="1"/>
    <n v="63.4"/>
  </r>
  <r>
    <x v="18"/>
    <x v="17"/>
    <x v="3"/>
    <x v="17"/>
    <x v="1"/>
    <x v="1568"/>
    <n v="28.5"/>
    <n v="97.39"/>
    <n v="97.9"/>
    <n v="80.03"/>
    <s v="IPX8"/>
    <n v="7.5"/>
    <n v="1.7"/>
    <x v="1"/>
    <x v="5"/>
    <x v="2"/>
    <n v="61.2"/>
  </r>
  <r>
    <x v="18"/>
    <x v="10"/>
    <x v="7"/>
    <x v="10"/>
    <x v="4"/>
    <x v="1569"/>
    <n v="189.8"/>
    <n v="91.33"/>
    <n v="93.12"/>
    <n v="89.52"/>
    <s v="IPX7"/>
    <n v="7.7"/>
    <m/>
    <x v="2"/>
    <x v="0"/>
    <x v="2"/>
    <n v="74.2"/>
  </r>
  <r>
    <x v="18"/>
    <x v="13"/>
    <x v="0"/>
    <x v="13"/>
    <x v="0"/>
    <x v="1570"/>
    <n v="168.6"/>
    <n v="88.31"/>
    <n v="94.98"/>
    <n v="72.599999999999994"/>
    <s v="3ATM"/>
    <n v="8.3000000000000007"/>
    <m/>
    <x v="2"/>
    <x v="10"/>
    <x v="0"/>
    <n v="71.8"/>
  </r>
  <r>
    <x v="18"/>
    <x v="22"/>
    <x v="8"/>
    <x v="22"/>
    <x v="1"/>
    <x v="1571"/>
    <n v="70.3"/>
    <n v="93.91"/>
    <n v="93.91"/>
    <n v="84.21"/>
    <s v="IP68"/>
    <n v="9.5"/>
    <n v="2.5"/>
    <x v="3"/>
    <x v="1"/>
    <x v="0"/>
    <n v="64.2"/>
  </r>
  <r>
    <x v="18"/>
    <x v="9"/>
    <x v="6"/>
    <x v="9"/>
    <x v="3"/>
    <x v="9"/>
    <n v="165.8"/>
    <n v="90.63"/>
    <n v="96.5"/>
    <n v="79.709999999999994"/>
    <s v="IPX7"/>
    <n v="6"/>
    <m/>
    <x v="2"/>
    <x v="8"/>
    <x v="2"/>
    <n v="69.3"/>
  </r>
  <r>
    <x v="18"/>
    <x v="10"/>
    <x v="7"/>
    <x v="10"/>
    <x v="4"/>
    <x v="1572"/>
    <n v="173.4"/>
    <n v="91.7"/>
    <n v="94.13"/>
    <n v="85.53"/>
    <s v="IPX8"/>
    <n v="8.1999999999999993"/>
    <m/>
    <x v="2"/>
    <x v="8"/>
    <x v="2"/>
    <n v="74.7"/>
  </r>
  <r>
    <x v="18"/>
    <x v="1"/>
    <x v="1"/>
    <x v="1"/>
    <x v="1"/>
    <x v="1573"/>
    <n v="49.1"/>
    <n v="96.58"/>
    <n v="96.44"/>
    <n v="80.19"/>
    <s v="IPX8"/>
    <n v="9.4"/>
    <n v="2.1"/>
    <x v="3"/>
    <x v="7"/>
    <x v="1"/>
    <n v="64.099999999999994"/>
  </r>
  <r>
    <x v="18"/>
    <x v="25"/>
    <x v="5"/>
    <x v="25"/>
    <x v="1"/>
    <x v="1574"/>
    <n v="26.6"/>
    <n v="93.31"/>
    <n v="95.79"/>
    <n v="83.79"/>
    <s v="IP68"/>
    <n v="7.7"/>
    <n v="4"/>
    <x v="3"/>
    <x v="3"/>
    <x v="2"/>
    <n v="59.5"/>
  </r>
  <r>
    <x v="18"/>
    <x v="20"/>
    <x v="0"/>
    <x v="20"/>
    <x v="2"/>
    <x v="1575"/>
    <n v="125.4"/>
    <n v="94.58"/>
    <n v="95.54"/>
    <n v="79.209999999999994"/>
    <s v="IP68"/>
    <n v="7.9"/>
    <n v="4.5"/>
    <x v="2"/>
    <x v="12"/>
    <x v="0"/>
    <n v="60.9"/>
  </r>
  <r>
    <x v="19"/>
    <x v="19"/>
    <x v="9"/>
    <x v="19"/>
    <x v="0"/>
    <x v="1576"/>
    <n v="238.3"/>
    <n v="88.9"/>
    <n v="94.67"/>
    <n v="77.430000000000007"/>
    <s v="IPX7"/>
    <n v="7.9"/>
    <m/>
    <x v="0"/>
    <x v="12"/>
    <x v="2"/>
    <n v="72"/>
  </r>
  <r>
    <x v="19"/>
    <x v="17"/>
    <x v="3"/>
    <x v="17"/>
    <x v="1"/>
    <x v="1577"/>
    <n v="50.2"/>
    <n v="95.22"/>
    <n v="98.37"/>
    <n v="78.05"/>
    <s v="IP68"/>
    <n v="8.1"/>
    <n v="4"/>
    <x v="1"/>
    <x v="10"/>
    <x v="2"/>
    <n v="60.4"/>
  </r>
  <r>
    <x v="19"/>
    <x v="9"/>
    <x v="6"/>
    <x v="9"/>
    <x v="3"/>
    <x v="9"/>
    <n v="127"/>
    <n v="91.71"/>
    <n v="93.6"/>
    <n v="78.06"/>
    <s v="IPX4"/>
    <n v="6.8"/>
    <m/>
    <x v="2"/>
    <x v="8"/>
    <x v="0"/>
    <n v="69.3"/>
  </r>
  <r>
    <x v="19"/>
    <x v="12"/>
    <x v="8"/>
    <x v="12"/>
    <x v="1"/>
    <x v="1578"/>
    <n v="45.6"/>
    <n v="96.65"/>
    <n v="94.79"/>
    <n v="75.78"/>
    <s v="IP68"/>
    <n v="7.4"/>
    <n v="3.7"/>
    <x v="1"/>
    <x v="10"/>
    <x v="0"/>
    <n v="58.6"/>
  </r>
  <r>
    <x v="19"/>
    <x v="6"/>
    <x v="5"/>
    <x v="6"/>
    <x v="1"/>
    <x v="1579"/>
    <n v="27.2"/>
    <n v="95.08"/>
    <n v="94.12"/>
    <n v="76.239999999999995"/>
    <s v="5ATM"/>
    <n v="7"/>
    <n v="3.4"/>
    <x v="1"/>
    <x v="4"/>
    <x v="2"/>
    <n v="57.5"/>
  </r>
  <r>
    <x v="19"/>
    <x v="18"/>
    <x v="4"/>
    <x v="18"/>
    <x v="1"/>
    <x v="1580"/>
    <n v="253.8"/>
    <n v="97.37"/>
    <n v="98.23"/>
    <n v="82.36"/>
    <s v="5ATM"/>
    <n v="6.2"/>
    <n v="4.4000000000000004"/>
    <x v="1"/>
    <x v="7"/>
    <x v="0"/>
    <n v="60.4"/>
  </r>
  <r>
    <x v="19"/>
    <x v="24"/>
    <x v="2"/>
    <x v="24"/>
    <x v="2"/>
    <x v="1581"/>
    <n v="238.3"/>
    <n v="92.61"/>
    <n v="96.32"/>
    <n v="77.510000000000005"/>
    <s v="IPX8"/>
    <n v="8.3000000000000007"/>
    <n v="1.6"/>
    <x v="2"/>
    <x v="0"/>
    <x v="0"/>
    <n v="63.8"/>
  </r>
  <r>
    <x v="19"/>
    <x v="27"/>
    <x v="9"/>
    <x v="27"/>
    <x v="1"/>
    <x v="1582"/>
    <n v="32.5"/>
    <n v="94.05"/>
    <n v="96.59"/>
    <n v="75.58"/>
    <s v="IPX8"/>
    <n v="6.6"/>
    <n v="3.5"/>
    <x v="3"/>
    <x v="6"/>
    <x v="2"/>
    <n v="57"/>
  </r>
  <r>
    <x v="19"/>
    <x v="22"/>
    <x v="8"/>
    <x v="22"/>
    <x v="1"/>
    <x v="1583"/>
    <n v="22.8"/>
    <n v="96.39"/>
    <n v="96.84"/>
    <n v="83.65"/>
    <s v="5ATM"/>
    <n v="9.3000000000000007"/>
    <n v="3.8"/>
    <x v="3"/>
    <x v="4"/>
    <x v="0"/>
    <n v="62.9"/>
  </r>
  <r>
    <x v="19"/>
    <x v="14"/>
    <x v="9"/>
    <x v="14"/>
    <x v="1"/>
    <x v="1584"/>
    <n v="18"/>
    <n v="94.61"/>
    <n v="93.29"/>
    <n v="75.42"/>
    <s v="5ATM"/>
    <n v="7.1"/>
    <n v="3.6"/>
    <x v="3"/>
    <x v="9"/>
    <x v="0"/>
    <n v="57"/>
  </r>
  <r>
    <x v="19"/>
    <x v="10"/>
    <x v="7"/>
    <x v="10"/>
    <x v="4"/>
    <x v="1585"/>
    <n v="189.3"/>
    <n v="89.46"/>
    <n v="94.36"/>
    <n v="90.01"/>
    <s v="IPX8"/>
    <n v="7.1"/>
    <m/>
    <x v="2"/>
    <x v="11"/>
    <x v="2"/>
    <n v="73"/>
  </r>
  <r>
    <x v="19"/>
    <x v="12"/>
    <x v="8"/>
    <x v="12"/>
    <x v="1"/>
    <x v="1586"/>
    <n v="35.6"/>
    <n v="95.58"/>
    <n v="95.4"/>
    <n v="78.260000000000005"/>
    <s v="5ATM"/>
    <n v="9.3000000000000007"/>
    <n v="4.4000000000000004"/>
    <x v="3"/>
    <x v="9"/>
    <x v="2"/>
    <n v="61.5"/>
  </r>
  <r>
    <x v="19"/>
    <x v="1"/>
    <x v="1"/>
    <x v="1"/>
    <x v="1"/>
    <x v="1587"/>
    <n v="71.7"/>
    <n v="93.48"/>
    <n v="98.32"/>
    <n v="83.89"/>
    <s v="5ATM"/>
    <n v="8.5"/>
    <n v="1.7"/>
    <x v="1"/>
    <x v="1"/>
    <x v="1"/>
    <n v="63.7"/>
  </r>
  <r>
    <x v="19"/>
    <x v="27"/>
    <x v="9"/>
    <x v="27"/>
    <x v="1"/>
    <x v="1588"/>
    <n v="52.2"/>
    <n v="95.62"/>
    <n v="94.39"/>
    <n v="84.25"/>
    <s v="5ATM"/>
    <n v="7.4"/>
    <n v="3.9"/>
    <x v="1"/>
    <x v="10"/>
    <x v="2"/>
    <n v="59.8"/>
  </r>
  <r>
    <x v="19"/>
    <x v="27"/>
    <x v="9"/>
    <x v="27"/>
    <x v="2"/>
    <x v="1589"/>
    <n v="187.5"/>
    <n v="94.95"/>
    <n v="96.02"/>
    <n v="73"/>
    <s v="IPX8"/>
    <n v="7.6"/>
    <n v="3.6"/>
    <x v="0"/>
    <x v="6"/>
    <x v="0"/>
    <n v="60.9"/>
  </r>
  <r>
    <x v="19"/>
    <x v="0"/>
    <x v="0"/>
    <x v="0"/>
    <x v="0"/>
    <x v="1590"/>
    <n v="124.8"/>
    <n v="90.88"/>
    <n v="95.84"/>
    <n v="71.260000000000005"/>
    <s v="3ATM"/>
    <n v="7.2"/>
    <m/>
    <x v="2"/>
    <x v="6"/>
    <x v="0"/>
    <n v="69"/>
  </r>
  <r>
    <x v="19"/>
    <x v="15"/>
    <x v="8"/>
    <x v="15"/>
    <x v="1"/>
    <x v="1591"/>
    <n v="62.8"/>
    <n v="95.52"/>
    <n v="96.03"/>
    <n v="82.25"/>
    <s v="IPX8"/>
    <n v="8"/>
    <n v="5"/>
    <x v="3"/>
    <x v="10"/>
    <x v="2"/>
    <n v="60.2"/>
  </r>
  <r>
    <x v="19"/>
    <x v="26"/>
    <x v="9"/>
    <x v="26"/>
    <x v="1"/>
    <x v="1592"/>
    <n v="57.4"/>
    <n v="97.94"/>
    <n v="94.13"/>
    <n v="82.96"/>
    <s v="IP68"/>
    <n v="8.3000000000000007"/>
    <n v="2.2999999999999998"/>
    <x v="1"/>
    <x v="3"/>
    <x v="2"/>
    <n v="62.6"/>
  </r>
  <r>
    <x v="19"/>
    <x v="17"/>
    <x v="3"/>
    <x v="17"/>
    <x v="1"/>
    <x v="1593"/>
    <n v="39"/>
    <n v="96.35"/>
    <n v="96.44"/>
    <n v="81.56"/>
    <s v="5ATM"/>
    <n v="9"/>
    <n v="1.8"/>
    <x v="3"/>
    <x v="7"/>
    <x v="2"/>
    <n v="63.6"/>
  </r>
  <r>
    <x v="19"/>
    <x v="5"/>
    <x v="4"/>
    <x v="5"/>
    <x v="2"/>
    <x v="1594"/>
    <n v="246.1"/>
    <n v="95.26"/>
    <n v="99.2"/>
    <n v="70.67"/>
    <s v="IPX8"/>
    <n v="9.4"/>
    <n v="4.4000000000000004"/>
    <x v="2"/>
    <x v="10"/>
    <x v="0"/>
    <n v="63.6"/>
  </r>
  <r>
    <x v="19"/>
    <x v="24"/>
    <x v="2"/>
    <x v="24"/>
    <x v="2"/>
    <x v="1595"/>
    <n v="146.6"/>
    <n v="96.56"/>
    <n v="94.21"/>
    <n v="71.319999999999993"/>
    <s v="IPX8"/>
    <n v="8.1999999999999993"/>
    <n v="3.2"/>
    <x v="0"/>
    <x v="1"/>
    <x v="0"/>
    <n v="61.5"/>
  </r>
  <r>
    <x v="19"/>
    <x v="3"/>
    <x v="2"/>
    <x v="3"/>
    <x v="1"/>
    <x v="1596"/>
    <n v="22.9"/>
    <n v="93.4"/>
    <n v="93.88"/>
    <n v="80.260000000000005"/>
    <s v="5ATM"/>
    <n v="7.5"/>
    <n v="3.6"/>
    <x v="3"/>
    <x v="9"/>
    <x v="0"/>
    <n v="58.5"/>
  </r>
  <r>
    <x v="19"/>
    <x v="16"/>
    <x v="4"/>
    <x v="16"/>
    <x v="2"/>
    <x v="1597"/>
    <n v="330.2"/>
    <n v="92.86"/>
    <n v="98.64"/>
    <n v="74.55"/>
    <s v="IP68"/>
    <n v="9.5"/>
    <n v="1.9"/>
    <x v="2"/>
    <x v="10"/>
    <x v="0"/>
    <n v="65.599999999999994"/>
  </r>
  <r>
    <x v="19"/>
    <x v="18"/>
    <x v="4"/>
    <x v="18"/>
    <x v="2"/>
    <x v="1598"/>
    <n v="617.1"/>
    <n v="94.87"/>
    <n v="98.1"/>
    <n v="75.78"/>
    <s v="IP68"/>
    <n v="8.4"/>
    <n v="1.8"/>
    <x v="0"/>
    <x v="12"/>
    <x v="0"/>
    <n v="64.3"/>
  </r>
  <r>
    <x v="19"/>
    <x v="13"/>
    <x v="0"/>
    <x v="13"/>
    <x v="0"/>
    <x v="1599"/>
    <n v="211.6"/>
    <n v="90.92"/>
    <n v="96.06"/>
    <n v="74.7"/>
    <s v="IPX4"/>
    <n v="7.5"/>
    <m/>
    <x v="2"/>
    <x v="2"/>
    <x v="0"/>
    <n v="71.3"/>
  </r>
  <r>
    <x v="19"/>
    <x v="5"/>
    <x v="4"/>
    <x v="5"/>
    <x v="2"/>
    <x v="1600"/>
    <n v="692.3"/>
    <n v="92.3"/>
    <n v="99.39"/>
    <n v="74.33"/>
    <s v="IP68"/>
    <n v="7.6"/>
    <n v="1.6"/>
    <x v="2"/>
    <x v="12"/>
    <x v="0"/>
    <n v="62.6"/>
  </r>
  <r>
    <x v="19"/>
    <x v="2"/>
    <x v="0"/>
    <x v="2"/>
    <x v="1"/>
    <x v="1601"/>
    <n v="53.8"/>
    <n v="97.79"/>
    <n v="93.74"/>
    <n v="75.66"/>
    <s v="IP68"/>
    <n v="6.5"/>
    <n v="2.7"/>
    <x v="1"/>
    <x v="9"/>
    <x v="0"/>
    <n v="58"/>
  </r>
  <r>
    <x v="19"/>
    <x v="20"/>
    <x v="0"/>
    <x v="20"/>
    <x v="1"/>
    <x v="1602"/>
    <n v="22.8"/>
    <n v="93.67"/>
    <n v="96.95"/>
    <n v="81.55"/>
    <s v="IP68"/>
    <n v="6.3"/>
    <n v="4.0999999999999996"/>
    <x v="3"/>
    <x v="6"/>
    <x v="0"/>
    <n v="56.9"/>
  </r>
  <r>
    <x v="19"/>
    <x v="1"/>
    <x v="1"/>
    <x v="1"/>
    <x v="1"/>
    <x v="1603"/>
    <n v="45.8"/>
    <n v="93.01"/>
    <n v="97.88"/>
    <n v="76.63"/>
    <s v="5ATM"/>
    <n v="7.3"/>
    <n v="2.2000000000000002"/>
    <x v="1"/>
    <x v="10"/>
    <x v="1"/>
    <n v="59.5"/>
  </r>
  <r>
    <x v="19"/>
    <x v="15"/>
    <x v="8"/>
    <x v="15"/>
    <x v="1"/>
    <x v="1604"/>
    <n v="44.5"/>
    <n v="97.41"/>
    <n v="94.17"/>
    <n v="76.63"/>
    <s v="IPX8"/>
    <n v="8.9"/>
    <n v="3"/>
    <x v="3"/>
    <x v="6"/>
    <x v="2"/>
    <n v="61.8"/>
  </r>
  <r>
    <x v="19"/>
    <x v="27"/>
    <x v="9"/>
    <x v="27"/>
    <x v="1"/>
    <x v="1605"/>
    <n v="56.4"/>
    <n v="97.41"/>
    <n v="96.6"/>
    <n v="82.95"/>
    <s v="IPX8"/>
    <n v="6.1"/>
    <n v="4.4000000000000004"/>
    <x v="3"/>
    <x v="10"/>
    <x v="0"/>
    <n v="57.8"/>
  </r>
  <r>
    <x v="19"/>
    <x v="9"/>
    <x v="6"/>
    <x v="9"/>
    <x v="3"/>
    <x v="9"/>
    <n v="134.30000000000001"/>
    <n v="89.99"/>
    <n v="96.49"/>
    <n v="75.25"/>
    <s v="3ATM"/>
    <n v="7.8"/>
    <m/>
    <x v="2"/>
    <x v="8"/>
    <x v="2"/>
    <n v="71.099999999999994"/>
  </r>
  <r>
    <x v="19"/>
    <x v="10"/>
    <x v="7"/>
    <x v="10"/>
    <x v="4"/>
    <x v="1606"/>
    <n v="184.8"/>
    <n v="85.14"/>
    <n v="95.1"/>
    <n v="89.86"/>
    <s v="IPX7"/>
    <n v="7.6"/>
    <m/>
    <x v="2"/>
    <x v="8"/>
    <x v="0"/>
    <n v="73.2"/>
  </r>
  <r>
    <x v="19"/>
    <x v="6"/>
    <x v="5"/>
    <x v="6"/>
    <x v="2"/>
    <x v="1607"/>
    <n v="229.8"/>
    <n v="95.21"/>
    <n v="93.74"/>
    <n v="78.86"/>
    <s v="IP68"/>
    <n v="9.4"/>
    <n v="4"/>
    <x v="0"/>
    <x v="0"/>
    <x v="2"/>
    <n v="64.3"/>
  </r>
  <r>
    <x v="19"/>
    <x v="10"/>
    <x v="7"/>
    <x v="10"/>
    <x v="4"/>
    <x v="1608"/>
    <n v="170.8"/>
    <n v="87.07"/>
    <n v="96.03"/>
    <n v="86.37"/>
    <s v="IPX7"/>
    <n v="9.4"/>
    <m/>
    <x v="2"/>
    <x v="12"/>
    <x v="0"/>
    <n v="76.7"/>
  </r>
  <r>
    <x v="19"/>
    <x v="9"/>
    <x v="6"/>
    <x v="9"/>
    <x v="3"/>
    <x v="9"/>
    <n v="162.30000000000001"/>
    <n v="85.98"/>
    <n v="94.12"/>
    <n v="74.260000000000005"/>
    <s v="IPX4"/>
    <n v="6.9"/>
    <m/>
    <x v="2"/>
    <x v="13"/>
    <x v="0"/>
    <n v="68.5"/>
  </r>
  <r>
    <x v="19"/>
    <x v="10"/>
    <x v="7"/>
    <x v="10"/>
    <x v="4"/>
    <x v="1609"/>
    <n v="182.7"/>
    <n v="87.43"/>
    <n v="94.31"/>
    <n v="87.58"/>
    <s v="IPX7"/>
    <n v="8.3000000000000007"/>
    <m/>
    <x v="2"/>
    <x v="12"/>
    <x v="0"/>
    <n v="74.5"/>
  </r>
  <r>
    <x v="19"/>
    <x v="1"/>
    <x v="1"/>
    <x v="1"/>
    <x v="1"/>
    <x v="1610"/>
    <n v="46.9"/>
    <n v="94.07"/>
    <n v="98.49"/>
    <n v="81.61"/>
    <s v="IP68"/>
    <n v="9"/>
    <n v="1.6"/>
    <x v="1"/>
    <x v="10"/>
    <x v="1"/>
    <n v="63.9"/>
  </r>
  <r>
    <x v="19"/>
    <x v="1"/>
    <x v="1"/>
    <x v="1"/>
    <x v="1"/>
    <x v="1611"/>
    <n v="31.3"/>
    <n v="92.64"/>
    <n v="96.57"/>
    <n v="82.48"/>
    <s v="IP68"/>
    <n v="8.4"/>
    <n v="2.2000000000000002"/>
    <x v="3"/>
    <x v="3"/>
    <x v="1"/>
    <n v="61.8"/>
  </r>
  <r>
    <x v="19"/>
    <x v="3"/>
    <x v="2"/>
    <x v="3"/>
    <x v="1"/>
    <x v="1612"/>
    <n v="52.9"/>
    <n v="97.75"/>
    <n v="93.88"/>
    <n v="75.53"/>
    <s v="5ATM"/>
    <n v="8.9"/>
    <n v="2.2999999999999998"/>
    <x v="3"/>
    <x v="3"/>
    <x v="0"/>
    <n v="62.2"/>
  </r>
  <r>
    <x v="19"/>
    <x v="18"/>
    <x v="4"/>
    <x v="18"/>
    <x v="2"/>
    <x v="1613"/>
    <n v="631.20000000000005"/>
    <n v="97.47"/>
    <n v="98.24"/>
    <n v="70.22"/>
    <s v="IPX8"/>
    <n v="8.5"/>
    <n v="3.9"/>
    <x v="0"/>
    <x v="1"/>
    <x v="0"/>
    <n v="62.6"/>
  </r>
  <r>
    <x v="19"/>
    <x v="12"/>
    <x v="8"/>
    <x v="12"/>
    <x v="1"/>
    <x v="515"/>
    <n v="46.1"/>
    <n v="95.14"/>
    <n v="94.73"/>
    <n v="81.87"/>
    <s v="5ATM"/>
    <n v="8.5"/>
    <n v="4.7"/>
    <x v="1"/>
    <x v="5"/>
    <x v="2"/>
    <n v="60.6"/>
  </r>
  <r>
    <x v="19"/>
    <x v="20"/>
    <x v="0"/>
    <x v="20"/>
    <x v="1"/>
    <x v="1614"/>
    <n v="34.700000000000003"/>
    <n v="92.09"/>
    <n v="96.57"/>
    <n v="76"/>
    <s v="IPX8"/>
    <n v="6.6"/>
    <n v="2.1"/>
    <x v="3"/>
    <x v="3"/>
    <x v="0"/>
    <n v="57.7"/>
  </r>
  <r>
    <x v="19"/>
    <x v="11"/>
    <x v="1"/>
    <x v="11"/>
    <x v="1"/>
    <x v="1615"/>
    <n v="23.3"/>
    <n v="95.89"/>
    <n v="97.83"/>
    <n v="79.23"/>
    <s v="IPX8"/>
    <n v="7.3"/>
    <n v="2.1"/>
    <x v="1"/>
    <x v="7"/>
    <x v="1"/>
    <n v="60.1"/>
  </r>
  <r>
    <x v="19"/>
    <x v="8"/>
    <x v="3"/>
    <x v="8"/>
    <x v="1"/>
    <x v="1298"/>
    <n v="68.3"/>
    <n v="95.02"/>
    <n v="96.05"/>
    <n v="80.989999999999995"/>
    <s v="IP68"/>
    <n v="9.5"/>
    <n v="2.5"/>
    <x v="3"/>
    <x v="1"/>
    <x v="2"/>
    <n v="64.2"/>
  </r>
  <r>
    <x v="19"/>
    <x v="21"/>
    <x v="1"/>
    <x v="21"/>
    <x v="1"/>
    <x v="1616"/>
    <n v="66.7"/>
    <n v="92.36"/>
    <n v="97.89"/>
    <n v="79.3"/>
    <s v="IP68"/>
    <n v="9.1"/>
    <n v="4"/>
    <x v="1"/>
    <x v="6"/>
    <x v="1"/>
    <n v="62.1"/>
  </r>
  <r>
    <x v="19"/>
    <x v="3"/>
    <x v="2"/>
    <x v="3"/>
    <x v="1"/>
    <x v="1617"/>
    <n v="55.5"/>
    <n v="95.14"/>
    <n v="96.94"/>
    <n v="78.52"/>
    <s v="IP68"/>
    <n v="7.8"/>
    <n v="3.9"/>
    <x v="3"/>
    <x v="1"/>
    <x v="0"/>
    <n v="59.9"/>
  </r>
  <r>
    <x v="19"/>
    <x v="24"/>
    <x v="2"/>
    <x v="24"/>
    <x v="1"/>
    <x v="1618"/>
    <n v="32.9"/>
    <n v="93.25"/>
    <n v="93.53"/>
    <n v="76.22"/>
    <s v="IPX8"/>
    <n v="7.6"/>
    <n v="2.2000000000000002"/>
    <x v="3"/>
    <x v="7"/>
    <x v="0"/>
    <n v="59"/>
  </r>
  <r>
    <x v="19"/>
    <x v="24"/>
    <x v="2"/>
    <x v="24"/>
    <x v="2"/>
    <x v="1619"/>
    <n v="163.30000000000001"/>
    <n v="92.4"/>
    <n v="96.56"/>
    <n v="78.430000000000007"/>
    <s v="5ATM"/>
    <n v="7.3"/>
    <n v="5"/>
    <x v="2"/>
    <x v="10"/>
    <x v="0"/>
    <n v="60"/>
  </r>
  <r>
    <x v="19"/>
    <x v="4"/>
    <x v="3"/>
    <x v="4"/>
    <x v="1"/>
    <x v="1620"/>
    <n v="64.3"/>
    <n v="95.13"/>
    <n v="97.99"/>
    <n v="82.65"/>
    <s v="IP68"/>
    <n v="8.4"/>
    <n v="2.1"/>
    <x v="3"/>
    <x v="3"/>
    <x v="2"/>
    <n v="63.2"/>
  </r>
  <r>
    <x v="19"/>
    <x v="25"/>
    <x v="5"/>
    <x v="25"/>
    <x v="2"/>
    <x v="1621"/>
    <n v="222.3"/>
    <n v="96.49"/>
    <n v="95.76"/>
    <n v="72.849999999999994"/>
    <s v="IPX8"/>
    <n v="7.1"/>
    <n v="4.5"/>
    <x v="0"/>
    <x v="12"/>
    <x v="2"/>
    <n v="59.7"/>
  </r>
  <r>
    <x v="19"/>
    <x v="2"/>
    <x v="0"/>
    <x v="2"/>
    <x v="2"/>
    <x v="1622"/>
    <n v="156.9"/>
    <n v="95.81"/>
    <n v="93.5"/>
    <n v="70.31"/>
    <s v="IPX8"/>
    <n v="7.7"/>
    <n v="3.1"/>
    <x v="0"/>
    <x v="1"/>
    <x v="0"/>
    <n v="60.5"/>
  </r>
  <r>
    <x v="19"/>
    <x v="8"/>
    <x v="3"/>
    <x v="8"/>
    <x v="1"/>
    <x v="1623"/>
    <n v="64.5"/>
    <n v="96.04"/>
    <n v="97.25"/>
    <n v="76.02"/>
    <s v="IP68"/>
    <n v="8"/>
    <n v="3.9"/>
    <x v="1"/>
    <x v="5"/>
    <x v="2"/>
    <n v="60.2"/>
  </r>
  <r>
    <x v="19"/>
    <x v="3"/>
    <x v="2"/>
    <x v="3"/>
    <x v="1"/>
    <x v="1624"/>
    <n v="21.9"/>
    <n v="97.69"/>
    <n v="96.62"/>
    <n v="82.03"/>
    <s v="5ATM"/>
    <n v="7.5"/>
    <n v="1.7"/>
    <x v="1"/>
    <x v="6"/>
    <x v="0"/>
    <n v="61.2"/>
  </r>
  <r>
    <x v="19"/>
    <x v="21"/>
    <x v="1"/>
    <x v="21"/>
    <x v="1"/>
    <x v="1625"/>
    <n v="70.2"/>
    <n v="94.41"/>
    <n v="96.19"/>
    <n v="79.599999999999994"/>
    <s v="IP68"/>
    <n v="7.6"/>
    <n v="2.1"/>
    <x v="3"/>
    <x v="4"/>
    <x v="1"/>
    <n v="61"/>
  </r>
  <r>
    <x v="19"/>
    <x v="7"/>
    <x v="4"/>
    <x v="7"/>
    <x v="1"/>
    <x v="1626"/>
    <n v="487.5"/>
    <n v="93.16"/>
    <n v="98.69"/>
    <n v="76.900000000000006"/>
    <s v="10ATM"/>
    <n v="9.1999999999999993"/>
    <n v="4.5"/>
    <x v="1"/>
    <x v="7"/>
    <x v="0"/>
    <n v="63.8"/>
  </r>
  <r>
    <x v="19"/>
    <x v="10"/>
    <x v="7"/>
    <x v="10"/>
    <x v="4"/>
    <x v="1627"/>
    <n v="169.1"/>
    <n v="90.11"/>
    <n v="93.87"/>
    <n v="89.59"/>
    <s v="IPX8"/>
    <n v="9"/>
    <m/>
    <x v="2"/>
    <x v="8"/>
    <x v="0"/>
    <n v="76.7"/>
  </r>
  <r>
    <x v="19"/>
    <x v="3"/>
    <x v="2"/>
    <x v="3"/>
    <x v="2"/>
    <x v="1628"/>
    <n v="167.5"/>
    <n v="95.11"/>
    <n v="93.65"/>
    <n v="73.81"/>
    <s v="IP68"/>
    <n v="8.5"/>
    <n v="2.2999999999999998"/>
    <x v="0"/>
    <x v="2"/>
    <x v="0"/>
    <n v="63.1"/>
  </r>
  <r>
    <x v="19"/>
    <x v="1"/>
    <x v="1"/>
    <x v="1"/>
    <x v="1"/>
    <x v="1629"/>
    <n v="18.3"/>
    <n v="94.11"/>
    <n v="97.88"/>
    <n v="83.53"/>
    <s v="IPX8"/>
    <n v="8.8000000000000007"/>
    <n v="4.0999999999999996"/>
    <x v="3"/>
    <x v="5"/>
    <x v="1"/>
    <n v="61.5"/>
  </r>
  <r>
    <x v="19"/>
    <x v="15"/>
    <x v="8"/>
    <x v="15"/>
    <x v="1"/>
    <x v="1630"/>
    <n v="45.2"/>
    <n v="93.95"/>
    <n v="94.84"/>
    <n v="76.81"/>
    <s v="5ATM"/>
    <n v="8.1999999999999993"/>
    <n v="2.1"/>
    <x v="1"/>
    <x v="4"/>
    <x v="0"/>
    <n v="60.8"/>
  </r>
  <r>
    <x v="19"/>
    <x v="11"/>
    <x v="1"/>
    <x v="11"/>
    <x v="1"/>
    <x v="1631"/>
    <n v="65.900000000000006"/>
    <n v="92.71"/>
    <n v="96.36"/>
    <n v="81.95"/>
    <s v="IP68"/>
    <n v="8.6999999999999993"/>
    <n v="1.6"/>
    <x v="3"/>
    <x v="10"/>
    <x v="1"/>
    <n v="63.2"/>
  </r>
  <r>
    <x v="19"/>
    <x v="15"/>
    <x v="8"/>
    <x v="15"/>
    <x v="1"/>
    <x v="1632"/>
    <n v="70.400000000000006"/>
    <n v="95.89"/>
    <n v="93.22"/>
    <n v="76.83"/>
    <s v="IPX8"/>
    <n v="8.1999999999999993"/>
    <n v="1.6"/>
    <x v="3"/>
    <x v="4"/>
    <x v="0"/>
    <n v="61.7"/>
  </r>
  <r>
    <x v="19"/>
    <x v="10"/>
    <x v="7"/>
    <x v="10"/>
    <x v="4"/>
    <x v="1633"/>
    <n v="175.7"/>
    <n v="86.97"/>
    <n v="93.44"/>
    <n v="89.8"/>
    <s v="IPX8"/>
    <n v="9.1999999999999993"/>
    <m/>
    <x v="2"/>
    <x v="8"/>
    <x v="0"/>
    <n v="76.400000000000006"/>
  </r>
  <r>
    <x v="19"/>
    <x v="12"/>
    <x v="8"/>
    <x v="12"/>
    <x v="1"/>
    <x v="1634"/>
    <n v="59.5"/>
    <n v="93.28"/>
    <n v="94.58"/>
    <n v="76.86"/>
    <s v="5ATM"/>
    <n v="7.6"/>
    <n v="1.6"/>
    <x v="3"/>
    <x v="4"/>
    <x v="0"/>
    <n v="60.2"/>
  </r>
  <r>
    <x v="19"/>
    <x v="1"/>
    <x v="1"/>
    <x v="1"/>
    <x v="1"/>
    <x v="1635"/>
    <n v="59.8"/>
    <n v="97.57"/>
    <n v="98.07"/>
    <n v="79.94"/>
    <s v="5ATM"/>
    <n v="9.1"/>
    <n v="2.2000000000000002"/>
    <x v="3"/>
    <x v="3"/>
    <x v="1"/>
    <n v="64.099999999999994"/>
  </r>
  <r>
    <x v="19"/>
    <x v="11"/>
    <x v="1"/>
    <x v="11"/>
    <x v="1"/>
    <x v="1636"/>
    <n v="42.2"/>
    <n v="92.63"/>
    <n v="96.66"/>
    <n v="80.69"/>
    <s v="IP68"/>
    <n v="8.1"/>
    <n v="3.8"/>
    <x v="3"/>
    <x v="6"/>
    <x v="1"/>
    <n v="60.1"/>
  </r>
  <r>
    <x v="19"/>
    <x v="15"/>
    <x v="8"/>
    <x v="15"/>
    <x v="1"/>
    <x v="1637"/>
    <n v="68.8"/>
    <n v="94.83"/>
    <n v="94.65"/>
    <n v="83.41"/>
    <s v="IP68"/>
    <n v="8.6"/>
    <n v="4.7"/>
    <x v="1"/>
    <x v="10"/>
    <x v="0"/>
    <n v="61.4"/>
  </r>
  <r>
    <x v="19"/>
    <x v="9"/>
    <x v="6"/>
    <x v="9"/>
    <x v="3"/>
    <x v="9"/>
    <n v="134.6"/>
    <n v="90.93"/>
    <n v="95.54"/>
    <n v="77.37"/>
    <s v="IPX7"/>
    <n v="6.4"/>
    <m/>
    <x v="2"/>
    <x v="11"/>
    <x v="0"/>
    <n v="68.8"/>
  </r>
  <r>
    <x v="19"/>
    <x v="24"/>
    <x v="2"/>
    <x v="24"/>
    <x v="1"/>
    <x v="1638"/>
    <n v="45.8"/>
    <n v="93.17"/>
    <n v="96.6"/>
    <n v="84.7"/>
    <s v="IPX8"/>
    <n v="7.8"/>
    <n v="1.8"/>
    <x v="1"/>
    <x v="9"/>
    <x v="0"/>
    <n v="61.8"/>
  </r>
  <r>
    <x v="19"/>
    <x v="25"/>
    <x v="5"/>
    <x v="25"/>
    <x v="1"/>
    <x v="878"/>
    <n v="39.4"/>
    <n v="95.06"/>
    <n v="96.89"/>
    <n v="75.95"/>
    <s v="IPX8"/>
    <n v="7.4"/>
    <n v="1.7"/>
    <x v="1"/>
    <x v="3"/>
    <x v="2"/>
    <n v="60"/>
  </r>
  <r>
    <x v="19"/>
    <x v="3"/>
    <x v="2"/>
    <x v="3"/>
    <x v="2"/>
    <x v="1639"/>
    <n v="75.099999999999994"/>
    <n v="95.46"/>
    <n v="94.33"/>
    <n v="79.16"/>
    <s v="IPX8"/>
    <n v="7.1"/>
    <n v="2"/>
    <x v="0"/>
    <x v="2"/>
    <x v="0"/>
    <n v="60.1"/>
  </r>
  <r>
    <x v="19"/>
    <x v="21"/>
    <x v="1"/>
    <x v="21"/>
    <x v="1"/>
    <x v="1640"/>
    <n v="33.1"/>
    <n v="97.51"/>
    <n v="97.9"/>
    <n v="82.58"/>
    <s v="IP68"/>
    <n v="8.1"/>
    <n v="3.1"/>
    <x v="1"/>
    <x v="7"/>
    <x v="1"/>
    <n v="61.8"/>
  </r>
  <r>
    <x v="19"/>
    <x v="9"/>
    <x v="6"/>
    <x v="9"/>
    <x v="3"/>
    <x v="9"/>
    <n v="155.6"/>
    <n v="87.2"/>
    <n v="96.98"/>
    <n v="73.23"/>
    <s v="IPX4"/>
    <n v="7.7"/>
    <m/>
    <x v="2"/>
    <x v="11"/>
    <x v="2"/>
    <n v="70.599999999999994"/>
  </r>
  <r>
    <x v="19"/>
    <x v="7"/>
    <x v="4"/>
    <x v="7"/>
    <x v="1"/>
    <x v="1641"/>
    <n v="374.8"/>
    <n v="95.25"/>
    <n v="99.12"/>
    <n v="78.05"/>
    <s v="10ATM"/>
    <n v="7.7"/>
    <n v="2.9"/>
    <x v="1"/>
    <x v="3"/>
    <x v="0"/>
    <n v="63"/>
  </r>
  <r>
    <x v="19"/>
    <x v="0"/>
    <x v="0"/>
    <x v="0"/>
    <x v="0"/>
    <x v="1642"/>
    <n v="179.2"/>
    <n v="93.66"/>
    <n v="96.41"/>
    <n v="79.069999999999993"/>
    <s v="3ATM"/>
    <n v="7.5"/>
    <m/>
    <x v="2"/>
    <x v="12"/>
    <x v="0"/>
    <n v="72.8"/>
  </r>
  <r>
    <x v="19"/>
    <x v="9"/>
    <x v="6"/>
    <x v="9"/>
    <x v="3"/>
    <x v="9"/>
    <n v="167.4"/>
    <n v="88.57"/>
    <n v="96.39"/>
    <n v="77.040000000000006"/>
    <s v="IPX7"/>
    <n v="7.9"/>
    <m/>
    <x v="2"/>
    <x v="0"/>
    <x v="2"/>
    <n v="72.2"/>
  </r>
  <r>
    <x v="19"/>
    <x v="1"/>
    <x v="1"/>
    <x v="1"/>
    <x v="1"/>
    <x v="1643"/>
    <n v="28.5"/>
    <n v="94.93"/>
    <n v="98.06"/>
    <n v="78.7"/>
    <s v="IPX8"/>
    <n v="9.4"/>
    <n v="3.5"/>
    <x v="3"/>
    <x v="10"/>
    <x v="1"/>
    <n v="62.5"/>
  </r>
  <r>
    <x v="19"/>
    <x v="0"/>
    <x v="0"/>
    <x v="0"/>
    <x v="0"/>
    <x v="1644"/>
    <n v="195.9"/>
    <n v="94.45"/>
    <n v="95.14"/>
    <n v="78.22"/>
    <s v="IPX7"/>
    <n v="7.2"/>
    <m/>
    <x v="2"/>
    <x v="6"/>
    <x v="0"/>
    <n v="72"/>
  </r>
  <r>
    <x v="19"/>
    <x v="3"/>
    <x v="2"/>
    <x v="3"/>
    <x v="1"/>
    <x v="1645"/>
    <n v="54.5"/>
    <n v="96.13"/>
    <n v="95.54"/>
    <n v="78"/>
    <s v="IPX8"/>
    <n v="7"/>
    <n v="2.1"/>
    <x v="3"/>
    <x v="3"/>
    <x v="0"/>
    <n v="59.6"/>
  </r>
  <r>
    <x v="19"/>
    <x v="27"/>
    <x v="9"/>
    <x v="27"/>
    <x v="1"/>
    <x v="1646"/>
    <n v="35.5"/>
    <n v="94.88"/>
    <n v="95.09"/>
    <n v="81.33"/>
    <s v="IPX8"/>
    <n v="7.1"/>
    <n v="2.1"/>
    <x v="1"/>
    <x v="3"/>
    <x v="0"/>
    <n v="59.7"/>
  </r>
  <r>
    <x v="19"/>
    <x v="10"/>
    <x v="7"/>
    <x v="10"/>
    <x v="4"/>
    <x v="1647"/>
    <n v="185.8"/>
    <n v="91.7"/>
    <n v="94.31"/>
    <n v="90.98"/>
    <s v="IPX8"/>
    <n v="9.4"/>
    <m/>
    <x v="2"/>
    <x v="8"/>
    <x v="0"/>
    <n v="78.2"/>
  </r>
  <r>
    <x v="19"/>
    <x v="12"/>
    <x v="8"/>
    <x v="12"/>
    <x v="1"/>
    <x v="1648"/>
    <n v="51"/>
    <n v="94.51"/>
    <n v="93.11"/>
    <n v="78.8"/>
    <s v="5ATM"/>
    <n v="8.1"/>
    <n v="2.7"/>
    <x v="3"/>
    <x v="5"/>
    <x v="2"/>
    <n v="60.4"/>
  </r>
  <r>
    <x v="19"/>
    <x v="4"/>
    <x v="3"/>
    <x v="4"/>
    <x v="1"/>
    <x v="1649"/>
    <n v="20"/>
    <n v="96.85"/>
    <n v="96.95"/>
    <n v="82.8"/>
    <s v="IPX8"/>
    <n v="8.5"/>
    <n v="4.4000000000000004"/>
    <x v="1"/>
    <x v="6"/>
    <x v="2"/>
    <n v="61.1"/>
  </r>
  <r>
    <x v="19"/>
    <x v="5"/>
    <x v="4"/>
    <x v="5"/>
    <x v="2"/>
    <x v="1650"/>
    <n v="397.4"/>
    <n v="97.26"/>
    <n v="99.21"/>
    <n v="70.58"/>
    <s v="IP68"/>
    <n v="8.8000000000000007"/>
    <n v="4"/>
    <x v="2"/>
    <x v="0"/>
    <x v="0"/>
    <n v="63.2"/>
  </r>
  <r>
    <x v="19"/>
    <x v="2"/>
    <x v="0"/>
    <x v="2"/>
    <x v="2"/>
    <x v="1651"/>
    <n v="195.8"/>
    <n v="95"/>
    <n v="96.53"/>
    <n v="75"/>
    <s v="IPX8"/>
    <n v="6.7"/>
    <n v="2.1"/>
    <x v="0"/>
    <x v="6"/>
    <x v="0"/>
    <n v="60.9"/>
  </r>
  <r>
    <x v="19"/>
    <x v="3"/>
    <x v="2"/>
    <x v="3"/>
    <x v="1"/>
    <x v="1652"/>
    <n v="20.3"/>
    <n v="92.21"/>
    <n v="95.03"/>
    <n v="81.5"/>
    <s v="IPX8"/>
    <n v="7.7"/>
    <n v="4.2"/>
    <x v="3"/>
    <x v="5"/>
    <x v="0"/>
    <n v="58.6"/>
  </r>
  <r>
    <x v="19"/>
    <x v="4"/>
    <x v="3"/>
    <x v="4"/>
    <x v="1"/>
    <x v="1653"/>
    <n v="39.4"/>
    <n v="94.92"/>
    <n v="96.12"/>
    <n v="80.28"/>
    <s v="IP68"/>
    <n v="8.6"/>
    <n v="3.5"/>
    <x v="3"/>
    <x v="9"/>
    <x v="2"/>
    <n v="61.3"/>
  </r>
  <r>
    <x v="19"/>
    <x v="25"/>
    <x v="5"/>
    <x v="25"/>
    <x v="1"/>
    <x v="1654"/>
    <n v="39.799999999999997"/>
    <n v="97.03"/>
    <n v="95.68"/>
    <n v="75.650000000000006"/>
    <s v="IP68"/>
    <n v="8.1999999999999993"/>
    <n v="2.4"/>
    <x v="1"/>
    <x v="1"/>
    <x v="0"/>
    <n v="60.9"/>
  </r>
  <r>
    <x v="19"/>
    <x v="4"/>
    <x v="3"/>
    <x v="4"/>
    <x v="1"/>
    <x v="1655"/>
    <n v="26.9"/>
    <n v="97.25"/>
    <n v="96.81"/>
    <n v="83.96"/>
    <s v="5ATM"/>
    <n v="7.2"/>
    <n v="4.3"/>
    <x v="1"/>
    <x v="7"/>
    <x v="2"/>
    <n v="59.3"/>
  </r>
  <r>
    <x v="19"/>
    <x v="3"/>
    <x v="2"/>
    <x v="3"/>
    <x v="2"/>
    <x v="1656"/>
    <n v="178.6"/>
    <n v="96.41"/>
    <n v="95.26"/>
    <n v="79.739999999999995"/>
    <s v="5ATM"/>
    <n v="7.8"/>
    <n v="4.3"/>
    <x v="0"/>
    <x v="0"/>
    <x v="0"/>
    <n v="62"/>
  </r>
  <r>
    <x v="19"/>
    <x v="22"/>
    <x v="8"/>
    <x v="22"/>
    <x v="1"/>
    <x v="1657"/>
    <n v="29.3"/>
    <n v="92.81"/>
    <n v="96.43"/>
    <n v="83.72"/>
    <s v="IPX8"/>
    <n v="9"/>
    <n v="3.9"/>
    <x v="1"/>
    <x v="5"/>
    <x v="0"/>
    <n v="61.8"/>
  </r>
  <r>
    <x v="19"/>
    <x v="15"/>
    <x v="8"/>
    <x v="15"/>
    <x v="1"/>
    <x v="1658"/>
    <n v="32.9"/>
    <n v="96.18"/>
    <n v="94.99"/>
    <n v="83.75"/>
    <s v="IP68"/>
    <n v="7.9"/>
    <n v="1.6"/>
    <x v="1"/>
    <x v="10"/>
    <x v="0"/>
    <n v="61.9"/>
  </r>
  <r>
    <x v="19"/>
    <x v="6"/>
    <x v="5"/>
    <x v="6"/>
    <x v="1"/>
    <x v="1659"/>
    <n v="58"/>
    <n v="95.83"/>
    <n v="93.57"/>
    <n v="76.349999999999994"/>
    <s v="IP68"/>
    <n v="7.4"/>
    <n v="2.1"/>
    <x v="1"/>
    <x v="7"/>
    <x v="0"/>
    <n v="59.7"/>
  </r>
  <r>
    <x v="20"/>
    <x v="10"/>
    <x v="7"/>
    <x v="10"/>
    <x v="4"/>
    <x v="1660"/>
    <n v="176.9"/>
    <n v="90.64"/>
    <n v="94.95"/>
    <n v="91.95"/>
    <s v="IPX8"/>
    <n v="9.4"/>
    <m/>
    <x v="2"/>
    <x v="11"/>
    <x v="2"/>
    <n v="78.3"/>
  </r>
  <r>
    <x v="20"/>
    <x v="22"/>
    <x v="8"/>
    <x v="22"/>
    <x v="1"/>
    <x v="1661"/>
    <n v="22.7"/>
    <n v="92.64"/>
    <n v="95.52"/>
    <n v="81.02"/>
    <s v="5ATM"/>
    <n v="8.9"/>
    <n v="4.7"/>
    <x v="3"/>
    <x v="5"/>
    <x v="2"/>
    <n v="60.3"/>
  </r>
  <r>
    <x v="20"/>
    <x v="12"/>
    <x v="8"/>
    <x v="12"/>
    <x v="1"/>
    <x v="1662"/>
    <n v="55.5"/>
    <n v="94.87"/>
    <n v="93.71"/>
    <n v="78.98"/>
    <s v="IPX8"/>
    <n v="8.4"/>
    <n v="3.9"/>
    <x v="1"/>
    <x v="5"/>
    <x v="0"/>
    <n v="60.4"/>
  </r>
  <r>
    <x v="20"/>
    <x v="3"/>
    <x v="2"/>
    <x v="3"/>
    <x v="1"/>
    <x v="1663"/>
    <n v="33.4"/>
    <n v="97.87"/>
    <n v="94.87"/>
    <n v="80.239999999999995"/>
    <s v="IPX8"/>
    <n v="8.4"/>
    <n v="3.7"/>
    <x v="1"/>
    <x v="7"/>
    <x v="0"/>
    <n v="61"/>
  </r>
  <r>
    <x v="20"/>
    <x v="9"/>
    <x v="6"/>
    <x v="9"/>
    <x v="3"/>
    <x v="9"/>
    <n v="138.5"/>
    <n v="86.58"/>
    <n v="94.7"/>
    <n v="70.069999999999993"/>
    <s v="IPX7"/>
    <n v="7.7"/>
    <m/>
    <x v="2"/>
    <x v="8"/>
    <x v="0"/>
    <n v="69"/>
  </r>
  <r>
    <x v="20"/>
    <x v="27"/>
    <x v="9"/>
    <x v="27"/>
    <x v="2"/>
    <x v="1664"/>
    <n v="135.6"/>
    <n v="96.57"/>
    <n v="94.67"/>
    <n v="75.680000000000007"/>
    <s v="IPX8"/>
    <n v="8"/>
    <n v="2.1"/>
    <x v="2"/>
    <x v="10"/>
    <x v="0"/>
    <n v="62.4"/>
  </r>
  <r>
    <x v="20"/>
    <x v="8"/>
    <x v="3"/>
    <x v="8"/>
    <x v="1"/>
    <x v="1665"/>
    <n v="54.6"/>
    <n v="93.7"/>
    <n v="97.81"/>
    <n v="81.569999999999993"/>
    <s v="IP68"/>
    <n v="8.3000000000000007"/>
    <n v="2.7"/>
    <x v="3"/>
    <x v="10"/>
    <x v="2"/>
    <n v="62"/>
  </r>
  <r>
    <x v="20"/>
    <x v="8"/>
    <x v="3"/>
    <x v="8"/>
    <x v="1"/>
    <x v="1666"/>
    <n v="36.299999999999997"/>
    <n v="95.57"/>
    <n v="98.48"/>
    <n v="76.23"/>
    <s v="IPX8"/>
    <n v="9.1"/>
    <n v="2.5"/>
    <x v="3"/>
    <x v="3"/>
    <x v="2"/>
    <n v="62.6"/>
  </r>
  <r>
    <x v="20"/>
    <x v="16"/>
    <x v="4"/>
    <x v="16"/>
    <x v="1"/>
    <x v="1667"/>
    <n v="491.1"/>
    <n v="94.47"/>
    <n v="99.41"/>
    <n v="81.11"/>
    <s v="5ATM"/>
    <n v="8.9"/>
    <n v="4"/>
    <x v="3"/>
    <x v="6"/>
    <x v="0"/>
    <n v="64.7"/>
  </r>
  <r>
    <x v="20"/>
    <x v="18"/>
    <x v="4"/>
    <x v="18"/>
    <x v="2"/>
    <x v="1668"/>
    <n v="607.20000000000005"/>
    <n v="93.23"/>
    <n v="99.01"/>
    <n v="74.37"/>
    <s v="IP68"/>
    <n v="6.7"/>
    <n v="1.6"/>
    <x v="2"/>
    <x v="1"/>
    <x v="0"/>
    <n v="61.2"/>
  </r>
  <r>
    <x v="20"/>
    <x v="1"/>
    <x v="1"/>
    <x v="1"/>
    <x v="1"/>
    <x v="1669"/>
    <n v="24.7"/>
    <n v="97.53"/>
    <n v="96.2"/>
    <n v="77.930000000000007"/>
    <s v="IP68"/>
    <n v="8.9"/>
    <n v="4.5"/>
    <x v="3"/>
    <x v="6"/>
    <x v="1"/>
    <n v="60.9"/>
  </r>
  <r>
    <x v="20"/>
    <x v="4"/>
    <x v="3"/>
    <x v="4"/>
    <x v="1"/>
    <x v="1670"/>
    <n v="29.5"/>
    <n v="92.47"/>
    <n v="97.48"/>
    <n v="80.19"/>
    <s v="IPX8"/>
    <n v="7"/>
    <n v="3.9"/>
    <x v="3"/>
    <x v="4"/>
    <x v="2"/>
    <n v="58"/>
  </r>
  <r>
    <x v="20"/>
    <x v="9"/>
    <x v="6"/>
    <x v="9"/>
    <x v="3"/>
    <x v="9"/>
    <n v="149"/>
    <n v="86.46"/>
    <n v="96.26"/>
    <n v="77.760000000000005"/>
    <s v="IPX4"/>
    <n v="6.3"/>
    <m/>
    <x v="2"/>
    <x v="11"/>
    <x v="2"/>
    <n v="68.2"/>
  </r>
  <r>
    <x v="20"/>
    <x v="25"/>
    <x v="5"/>
    <x v="25"/>
    <x v="1"/>
    <x v="1671"/>
    <n v="28.7"/>
    <n v="93.66"/>
    <n v="96.47"/>
    <n v="80.11"/>
    <s v="5ATM"/>
    <n v="7.9"/>
    <n v="2.2000000000000002"/>
    <x v="1"/>
    <x v="4"/>
    <x v="0"/>
    <n v="60.6"/>
  </r>
  <r>
    <x v="20"/>
    <x v="17"/>
    <x v="3"/>
    <x v="17"/>
    <x v="1"/>
    <x v="1672"/>
    <n v="45"/>
    <n v="95.65"/>
    <n v="96.29"/>
    <n v="78.98"/>
    <s v="IP68"/>
    <n v="8.1999999999999993"/>
    <n v="2"/>
    <x v="1"/>
    <x v="6"/>
    <x v="2"/>
    <n v="61.7"/>
  </r>
  <r>
    <x v="20"/>
    <x v="6"/>
    <x v="5"/>
    <x v="6"/>
    <x v="2"/>
    <x v="1673"/>
    <n v="104.2"/>
    <n v="94.01"/>
    <n v="95.7"/>
    <n v="72.790000000000006"/>
    <s v="IP68"/>
    <n v="8.6"/>
    <n v="3.8"/>
    <x v="0"/>
    <x v="12"/>
    <x v="0"/>
    <n v="61"/>
  </r>
  <r>
    <x v="20"/>
    <x v="27"/>
    <x v="9"/>
    <x v="27"/>
    <x v="2"/>
    <x v="1674"/>
    <n v="83"/>
    <n v="92.68"/>
    <n v="94.91"/>
    <n v="78.459999999999994"/>
    <s v="IPX8"/>
    <n v="7.5"/>
    <n v="3.6"/>
    <x v="2"/>
    <x v="0"/>
    <x v="0"/>
    <n v="59.4"/>
  </r>
  <r>
    <x v="20"/>
    <x v="5"/>
    <x v="4"/>
    <x v="5"/>
    <x v="1"/>
    <x v="1675"/>
    <n v="559.1"/>
    <n v="92.83"/>
    <n v="98.56"/>
    <n v="83.18"/>
    <s v="IPX8"/>
    <n v="7.5"/>
    <n v="3.8"/>
    <x v="3"/>
    <x v="3"/>
    <x v="0"/>
    <n v="62.4"/>
  </r>
  <r>
    <x v="20"/>
    <x v="1"/>
    <x v="1"/>
    <x v="1"/>
    <x v="1"/>
    <x v="1676"/>
    <n v="37.799999999999997"/>
    <n v="95.37"/>
    <n v="96.49"/>
    <n v="79.2"/>
    <s v="5ATM"/>
    <n v="8.4"/>
    <n v="2"/>
    <x v="3"/>
    <x v="4"/>
    <x v="1"/>
    <n v="61.9"/>
  </r>
  <r>
    <x v="20"/>
    <x v="8"/>
    <x v="3"/>
    <x v="8"/>
    <x v="1"/>
    <x v="1677"/>
    <n v="56.3"/>
    <n v="94.23"/>
    <n v="97.75"/>
    <n v="81.96"/>
    <s v="5ATM"/>
    <n v="9"/>
    <n v="4.9000000000000004"/>
    <x v="3"/>
    <x v="9"/>
    <x v="2"/>
    <n v="61.8"/>
  </r>
  <r>
    <x v="20"/>
    <x v="18"/>
    <x v="4"/>
    <x v="18"/>
    <x v="2"/>
    <x v="1678"/>
    <n v="585.5"/>
    <n v="95.79"/>
    <n v="99.46"/>
    <n v="72.02"/>
    <s v="5ATM"/>
    <n v="7"/>
    <n v="3.5"/>
    <x v="2"/>
    <x v="0"/>
    <x v="0"/>
    <n v="60.5"/>
  </r>
  <r>
    <x v="20"/>
    <x v="17"/>
    <x v="3"/>
    <x v="17"/>
    <x v="1"/>
    <x v="1679"/>
    <n v="38.1"/>
    <n v="95.32"/>
    <n v="96.41"/>
    <n v="79.36"/>
    <s v="IPX8"/>
    <n v="9.3000000000000007"/>
    <n v="3.9"/>
    <x v="1"/>
    <x v="3"/>
    <x v="2"/>
    <n v="62.2"/>
  </r>
  <r>
    <x v="20"/>
    <x v="4"/>
    <x v="3"/>
    <x v="4"/>
    <x v="1"/>
    <x v="1680"/>
    <n v="24.9"/>
    <n v="94.85"/>
    <n v="97.37"/>
    <n v="77.650000000000006"/>
    <s v="IP68"/>
    <n v="8.6"/>
    <n v="2.2000000000000002"/>
    <x v="3"/>
    <x v="5"/>
    <x v="2"/>
    <n v="61.7"/>
  </r>
  <r>
    <x v="20"/>
    <x v="10"/>
    <x v="7"/>
    <x v="10"/>
    <x v="4"/>
    <x v="1681"/>
    <n v="177.2"/>
    <n v="91.47"/>
    <n v="96.36"/>
    <n v="86.08"/>
    <s v="IPX7"/>
    <n v="7.2"/>
    <m/>
    <x v="2"/>
    <x v="8"/>
    <x v="2"/>
    <n v="73.2"/>
  </r>
  <r>
    <x v="20"/>
    <x v="2"/>
    <x v="0"/>
    <x v="2"/>
    <x v="1"/>
    <x v="1682"/>
    <n v="19.7"/>
    <n v="92.69"/>
    <n v="95.63"/>
    <n v="76.86"/>
    <s v="5ATM"/>
    <n v="6.9"/>
    <n v="2.6"/>
    <x v="3"/>
    <x v="1"/>
    <x v="0"/>
    <n v="57.7"/>
  </r>
  <r>
    <x v="20"/>
    <x v="24"/>
    <x v="2"/>
    <x v="24"/>
    <x v="1"/>
    <x v="1683"/>
    <n v="60.1"/>
    <n v="96"/>
    <n v="93.12"/>
    <n v="78.88"/>
    <s v="IPX8"/>
    <n v="7.2"/>
    <n v="3"/>
    <x v="1"/>
    <x v="4"/>
    <x v="0"/>
    <n v="59.2"/>
  </r>
  <r>
    <x v="20"/>
    <x v="2"/>
    <x v="0"/>
    <x v="2"/>
    <x v="1"/>
    <x v="1684"/>
    <n v="52.1"/>
    <n v="92.89"/>
    <n v="93.01"/>
    <n v="79.25"/>
    <s v="5ATM"/>
    <n v="7"/>
    <n v="2.2000000000000002"/>
    <x v="1"/>
    <x v="5"/>
    <x v="0"/>
    <n v="58.8"/>
  </r>
  <r>
    <x v="20"/>
    <x v="13"/>
    <x v="0"/>
    <x v="13"/>
    <x v="0"/>
    <x v="1685"/>
    <n v="192"/>
    <n v="89.04"/>
    <n v="96.41"/>
    <n v="71.31"/>
    <s v="IPX7"/>
    <n v="7"/>
    <m/>
    <x v="0"/>
    <x v="12"/>
    <x v="0"/>
    <n v="69.400000000000006"/>
  </r>
  <r>
    <x v="20"/>
    <x v="17"/>
    <x v="3"/>
    <x v="17"/>
    <x v="1"/>
    <x v="1686"/>
    <n v="45"/>
    <n v="93.81"/>
    <n v="97.95"/>
    <n v="83.21"/>
    <s v="5ATM"/>
    <n v="8.3000000000000007"/>
    <n v="1.7"/>
    <x v="1"/>
    <x v="1"/>
    <x v="2"/>
    <n v="62.8"/>
  </r>
  <r>
    <x v="20"/>
    <x v="24"/>
    <x v="2"/>
    <x v="24"/>
    <x v="2"/>
    <x v="1687"/>
    <n v="103.4"/>
    <n v="97.05"/>
    <n v="95.48"/>
    <n v="78.66"/>
    <s v="5ATM"/>
    <n v="7.7"/>
    <n v="2.2000000000000002"/>
    <x v="2"/>
    <x v="6"/>
    <x v="0"/>
    <n v="61.9"/>
  </r>
  <r>
    <x v="20"/>
    <x v="9"/>
    <x v="6"/>
    <x v="9"/>
    <x v="3"/>
    <x v="9"/>
    <n v="154.19999999999999"/>
    <n v="87.38"/>
    <n v="94.38"/>
    <n v="76.59"/>
    <s v="3ATM"/>
    <n v="7.8"/>
    <m/>
    <x v="2"/>
    <x v="0"/>
    <x v="2"/>
    <n v="70.900000000000006"/>
  </r>
  <r>
    <x v="20"/>
    <x v="4"/>
    <x v="3"/>
    <x v="4"/>
    <x v="1"/>
    <x v="1688"/>
    <n v="32.299999999999997"/>
    <n v="96.75"/>
    <n v="97.47"/>
    <n v="83.04"/>
    <s v="5ATM"/>
    <n v="7.6"/>
    <n v="3.4"/>
    <x v="3"/>
    <x v="3"/>
    <x v="2"/>
    <n v="60.6"/>
  </r>
  <r>
    <x v="20"/>
    <x v="9"/>
    <x v="6"/>
    <x v="9"/>
    <x v="3"/>
    <x v="9"/>
    <n v="157.80000000000001"/>
    <n v="90.58"/>
    <n v="93.33"/>
    <n v="73.53"/>
    <s v="3ATM"/>
    <n v="6"/>
    <m/>
    <x v="2"/>
    <x v="8"/>
    <x v="2"/>
    <n v="67.2"/>
  </r>
  <r>
    <x v="20"/>
    <x v="4"/>
    <x v="3"/>
    <x v="4"/>
    <x v="1"/>
    <x v="1689"/>
    <n v="45.2"/>
    <n v="95.79"/>
    <n v="97.96"/>
    <n v="83.43"/>
    <s v="IP68"/>
    <n v="9.4"/>
    <n v="4.4000000000000004"/>
    <x v="1"/>
    <x v="9"/>
    <x v="2"/>
    <n v="63.2"/>
  </r>
  <r>
    <x v="20"/>
    <x v="5"/>
    <x v="4"/>
    <x v="5"/>
    <x v="1"/>
    <x v="1690"/>
    <n v="671.9"/>
    <n v="96.72"/>
    <n v="98.66"/>
    <n v="81.790000000000006"/>
    <s v="IPX8"/>
    <n v="9.1999999999999993"/>
    <n v="1.9"/>
    <x v="1"/>
    <x v="10"/>
    <x v="0"/>
    <n v="66.900000000000006"/>
  </r>
  <r>
    <x v="20"/>
    <x v="25"/>
    <x v="5"/>
    <x v="25"/>
    <x v="2"/>
    <x v="1691"/>
    <n v="149.30000000000001"/>
    <n v="97.02"/>
    <n v="96.44"/>
    <n v="71.8"/>
    <s v="5ATM"/>
    <n v="7.8"/>
    <n v="3.9"/>
    <x v="2"/>
    <x v="12"/>
    <x v="0"/>
    <n v="60.9"/>
  </r>
  <r>
    <x v="20"/>
    <x v="2"/>
    <x v="0"/>
    <x v="2"/>
    <x v="2"/>
    <x v="1692"/>
    <n v="227.6"/>
    <n v="94.36"/>
    <n v="96.33"/>
    <n v="73.260000000000005"/>
    <s v="IPX8"/>
    <n v="7.4"/>
    <n v="1.8"/>
    <x v="2"/>
    <x v="6"/>
    <x v="0"/>
    <n v="61.8"/>
  </r>
  <r>
    <x v="20"/>
    <x v="11"/>
    <x v="1"/>
    <x v="11"/>
    <x v="1"/>
    <x v="1693"/>
    <n v="48"/>
    <n v="95.3"/>
    <n v="96.24"/>
    <n v="76.02"/>
    <s v="5ATM"/>
    <n v="8.1999999999999993"/>
    <n v="1.7"/>
    <x v="3"/>
    <x v="5"/>
    <x v="1"/>
    <n v="61.4"/>
  </r>
  <r>
    <x v="20"/>
    <x v="21"/>
    <x v="1"/>
    <x v="21"/>
    <x v="1"/>
    <x v="1694"/>
    <n v="36.200000000000003"/>
    <n v="97.18"/>
    <n v="98.33"/>
    <n v="84.07"/>
    <s v="IPX8"/>
    <n v="9.4"/>
    <n v="3.8"/>
    <x v="3"/>
    <x v="3"/>
    <x v="1"/>
    <n v="63.8"/>
  </r>
  <r>
    <x v="20"/>
    <x v="26"/>
    <x v="9"/>
    <x v="26"/>
    <x v="2"/>
    <x v="1695"/>
    <n v="83.7"/>
    <n v="94.4"/>
    <n v="93.25"/>
    <n v="74.16"/>
    <s v="IPX8"/>
    <n v="7.4"/>
    <n v="3.4"/>
    <x v="2"/>
    <x v="12"/>
    <x v="0"/>
    <n v="58.7"/>
  </r>
  <r>
    <x v="20"/>
    <x v="3"/>
    <x v="2"/>
    <x v="3"/>
    <x v="1"/>
    <x v="1696"/>
    <n v="29.2"/>
    <n v="95.6"/>
    <n v="94.47"/>
    <n v="77.98"/>
    <s v="IP68"/>
    <n v="9.4"/>
    <n v="2.8"/>
    <x v="1"/>
    <x v="1"/>
    <x v="0"/>
    <n v="62.4"/>
  </r>
  <r>
    <x v="20"/>
    <x v="3"/>
    <x v="2"/>
    <x v="3"/>
    <x v="2"/>
    <x v="1697"/>
    <n v="155.69999999999999"/>
    <n v="92.5"/>
    <n v="96.38"/>
    <n v="76.06"/>
    <s v="5ATM"/>
    <n v="7"/>
    <n v="1.6"/>
    <x v="0"/>
    <x v="1"/>
    <x v="0"/>
    <n v="61.2"/>
  </r>
  <r>
    <x v="20"/>
    <x v="13"/>
    <x v="0"/>
    <x v="13"/>
    <x v="0"/>
    <x v="1698"/>
    <n v="118.8"/>
    <n v="89.77"/>
    <n v="96.77"/>
    <n v="73.900000000000006"/>
    <s v="IPX7"/>
    <n v="6.8"/>
    <m/>
    <x v="2"/>
    <x v="0"/>
    <x v="0"/>
    <n v="68.5"/>
  </r>
  <r>
    <x v="20"/>
    <x v="14"/>
    <x v="9"/>
    <x v="14"/>
    <x v="1"/>
    <x v="1699"/>
    <n v="29.3"/>
    <n v="92.58"/>
    <n v="95.57"/>
    <n v="75.739999999999995"/>
    <s v="IP68"/>
    <n v="7.7"/>
    <n v="2.4"/>
    <x v="1"/>
    <x v="3"/>
    <x v="0"/>
    <n v="59.1"/>
  </r>
  <r>
    <x v="20"/>
    <x v="11"/>
    <x v="1"/>
    <x v="11"/>
    <x v="1"/>
    <x v="1700"/>
    <n v="34.799999999999997"/>
    <n v="94.03"/>
    <n v="96.38"/>
    <n v="78.209999999999994"/>
    <s v="IP68"/>
    <n v="7.9"/>
    <n v="4.5"/>
    <x v="1"/>
    <x v="5"/>
    <x v="1"/>
    <n v="59"/>
  </r>
  <r>
    <x v="20"/>
    <x v="10"/>
    <x v="7"/>
    <x v="10"/>
    <x v="4"/>
    <x v="1701"/>
    <n v="189.6"/>
    <n v="88.36"/>
    <n v="94.28"/>
    <n v="90.23"/>
    <s v="IPX8"/>
    <n v="8.8000000000000007"/>
    <m/>
    <x v="2"/>
    <x v="0"/>
    <x v="0"/>
    <n v="76.2"/>
  </r>
  <r>
    <x v="20"/>
    <x v="9"/>
    <x v="6"/>
    <x v="9"/>
    <x v="3"/>
    <x v="9"/>
    <n v="155.6"/>
    <n v="85.91"/>
    <n v="94.81"/>
    <n v="76.319999999999993"/>
    <s v="IPX7"/>
    <n v="6.4"/>
    <m/>
    <x v="2"/>
    <x v="8"/>
    <x v="0"/>
    <n v="67.900000000000006"/>
  </r>
  <r>
    <x v="20"/>
    <x v="27"/>
    <x v="9"/>
    <x v="27"/>
    <x v="1"/>
    <x v="1702"/>
    <n v="39.200000000000003"/>
    <n v="96.64"/>
    <n v="95.82"/>
    <n v="78.55"/>
    <s v="IP68"/>
    <n v="6.6"/>
    <n v="1.8"/>
    <x v="3"/>
    <x v="5"/>
    <x v="2"/>
    <n v="59.1"/>
  </r>
  <r>
    <x v="20"/>
    <x v="14"/>
    <x v="9"/>
    <x v="14"/>
    <x v="1"/>
    <x v="1703"/>
    <n v="52.9"/>
    <n v="94.86"/>
    <n v="94.83"/>
    <n v="78.52"/>
    <s v="5ATM"/>
    <n v="6.4"/>
    <n v="3.7"/>
    <x v="1"/>
    <x v="4"/>
    <x v="0"/>
    <n v="57.3"/>
  </r>
  <r>
    <x v="20"/>
    <x v="13"/>
    <x v="0"/>
    <x v="13"/>
    <x v="0"/>
    <x v="1704"/>
    <n v="111"/>
    <n v="90.59"/>
    <n v="95.25"/>
    <n v="76.430000000000007"/>
    <s v="IPX7"/>
    <n v="6.3"/>
    <m/>
    <x v="2"/>
    <x v="0"/>
    <x v="0"/>
    <n v="67.7"/>
  </r>
  <r>
    <x v="20"/>
    <x v="8"/>
    <x v="3"/>
    <x v="8"/>
    <x v="1"/>
    <x v="1705"/>
    <n v="64.900000000000006"/>
    <n v="96.31"/>
    <n v="98.4"/>
    <n v="81.45"/>
    <s v="5ATM"/>
    <n v="7.1"/>
    <n v="3.9"/>
    <x v="1"/>
    <x v="5"/>
    <x v="2"/>
    <n v="59.9"/>
  </r>
  <r>
    <x v="20"/>
    <x v="15"/>
    <x v="8"/>
    <x v="15"/>
    <x v="1"/>
    <x v="1706"/>
    <n v="70.900000000000006"/>
    <n v="96.67"/>
    <n v="96.12"/>
    <n v="76.06"/>
    <s v="IP68"/>
    <n v="9"/>
    <n v="4.8"/>
    <x v="1"/>
    <x v="5"/>
    <x v="0"/>
    <n v="61.3"/>
  </r>
  <r>
    <x v="20"/>
    <x v="1"/>
    <x v="1"/>
    <x v="1"/>
    <x v="1"/>
    <x v="1707"/>
    <n v="50.7"/>
    <n v="92.91"/>
    <n v="97.84"/>
    <n v="82.93"/>
    <s v="5ATM"/>
    <n v="9.1999999999999993"/>
    <n v="4.5"/>
    <x v="3"/>
    <x v="4"/>
    <x v="1"/>
    <n v="62.3"/>
  </r>
  <r>
    <x v="20"/>
    <x v="0"/>
    <x v="0"/>
    <x v="0"/>
    <x v="0"/>
    <x v="1708"/>
    <n v="233.2"/>
    <n v="89.72"/>
    <n v="93.58"/>
    <n v="76.400000000000006"/>
    <s v="IPX4"/>
    <n v="6.6"/>
    <m/>
    <x v="2"/>
    <x v="1"/>
    <x v="0"/>
    <n v="69.099999999999994"/>
  </r>
  <r>
    <x v="20"/>
    <x v="19"/>
    <x v="9"/>
    <x v="19"/>
    <x v="0"/>
    <x v="1709"/>
    <n v="77"/>
    <n v="92.37"/>
    <n v="93.67"/>
    <n v="73.52"/>
    <s v="IPX7"/>
    <n v="7.6"/>
    <m/>
    <x v="0"/>
    <x v="2"/>
    <x v="0"/>
    <n v="68.900000000000006"/>
  </r>
  <r>
    <x v="20"/>
    <x v="18"/>
    <x v="4"/>
    <x v="18"/>
    <x v="1"/>
    <x v="1710"/>
    <n v="417.1"/>
    <n v="95.26"/>
    <n v="98.28"/>
    <n v="76.92"/>
    <s v="IP68"/>
    <n v="8"/>
    <n v="1.8"/>
    <x v="1"/>
    <x v="4"/>
    <x v="0"/>
    <n v="63.9"/>
  </r>
  <r>
    <x v="20"/>
    <x v="9"/>
    <x v="6"/>
    <x v="9"/>
    <x v="3"/>
    <x v="9"/>
    <n v="153"/>
    <n v="90.84"/>
    <n v="93.64"/>
    <n v="73.78"/>
    <s v="IPX4"/>
    <n v="6.7"/>
    <m/>
    <x v="2"/>
    <x v="8"/>
    <x v="0"/>
    <n v="68.7"/>
  </r>
  <r>
    <x v="20"/>
    <x v="3"/>
    <x v="2"/>
    <x v="3"/>
    <x v="2"/>
    <x v="1711"/>
    <n v="221.1"/>
    <n v="94.93"/>
    <n v="95.16"/>
    <n v="76.17"/>
    <s v="5ATM"/>
    <n v="7.9"/>
    <n v="4.7"/>
    <x v="0"/>
    <x v="10"/>
    <x v="0"/>
    <n v="61.1"/>
  </r>
  <r>
    <x v="20"/>
    <x v="4"/>
    <x v="3"/>
    <x v="4"/>
    <x v="1"/>
    <x v="1712"/>
    <n v="47.5"/>
    <n v="92.93"/>
    <n v="97.42"/>
    <n v="82.89"/>
    <s v="IP68"/>
    <n v="9"/>
    <n v="4.5"/>
    <x v="3"/>
    <x v="6"/>
    <x v="2"/>
    <n v="61.8"/>
  </r>
  <r>
    <x v="20"/>
    <x v="7"/>
    <x v="4"/>
    <x v="7"/>
    <x v="1"/>
    <x v="1713"/>
    <n v="618"/>
    <n v="92.76"/>
    <n v="98.49"/>
    <n v="78.44"/>
    <s v="5ATM"/>
    <n v="9.3000000000000007"/>
    <n v="2"/>
    <x v="3"/>
    <x v="10"/>
    <x v="0"/>
    <n v="65.8"/>
  </r>
  <r>
    <x v="20"/>
    <x v="28"/>
    <x v="4"/>
    <x v="28"/>
    <x v="1"/>
    <x v="1714"/>
    <n v="1436.6"/>
    <n v="95.62"/>
    <n v="99.5"/>
    <n v="84.2"/>
    <s v="5ATM"/>
    <n v="9.4"/>
    <n v="3.4"/>
    <x v="1"/>
    <x v="7"/>
    <x v="0"/>
    <n v="66.599999999999994"/>
  </r>
  <r>
    <x v="20"/>
    <x v="4"/>
    <x v="3"/>
    <x v="4"/>
    <x v="1"/>
    <x v="1715"/>
    <n v="52.2"/>
    <n v="93.64"/>
    <n v="97.85"/>
    <n v="80.790000000000006"/>
    <s v="IP68"/>
    <n v="8.3000000000000007"/>
    <n v="3.8"/>
    <x v="1"/>
    <x v="6"/>
    <x v="2"/>
    <n v="61"/>
  </r>
  <r>
    <x v="20"/>
    <x v="17"/>
    <x v="3"/>
    <x v="17"/>
    <x v="1"/>
    <x v="1716"/>
    <n v="51.2"/>
    <n v="92.92"/>
    <n v="97.9"/>
    <n v="80.88"/>
    <s v="IP68"/>
    <n v="9.5"/>
    <n v="2.5"/>
    <x v="3"/>
    <x v="6"/>
    <x v="2"/>
    <n v="63.8"/>
  </r>
  <r>
    <x v="20"/>
    <x v="26"/>
    <x v="9"/>
    <x v="26"/>
    <x v="1"/>
    <x v="1717"/>
    <n v="45.6"/>
    <n v="96.88"/>
    <n v="96.77"/>
    <n v="82.71"/>
    <s v="5ATM"/>
    <n v="7.2"/>
    <n v="4.5"/>
    <x v="3"/>
    <x v="9"/>
    <x v="2"/>
    <n v="59.3"/>
  </r>
  <r>
    <x v="20"/>
    <x v="9"/>
    <x v="6"/>
    <x v="9"/>
    <x v="3"/>
    <x v="9"/>
    <n v="153.4"/>
    <n v="85.97"/>
    <n v="94.37"/>
    <n v="70.959999999999994"/>
    <s v="IPX7"/>
    <n v="6.4"/>
    <m/>
    <x v="2"/>
    <x v="0"/>
    <x v="0"/>
    <n v="66.7"/>
  </r>
  <r>
    <x v="20"/>
    <x v="20"/>
    <x v="0"/>
    <x v="20"/>
    <x v="1"/>
    <x v="1718"/>
    <n v="60.3"/>
    <n v="95.04"/>
    <n v="94.9"/>
    <n v="78.13"/>
    <s v="IP68"/>
    <n v="7.3"/>
    <n v="2.7"/>
    <x v="3"/>
    <x v="5"/>
    <x v="0"/>
    <n v="59.6"/>
  </r>
  <r>
    <x v="20"/>
    <x v="24"/>
    <x v="2"/>
    <x v="24"/>
    <x v="2"/>
    <x v="1719"/>
    <n v="187.5"/>
    <n v="93.9"/>
    <n v="94.45"/>
    <n v="71.55"/>
    <s v="IP68"/>
    <n v="7.9"/>
    <n v="2.4"/>
    <x v="2"/>
    <x v="6"/>
    <x v="0"/>
    <n v="61.6"/>
  </r>
  <r>
    <x v="20"/>
    <x v="17"/>
    <x v="3"/>
    <x v="17"/>
    <x v="1"/>
    <x v="1720"/>
    <n v="31.1"/>
    <n v="95.73"/>
    <n v="96.37"/>
    <n v="83.32"/>
    <s v="IPX8"/>
    <n v="8"/>
    <n v="3.9"/>
    <x v="1"/>
    <x v="7"/>
    <x v="2"/>
    <n v="60.6"/>
  </r>
  <r>
    <x v="20"/>
    <x v="22"/>
    <x v="8"/>
    <x v="22"/>
    <x v="1"/>
    <x v="1721"/>
    <n v="51.5"/>
    <n v="94.8"/>
    <n v="94.78"/>
    <n v="79.099999999999994"/>
    <s v="IPX8"/>
    <n v="9.4"/>
    <n v="3.9"/>
    <x v="1"/>
    <x v="4"/>
    <x v="2"/>
    <n v="62.2"/>
  </r>
  <r>
    <x v="20"/>
    <x v="8"/>
    <x v="3"/>
    <x v="8"/>
    <x v="1"/>
    <x v="1722"/>
    <n v="52.2"/>
    <n v="97.97"/>
    <n v="97.69"/>
    <n v="77.3"/>
    <s v="IPX8"/>
    <n v="7.6"/>
    <n v="2.7"/>
    <x v="3"/>
    <x v="3"/>
    <x v="2"/>
    <n v="60.7"/>
  </r>
  <r>
    <x v="20"/>
    <x v="4"/>
    <x v="3"/>
    <x v="4"/>
    <x v="1"/>
    <x v="1723"/>
    <n v="44.6"/>
    <n v="92.04"/>
    <n v="98.14"/>
    <n v="84.58"/>
    <s v="IPX8"/>
    <n v="8.6"/>
    <n v="2.6"/>
    <x v="3"/>
    <x v="3"/>
    <x v="2"/>
    <n v="62.6"/>
  </r>
  <r>
    <x v="20"/>
    <x v="1"/>
    <x v="1"/>
    <x v="1"/>
    <x v="1"/>
    <x v="1724"/>
    <n v="47.1"/>
    <n v="96.32"/>
    <n v="97.85"/>
    <n v="81.709999999999994"/>
    <s v="IPX8"/>
    <n v="8.6"/>
    <n v="4.8"/>
    <x v="3"/>
    <x v="9"/>
    <x v="1"/>
    <n v="61.4"/>
  </r>
  <r>
    <x v="20"/>
    <x v="23"/>
    <x v="8"/>
    <x v="23"/>
    <x v="1"/>
    <x v="1725"/>
    <n v="27.5"/>
    <n v="94.55"/>
    <n v="95.91"/>
    <n v="75.010000000000005"/>
    <s v="IP68"/>
    <n v="8.1999999999999993"/>
    <n v="4.3"/>
    <x v="1"/>
    <x v="6"/>
    <x v="0"/>
    <n v="58.9"/>
  </r>
  <r>
    <x v="20"/>
    <x v="15"/>
    <x v="8"/>
    <x v="15"/>
    <x v="1"/>
    <x v="1726"/>
    <n v="63.8"/>
    <n v="93.21"/>
    <n v="95.12"/>
    <n v="84.12"/>
    <s v="IPX8"/>
    <n v="6"/>
    <n v="4.2"/>
    <x v="3"/>
    <x v="7"/>
    <x v="2"/>
    <n v="57.2"/>
  </r>
  <r>
    <x v="20"/>
    <x v="2"/>
    <x v="0"/>
    <x v="2"/>
    <x v="1"/>
    <x v="1727"/>
    <n v="57.1"/>
    <n v="96.73"/>
    <n v="93.14"/>
    <n v="77.349999999999994"/>
    <s v="IPX8"/>
    <n v="7.3"/>
    <n v="3.1"/>
    <x v="1"/>
    <x v="7"/>
    <x v="0"/>
    <n v="59.1"/>
  </r>
  <r>
    <x v="20"/>
    <x v="26"/>
    <x v="9"/>
    <x v="26"/>
    <x v="1"/>
    <x v="1728"/>
    <n v="51.5"/>
    <n v="97.66"/>
    <n v="94.31"/>
    <n v="81.099999999999994"/>
    <s v="IP68"/>
    <n v="6.1"/>
    <n v="4.4000000000000004"/>
    <x v="3"/>
    <x v="3"/>
    <x v="0"/>
    <n v="57.1"/>
  </r>
  <r>
    <x v="20"/>
    <x v="3"/>
    <x v="2"/>
    <x v="3"/>
    <x v="1"/>
    <x v="1729"/>
    <n v="46.5"/>
    <n v="94.53"/>
    <n v="94.26"/>
    <n v="75.64"/>
    <s v="IP68"/>
    <n v="8.6"/>
    <n v="3.2"/>
    <x v="1"/>
    <x v="9"/>
    <x v="0"/>
    <n v="60.5"/>
  </r>
  <r>
    <x v="20"/>
    <x v="23"/>
    <x v="8"/>
    <x v="23"/>
    <x v="1"/>
    <x v="1730"/>
    <n v="69.900000000000006"/>
    <n v="94.2"/>
    <n v="94.63"/>
    <n v="82.77"/>
    <s v="IPX8"/>
    <n v="8.4"/>
    <n v="4"/>
    <x v="3"/>
    <x v="7"/>
    <x v="2"/>
    <n v="61.3"/>
  </r>
  <r>
    <x v="20"/>
    <x v="24"/>
    <x v="2"/>
    <x v="24"/>
    <x v="1"/>
    <x v="1731"/>
    <n v="64.3"/>
    <n v="94.67"/>
    <n v="93.81"/>
    <n v="83.04"/>
    <s v="5ATM"/>
    <n v="9.3000000000000007"/>
    <n v="1.7"/>
    <x v="3"/>
    <x v="4"/>
    <x v="0"/>
    <n v="64.2"/>
  </r>
  <r>
    <x v="20"/>
    <x v="16"/>
    <x v="4"/>
    <x v="16"/>
    <x v="1"/>
    <x v="1732"/>
    <n v="531.29999999999995"/>
    <n v="97.31"/>
    <n v="98.36"/>
    <n v="80.52"/>
    <s v="IPX8"/>
    <n v="8.8000000000000007"/>
    <n v="1.8"/>
    <x v="1"/>
    <x v="10"/>
    <x v="0"/>
    <n v="66.2"/>
  </r>
  <r>
    <x v="20"/>
    <x v="18"/>
    <x v="4"/>
    <x v="18"/>
    <x v="2"/>
    <x v="1733"/>
    <n v="578.1"/>
    <n v="93.25"/>
    <n v="99.08"/>
    <n v="72.95"/>
    <s v="IPX8"/>
    <n v="6"/>
    <n v="3"/>
    <x v="2"/>
    <x v="6"/>
    <x v="0"/>
    <n v="58.9"/>
  </r>
  <r>
    <x v="20"/>
    <x v="5"/>
    <x v="4"/>
    <x v="5"/>
    <x v="2"/>
    <x v="280"/>
    <n v="358.8"/>
    <n v="93.71"/>
    <n v="98.94"/>
    <n v="71.31"/>
    <s v="5ATM"/>
    <n v="8"/>
    <n v="3.8"/>
    <x v="0"/>
    <x v="2"/>
    <x v="0"/>
    <n v="61.5"/>
  </r>
  <r>
    <x v="20"/>
    <x v="9"/>
    <x v="6"/>
    <x v="9"/>
    <x v="3"/>
    <x v="9"/>
    <n v="128.9"/>
    <n v="90.24"/>
    <n v="96.49"/>
    <n v="72.89"/>
    <s v="IPX4"/>
    <n v="6"/>
    <m/>
    <x v="2"/>
    <x v="13"/>
    <x v="0"/>
    <n v="67"/>
  </r>
  <r>
    <x v="20"/>
    <x v="9"/>
    <x v="6"/>
    <x v="9"/>
    <x v="3"/>
    <x v="9"/>
    <n v="140.9"/>
    <n v="85.76"/>
    <n v="95.51"/>
    <n v="74.849999999999994"/>
    <s v="3ATM"/>
    <n v="7.3"/>
    <m/>
    <x v="2"/>
    <x v="8"/>
    <x v="2"/>
    <n v="69.2"/>
  </r>
  <r>
    <x v="20"/>
    <x v="9"/>
    <x v="6"/>
    <x v="9"/>
    <x v="3"/>
    <x v="9"/>
    <n v="155.80000000000001"/>
    <n v="88.33"/>
    <n v="96.11"/>
    <n v="75.13"/>
    <s v="IPX4"/>
    <n v="6.9"/>
    <m/>
    <x v="2"/>
    <x v="8"/>
    <x v="2"/>
    <n v="69.400000000000006"/>
  </r>
  <r>
    <x v="20"/>
    <x v="17"/>
    <x v="3"/>
    <x v="17"/>
    <x v="1"/>
    <x v="1734"/>
    <n v="56.5"/>
    <n v="95.56"/>
    <n v="98.1"/>
    <n v="84.04"/>
    <s v="5ATM"/>
    <n v="8"/>
    <n v="2.4"/>
    <x v="1"/>
    <x v="7"/>
    <x v="2"/>
    <n v="62.5"/>
  </r>
  <r>
    <x v="20"/>
    <x v="28"/>
    <x v="4"/>
    <x v="28"/>
    <x v="1"/>
    <x v="1735"/>
    <n v="1522.6"/>
    <n v="97.69"/>
    <n v="98.18"/>
    <n v="78.180000000000007"/>
    <s v="10ATM"/>
    <n v="9.1"/>
    <n v="4.2"/>
    <x v="3"/>
    <x v="4"/>
    <x v="0"/>
    <n v="64.7"/>
  </r>
  <r>
    <x v="20"/>
    <x v="9"/>
    <x v="6"/>
    <x v="9"/>
    <x v="3"/>
    <x v="9"/>
    <n v="132.9"/>
    <n v="89.2"/>
    <n v="93.36"/>
    <n v="74.23"/>
    <s v="IPX7"/>
    <n v="7.2"/>
    <m/>
    <x v="2"/>
    <x v="0"/>
    <x v="0"/>
    <n v="68.900000000000006"/>
  </r>
  <r>
    <x v="20"/>
    <x v="2"/>
    <x v="0"/>
    <x v="2"/>
    <x v="1"/>
    <x v="1736"/>
    <n v="69.2"/>
    <n v="96.84"/>
    <n v="96.58"/>
    <n v="83.13"/>
    <s v="5ATM"/>
    <n v="6.7"/>
    <n v="3.6"/>
    <x v="3"/>
    <x v="6"/>
    <x v="0"/>
    <n v="59.6"/>
  </r>
  <r>
    <x v="20"/>
    <x v="8"/>
    <x v="3"/>
    <x v="8"/>
    <x v="1"/>
    <x v="1737"/>
    <n v="64.900000000000006"/>
    <n v="93.08"/>
    <n v="96.42"/>
    <n v="80.09"/>
    <s v="IPX8"/>
    <n v="7.8"/>
    <n v="3.8"/>
    <x v="1"/>
    <x v="1"/>
    <x v="2"/>
    <n v="60"/>
  </r>
  <r>
    <x v="20"/>
    <x v="23"/>
    <x v="8"/>
    <x v="23"/>
    <x v="1"/>
    <x v="1738"/>
    <n v="21.7"/>
    <n v="97.23"/>
    <n v="96.87"/>
    <n v="75.75"/>
    <s v="IP68"/>
    <n v="8.4"/>
    <n v="3.3"/>
    <x v="3"/>
    <x v="3"/>
    <x v="0"/>
    <n v="60.5"/>
  </r>
  <r>
    <x v="20"/>
    <x v="25"/>
    <x v="5"/>
    <x v="25"/>
    <x v="1"/>
    <x v="1739"/>
    <n v="19.3"/>
    <n v="97.22"/>
    <n v="95.54"/>
    <n v="84.72"/>
    <s v="IP68"/>
    <n v="8.8000000000000007"/>
    <n v="3"/>
    <x v="3"/>
    <x v="3"/>
    <x v="2"/>
    <n v="62.6"/>
  </r>
  <r>
    <x v="20"/>
    <x v="1"/>
    <x v="1"/>
    <x v="1"/>
    <x v="1"/>
    <x v="1740"/>
    <n v="46.7"/>
    <n v="96.96"/>
    <n v="97.99"/>
    <n v="83.56"/>
    <s v="IP68"/>
    <n v="7.2"/>
    <n v="2.5"/>
    <x v="1"/>
    <x v="10"/>
    <x v="1"/>
    <n v="61"/>
  </r>
  <r>
    <x v="20"/>
    <x v="4"/>
    <x v="3"/>
    <x v="4"/>
    <x v="1"/>
    <x v="1741"/>
    <n v="30.4"/>
    <n v="97.43"/>
    <n v="98.15"/>
    <n v="75.709999999999994"/>
    <s v="5ATM"/>
    <n v="8.4"/>
    <n v="3.2"/>
    <x v="3"/>
    <x v="7"/>
    <x v="2"/>
    <n v="61"/>
  </r>
  <r>
    <x v="20"/>
    <x v="24"/>
    <x v="2"/>
    <x v="24"/>
    <x v="1"/>
    <x v="1742"/>
    <n v="21.9"/>
    <n v="96.47"/>
    <n v="94.85"/>
    <n v="80.39"/>
    <s v="IP68"/>
    <n v="8.3000000000000007"/>
    <n v="4.5"/>
    <x v="3"/>
    <x v="10"/>
    <x v="0"/>
    <n v="59.9"/>
  </r>
  <r>
    <x v="20"/>
    <x v="4"/>
    <x v="3"/>
    <x v="4"/>
    <x v="1"/>
    <x v="1743"/>
    <n v="60.2"/>
    <n v="93.79"/>
    <n v="96.29"/>
    <n v="77.31"/>
    <s v="IP68"/>
    <n v="7.8"/>
    <n v="1.6"/>
    <x v="3"/>
    <x v="3"/>
    <x v="2"/>
    <n v="61"/>
  </r>
  <r>
    <x v="20"/>
    <x v="13"/>
    <x v="0"/>
    <x v="13"/>
    <x v="0"/>
    <x v="1744"/>
    <n v="187.6"/>
    <n v="90.03"/>
    <n v="95.33"/>
    <n v="72.849999999999994"/>
    <s v="IPX7"/>
    <n v="7"/>
    <m/>
    <x v="2"/>
    <x v="0"/>
    <x v="0"/>
    <n v="69.599999999999994"/>
  </r>
  <r>
    <x v="20"/>
    <x v="17"/>
    <x v="3"/>
    <x v="17"/>
    <x v="1"/>
    <x v="1745"/>
    <n v="50.9"/>
    <n v="96.67"/>
    <n v="98.08"/>
    <n v="84.73"/>
    <s v="IPX8"/>
    <n v="9.1"/>
    <n v="2.5"/>
    <x v="1"/>
    <x v="7"/>
    <x v="2"/>
    <n v="64.400000000000006"/>
  </r>
  <r>
    <x v="20"/>
    <x v="1"/>
    <x v="1"/>
    <x v="1"/>
    <x v="1"/>
    <x v="1746"/>
    <n v="27"/>
    <n v="96.33"/>
    <n v="97.96"/>
    <n v="79.81"/>
    <s v="5ATM"/>
    <n v="9.3000000000000007"/>
    <n v="5"/>
    <x v="3"/>
    <x v="4"/>
    <x v="1"/>
    <n v="61.7"/>
  </r>
  <r>
    <x v="20"/>
    <x v="11"/>
    <x v="1"/>
    <x v="11"/>
    <x v="1"/>
    <x v="1747"/>
    <n v="21.2"/>
    <n v="94.33"/>
    <n v="97.42"/>
    <n v="83.57"/>
    <s v="IP68"/>
    <n v="7.1"/>
    <n v="3.4"/>
    <x v="1"/>
    <x v="7"/>
    <x v="1"/>
    <n v="59.2"/>
  </r>
  <r>
    <x v="20"/>
    <x v="28"/>
    <x v="4"/>
    <x v="28"/>
    <x v="2"/>
    <x v="1748"/>
    <n v="984.7"/>
    <n v="95.88"/>
    <n v="98.95"/>
    <n v="70.89"/>
    <s v="5ATM"/>
    <n v="8.8000000000000007"/>
    <n v="3"/>
    <x v="2"/>
    <x v="0"/>
    <x v="0"/>
    <n v="63.6"/>
  </r>
  <r>
    <x v="20"/>
    <x v="27"/>
    <x v="9"/>
    <x v="27"/>
    <x v="2"/>
    <x v="1749"/>
    <n v="230.1"/>
    <n v="95.99"/>
    <n v="94.51"/>
    <n v="70.569999999999993"/>
    <s v="IPX8"/>
    <n v="8.3000000000000007"/>
    <n v="4.3"/>
    <x v="2"/>
    <x v="10"/>
    <x v="0"/>
    <n v="61.1"/>
  </r>
  <r>
    <x v="20"/>
    <x v="6"/>
    <x v="5"/>
    <x v="6"/>
    <x v="1"/>
    <x v="1750"/>
    <n v="60.8"/>
    <n v="94.25"/>
    <n v="95.08"/>
    <n v="84.62"/>
    <s v="IPX8"/>
    <n v="8.4"/>
    <n v="3.2"/>
    <x v="1"/>
    <x v="4"/>
    <x v="0"/>
    <n v="62.1"/>
  </r>
  <r>
    <x v="20"/>
    <x v="26"/>
    <x v="9"/>
    <x v="26"/>
    <x v="1"/>
    <x v="1751"/>
    <n v="27.9"/>
    <n v="93.62"/>
    <n v="95.82"/>
    <n v="76.81"/>
    <s v="IPX8"/>
    <n v="7.8"/>
    <n v="4.5999999999999996"/>
    <x v="1"/>
    <x v="7"/>
    <x v="2"/>
    <n v="58.2"/>
  </r>
  <r>
    <x v="20"/>
    <x v="11"/>
    <x v="1"/>
    <x v="11"/>
    <x v="1"/>
    <x v="1752"/>
    <n v="64.599999999999994"/>
    <n v="95.45"/>
    <n v="97.43"/>
    <n v="82.09"/>
    <s v="IPX8"/>
    <n v="8.4"/>
    <n v="2.9"/>
    <x v="3"/>
    <x v="10"/>
    <x v="1"/>
    <n v="62.5"/>
  </r>
  <r>
    <x v="20"/>
    <x v="1"/>
    <x v="1"/>
    <x v="1"/>
    <x v="1"/>
    <x v="1753"/>
    <n v="49.6"/>
    <n v="96.24"/>
    <n v="96.47"/>
    <n v="80.58"/>
    <s v="5ATM"/>
    <n v="8.6"/>
    <n v="3.1"/>
    <x v="1"/>
    <x v="4"/>
    <x v="1"/>
    <n v="62.1"/>
  </r>
  <r>
    <x v="20"/>
    <x v="26"/>
    <x v="9"/>
    <x v="26"/>
    <x v="1"/>
    <x v="1754"/>
    <n v="36.4"/>
    <n v="97.7"/>
    <n v="96.69"/>
    <n v="78.5"/>
    <s v="5ATM"/>
    <n v="8.4"/>
    <n v="1.7"/>
    <x v="1"/>
    <x v="3"/>
    <x v="2"/>
    <n v="62.4"/>
  </r>
  <r>
    <x v="20"/>
    <x v="22"/>
    <x v="8"/>
    <x v="22"/>
    <x v="1"/>
    <x v="1755"/>
    <n v="66.8"/>
    <n v="96.99"/>
    <n v="95.59"/>
    <n v="80.92"/>
    <s v="5ATM"/>
    <n v="7.8"/>
    <n v="2.2999999999999998"/>
    <x v="3"/>
    <x v="10"/>
    <x v="2"/>
    <n v="61.7"/>
  </r>
  <r>
    <x v="20"/>
    <x v="12"/>
    <x v="8"/>
    <x v="12"/>
    <x v="1"/>
    <x v="1756"/>
    <n v="62.4"/>
    <n v="93.41"/>
    <n v="93.84"/>
    <n v="83.9"/>
    <s v="IPX8"/>
    <n v="7.3"/>
    <n v="4.5999999999999996"/>
    <x v="3"/>
    <x v="4"/>
    <x v="2"/>
    <n v="58.9"/>
  </r>
  <r>
    <x v="20"/>
    <x v="1"/>
    <x v="1"/>
    <x v="1"/>
    <x v="1"/>
    <x v="1757"/>
    <n v="24.7"/>
    <n v="93.42"/>
    <n v="97.07"/>
    <n v="77.44"/>
    <s v="5ATM"/>
    <n v="8.1"/>
    <n v="2.8"/>
    <x v="1"/>
    <x v="10"/>
    <x v="1"/>
    <n v="60.1"/>
  </r>
  <r>
    <x v="20"/>
    <x v="8"/>
    <x v="3"/>
    <x v="8"/>
    <x v="1"/>
    <x v="1758"/>
    <n v="33.799999999999997"/>
    <n v="95.99"/>
    <n v="96.21"/>
    <n v="78.34"/>
    <s v="IPX8"/>
    <n v="9.1999999999999993"/>
    <n v="2.2999999999999998"/>
    <x v="1"/>
    <x v="10"/>
    <x v="2"/>
    <n v="62.9"/>
  </r>
  <r>
    <x v="20"/>
    <x v="13"/>
    <x v="0"/>
    <x v="13"/>
    <x v="0"/>
    <x v="1759"/>
    <n v="151.4"/>
    <n v="89.65"/>
    <n v="93.91"/>
    <n v="71.77"/>
    <s v="3ATM"/>
    <n v="8.1999999999999993"/>
    <m/>
    <x v="0"/>
    <x v="10"/>
    <x v="0"/>
    <n v="71.099999999999994"/>
  </r>
  <r>
    <x v="20"/>
    <x v="16"/>
    <x v="4"/>
    <x v="16"/>
    <x v="2"/>
    <x v="1760"/>
    <n v="510.3"/>
    <n v="94.76"/>
    <n v="99.29"/>
    <n v="71.400000000000006"/>
    <s v="IP68"/>
    <n v="8.5"/>
    <n v="2.9"/>
    <x v="0"/>
    <x v="10"/>
    <x v="0"/>
    <n v="63.1"/>
  </r>
  <r>
    <x v="20"/>
    <x v="9"/>
    <x v="6"/>
    <x v="9"/>
    <x v="3"/>
    <x v="9"/>
    <n v="131.9"/>
    <n v="91.96"/>
    <n v="93.8"/>
    <n v="77.349999999999994"/>
    <s v="IPX4"/>
    <n v="7"/>
    <m/>
    <x v="2"/>
    <x v="8"/>
    <x v="0"/>
    <n v="69.8"/>
  </r>
  <r>
    <x v="20"/>
    <x v="7"/>
    <x v="4"/>
    <x v="7"/>
    <x v="1"/>
    <x v="1761"/>
    <n v="540.20000000000005"/>
    <n v="97.06"/>
    <n v="98.45"/>
    <n v="82.9"/>
    <s v="5ATM"/>
    <n v="8.1"/>
    <n v="4"/>
    <x v="3"/>
    <x v="10"/>
    <x v="0"/>
    <n v="63.9"/>
  </r>
  <r>
    <x v="20"/>
    <x v="4"/>
    <x v="3"/>
    <x v="4"/>
    <x v="1"/>
    <x v="1762"/>
    <n v="40.1"/>
    <n v="93.4"/>
    <n v="96.99"/>
    <n v="80.41"/>
    <s v="IP68"/>
    <n v="9.3000000000000007"/>
    <n v="4.0999999999999996"/>
    <x v="3"/>
    <x v="10"/>
    <x v="2"/>
    <n v="62"/>
  </r>
  <r>
    <x v="20"/>
    <x v="9"/>
    <x v="6"/>
    <x v="9"/>
    <x v="3"/>
    <x v="9"/>
    <n v="155.30000000000001"/>
    <n v="86.79"/>
    <n v="93.38"/>
    <n v="70.59"/>
    <s v="IPX7"/>
    <n v="7.9"/>
    <m/>
    <x v="2"/>
    <x v="0"/>
    <x v="0"/>
    <n v="69.599999999999994"/>
  </r>
  <r>
    <x v="20"/>
    <x v="4"/>
    <x v="3"/>
    <x v="4"/>
    <x v="1"/>
    <x v="1763"/>
    <n v="33.700000000000003"/>
    <n v="96.64"/>
    <n v="96.27"/>
    <n v="84.47"/>
    <s v="IPX8"/>
    <n v="8.5"/>
    <n v="3.4"/>
    <x v="1"/>
    <x v="6"/>
    <x v="2"/>
    <n v="62.1"/>
  </r>
  <r>
    <x v="20"/>
    <x v="22"/>
    <x v="8"/>
    <x v="22"/>
    <x v="1"/>
    <x v="1764"/>
    <n v="41.6"/>
    <n v="97.97"/>
    <n v="96.71"/>
    <n v="75.41"/>
    <s v="IPX8"/>
    <n v="9.5"/>
    <n v="3.5"/>
    <x v="1"/>
    <x v="6"/>
    <x v="2"/>
    <n v="62.7"/>
  </r>
  <r>
    <x v="20"/>
    <x v="6"/>
    <x v="5"/>
    <x v="6"/>
    <x v="1"/>
    <x v="1765"/>
    <n v="67.5"/>
    <n v="94.26"/>
    <n v="96.56"/>
    <n v="81.93"/>
    <s v="5ATM"/>
    <n v="8.1"/>
    <n v="4.3"/>
    <x v="1"/>
    <x v="4"/>
    <x v="2"/>
    <n v="60.8"/>
  </r>
  <r>
    <x v="20"/>
    <x v="13"/>
    <x v="0"/>
    <x v="13"/>
    <x v="0"/>
    <x v="1766"/>
    <n v="81.8"/>
    <n v="88.23"/>
    <n v="95.87"/>
    <n v="75.709999999999994"/>
    <s v="IPX7"/>
    <n v="8.1"/>
    <m/>
    <x v="0"/>
    <x v="2"/>
    <x v="0"/>
    <n v="70.099999999999994"/>
  </r>
  <r>
    <x v="21"/>
    <x v="11"/>
    <x v="1"/>
    <x v="11"/>
    <x v="1"/>
    <x v="1767"/>
    <n v="57.6"/>
    <n v="94.47"/>
    <n v="97.68"/>
    <n v="83.58"/>
    <s v="IPX8"/>
    <n v="8.8000000000000007"/>
    <n v="2"/>
    <x v="3"/>
    <x v="9"/>
    <x v="1"/>
    <n v="63.8"/>
  </r>
  <r>
    <x v="21"/>
    <x v="1"/>
    <x v="1"/>
    <x v="1"/>
    <x v="1"/>
    <x v="1768"/>
    <n v="28"/>
    <n v="95.57"/>
    <n v="97.69"/>
    <n v="77.349999999999994"/>
    <s v="5ATM"/>
    <n v="8.4"/>
    <n v="3.5"/>
    <x v="3"/>
    <x v="1"/>
    <x v="1"/>
    <n v="60.7"/>
  </r>
  <r>
    <x v="21"/>
    <x v="27"/>
    <x v="9"/>
    <x v="27"/>
    <x v="1"/>
    <x v="1769"/>
    <n v="57.3"/>
    <n v="93.06"/>
    <n v="96.78"/>
    <n v="84.45"/>
    <s v="IP68"/>
    <n v="6.7"/>
    <n v="1.6"/>
    <x v="1"/>
    <x v="9"/>
    <x v="2"/>
    <n v="60.3"/>
  </r>
  <r>
    <x v="21"/>
    <x v="25"/>
    <x v="5"/>
    <x v="25"/>
    <x v="2"/>
    <x v="1770"/>
    <n v="145"/>
    <n v="94.28"/>
    <n v="94.28"/>
    <n v="78.98"/>
    <s v="IPX8"/>
    <n v="7"/>
    <n v="2.6"/>
    <x v="0"/>
    <x v="2"/>
    <x v="2"/>
    <n v="60.7"/>
  </r>
  <r>
    <x v="21"/>
    <x v="10"/>
    <x v="7"/>
    <x v="10"/>
    <x v="4"/>
    <x v="619"/>
    <n v="186.3"/>
    <n v="89.02"/>
    <n v="95.12"/>
    <n v="87.79"/>
    <s v="IPX8"/>
    <n v="7.4"/>
    <m/>
    <x v="2"/>
    <x v="8"/>
    <x v="2"/>
    <n v="73.2"/>
  </r>
  <r>
    <x v="21"/>
    <x v="20"/>
    <x v="0"/>
    <x v="20"/>
    <x v="1"/>
    <x v="1771"/>
    <n v="42.5"/>
    <n v="97.25"/>
    <n v="95.2"/>
    <n v="75.89"/>
    <s v="5ATM"/>
    <n v="7.6"/>
    <n v="3"/>
    <x v="1"/>
    <x v="9"/>
    <x v="0"/>
    <n v="59.6"/>
  </r>
  <r>
    <x v="21"/>
    <x v="22"/>
    <x v="8"/>
    <x v="22"/>
    <x v="1"/>
    <x v="1772"/>
    <n v="24.7"/>
    <n v="95.21"/>
    <n v="94.67"/>
    <n v="80.03"/>
    <s v="5ATM"/>
    <n v="8.1999999999999993"/>
    <n v="1.8"/>
    <x v="3"/>
    <x v="9"/>
    <x v="0"/>
    <n v="61.3"/>
  </r>
  <r>
    <x v="21"/>
    <x v="26"/>
    <x v="9"/>
    <x v="26"/>
    <x v="2"/>
    <x v="1773"/>
    <n v="87.5"/>
    <n v="96.35"/>
    <n v="93.76"/>
    <n v="72.680000000000007"/>
    <s v="IP68"/>
    <n v="7.9"/>
    <n v="1.6"/>
    <x v="2"/>
    <x v="6"/>
    <x v="2"/>
    <n v="61"/>
  </r>
  <r>
    <x v="21"/>
    <x v="9"/>
    <x v="6"/>
    <x v="9"/>
    <x v="3"/>
    <x v="9"/>
    <n v="123.2"/>
    <n v="89.37"/>
    <n v="95.92"/>
    <n v="73.53"/>
    <s v="IPX4"/>
    <n v="7.4"/>
    <m/>
    <x v="2"/>
    <x v="13"/>
    <x v="2"/>
    <n v="69.5"/>
  </r>
  <r>
    <x v="21"/>
    <x v="25"/>
    <x v="5"/>
    <x v="25"/>
    <x v="1"/>
    <x v="1774"/>
    <n v="59.2"/>
    <n v="96.74"/>
    <n v="94.28"/>
    <n v="75.599999999999994"/>
    <s v="IP68"/>
    <n v="7"/>
    <n v="2.1"/>
    <x v="1"/>
    <x v="7"/>
    <x v="2"/>
    <n v="59.2"/>
  </r>
  <r>
    <x v="21"/>
    <x v="19"/>
    <x v="9"/>
    <x v="19"/>
    <x v="0"/>
    <x v="1775"/>
    <n v="143.9"/>
    <n v="92.73"/>
    <n v="96.56"/>
    <n v="73.88"/>
    <s v="IPX7"/>
    <n v="6.9"/>
    <m/>
    <x v="2"/>
    <x v="0"/>
    <x v="0"/>
    <n v="69.900000000000006"/>
  </r>
  <r>
    <x v="21"/>
    <x v="10"/>
    <x v="7"/>
    <x v="10"/>
    <x v="4"/>
    <x v="1776"/>
    <n v="181.3"/>
    <n v="87.63"/>
    <n v="93.74"/>
    <n v="89.1"/>
    <s v="IPX8"/>
    <n v="7.1"/>
    <m/>
    <x v="2"/>
    <x v="0"/>
    <x v="2"/>
    <n v="72.3"/>
  </r>
  <r>
    <x v="21"/>
    <x v="14"/>
    <x v="9"/>
    <x v="14"/>
    <x v="1"/>
    <x v="1777"/>
    <n v="52.4"/>
    <n v="92.49"/>
    <n v="94.91"/>
    <n v="83.97"/>
    <s v="IP68"/>
    <n v="7.6"/>
    <n v="2.7"/>
    <x v="3"/>
    <x v="7"/>
    <x v="0"/>
    <n v="60.5"/>
  </r>
  <r>
    <x v="21"/>
    <x v="26"/>
    <x v="9"/>
    <x v="26"/>
    <x v="2"/>
    <x v="1778"/>
    <n v="102.5"/>
    <n v="93.27"/>
    <n v="96.19"/>
    <n v="73.400000000000006"/>
    <s v="IP68"/>
    <n v="8.1"/>
    <n v="2.5"/>
    <x v="2"/>
    <x v="12"/>
    <x v="2"/>
    <n v="61"/>
  </r>
  <r>
    <x v="21"/>
    <x v="11"/>
    <x v="1"/>
    <x v="11"/>
    <x v="1"/>
    <x v="1779"/>
    <n v="45.6"/>
    <n v="97.55"/>
    <n v="97.61"/>
    <n v="82.06"/>
    <s v="5ATM"/>
    <n v="9.4"/>
    <n v="4.8"/>
    <x v="1"/>
    <x v="4"/>
    <x v="1"/>
    <n v="62.9"/>
  </r>
  <r>
    <x v="21"/>
    <x v="11"/>
    <x v="1"/>
    <x v="11"/>
    <x v="1"/>
    <x v="1780"/>
    <n v="35.700000000000003"/>
    <n v="95.05"/>
    <n v="97.25"/>
    <n v="82.24"/>
    <s v="IPX8"/>
    <n v="8.1"/>
    <n v="3.6"/>
    <x v="3"/>
    <x v="3"/>
    <x v="1"/>
    <n v="60.9"/>
  </r>
  <r>
    <x v="21"/>
    <x v="3"/>
    <x v="2"/>
    <x v="3"/>
    <x v="2"/>
    <x v="1781"/>
    <n v="79.2"/>
    <n v="94.24"/>
    <n v="93.5"/>
    <n v="71.89"/>
    <s v="IP68"/>
    <n v="8.8000000000000007"/>
    <n v="2"/>
    <x v="0"/>
    <x v="0"/>
    <x v="0"/>
    <n v="61.5"/>
  </r>
  <r>
    <x v="21"/>
    <x v="7"/>
    <x v="4"/>
    <x v="7"/>
    <x v="1"/>
    <x v="1782"/>
    <n v="494.8"/>
    <n v="94.11"/>
    <n v="98.18"/>
    <n v="80.5"/>
    <s v="5ATM"/>
    <n v="8.6"/>
    <n v="2"/>
    <x v="3"/>
    <x v="9"/>
    <x v="0"/>
    <n v="65.099999999999994"/>
  </r>
  <r>
    <x v="21"/>
    <x v="21"/>
    <x v="1"/>
    <x v="21"/>
    <x v="1"/>
    <x v="1783"/>
    <n v="51.3"/>
    <n v="95.68"/>
    <n v="98.47"/>
    <n v="78.25"/>
    <s v="IP68"/>
    <n v="8.9"/>
    <n v="4.0999999999999996"/>
    <x v="1"/>
    <x v="7"/>
    <x v="1"/>
    <n v="61.9"/>
  </r>
  <r>
    <x v="21"/>
    <x v="3"/>
    <x v="2"/>
    <x v="3"/>
    <x v="2"/>
    <x v="1784"/>
    <n v="102.3"/>
    <n v="93.37"/>
    <n v="95.36"/>
    <n v="71.3"/>
    <s v="5ATM"/>
    <n v="7.4"/>
    <n v="1.8"/>
    <x v="2"/>
    <x v="0"/>
    <x v="0"/>
    <n v="59.8"/>
  </r>
  <r>
    <x v="21"/>
    <x v="16"/>
    <x v="4"/>
    <x v="16"/>
    <x v="2"/>
    <x v="1785"/>
    <n v="358.7"/>
    <n v="93.04"/>
    <n v="99.44"/>
    <n v="72.45"/>
    <s v="5ATM"/>
    <n v="8.1"/>
    <n v="4.3"/>
    <x v="0"/>
    <x v="2"/>
    <x v="0"/>
    <n v="61.5"/>
  </r>
  <r>
    <x v="21"/>
    <x v="10"/>
    <x v="7"/>
    <x v="10"/>
    <x v="4"/>
    <x v="1786"/>
    <n v="186.6"/>
    <n v="88.06"/>
    <n v="94.46"/>
    <n v="90.7"/>
    <s v="IPX8"/>
    <n v="9.1999999999999993"/>
    <m/>
    <x v="2"/>
    <x v="11"/>
    <x v="0"/>
    <n v="77"/>
  </r>
  <r>
    <x v="21"/>
    <x v="21"/>
    <x v="1"/>
    <x v="21"/>
    <x v="1"/>
    <x v="1787"/>
    <n v="36.200000000000003"/>
    <n v="96.33"/>
    <n v="97.01"/>
    <n v="77.12"/>
    <s v="IP68"/>
    <n v="9"/>
    <n v="3.1"/>
    <x v="3"/>
    <x v="10"/>
    <x v="1"/>
    <n v="62.1"/>
  </r>
  <r>
    <x v="21"/>
    <x v="20"/>
    <x v="0"/>
    <x v="20"/>
    <x v="1"/>
    <x v="1788"/>
    <n v="63.2"/>
    <n v="92.56"/>
    <n v="96.8"/>
    <n v="77.22"/>
    <s v="5ATM"/>
    <n v="7.4"/>
    <n v="3"/>
    <x v="1"/>
    <x v="10"/>
    <x v="0"/>
    <n v="59.4"/>
  </r>
  <r>
    <x v="21"/>
    <x v="13"/>
    <x v="0"/>
    <x v="13"/>
    <x v="0"/>
    <x v="1789"/>
    <n v="118.4"/>
    <n v="93.72"/>
    <n v="93.47"/>
    <n v="77.489999999999995"/>
    <s v="IPX7"/>
    <n v="6.4"/>
    <m/>
    <x v="2"/>
    <x v="1"/>
    <x v="0"/>
    <n v="68.599999999999994"/>
  </r>
  <r>
    <x v="21"/>
    <x v="11"/>
    <x v="1"/>
    <x v="11"/>
    <x v="1"/>
    <x v="1790"/>
    <n v="20.7"/>
    <n v="95.56"/>
    <n v="97.63"/>
    <n v="78.010000000000005"/>
    <s v="5ATM"/>
    <n v="8.4"/>
    <n v="4.9000000000000004"/>
    <x v="1"/>
    <x v="1"/>
    <x v="1"/>
    <n v="59.7"/>
  </r>
  <r>
    <x v="21"/>
    <x v="23"/>
    <x v="8"/>
    <x v="23"/>
    <x v="1"/>
    <x v="1791"/>
    <n v="55.2"/>
    <n v="97.2"/>
    <n v="94.31"/>
    <n v="80.88"/>
    <s v="IPX8"/>
    <n v="9.1999999999999993"/>
    <n v="1.7"/>
    <x v="1"/>
    <x v="10"/>
    <x v="2"/>
    <n v="64"/>
  </r>
  <r>
    <x v="21"/>
    <x v="10"/>
    <x v="7"/>
    <x v="10"/>
    <x v="4"/>
    <x v="1792"/>
    <n v="185"/>
    <n v="88.26"/>
    <n v="93.93"/>
    <n v="86.57"/>
    <s v="IPX8"/>
    <n v="9.4"/>
    <m/>
    <x v="2"/>
    <x v="12"/>
    <x v="2"/>
    <n v="76.599999999999994"/>
  </r>
  <r>
    <x v="21"/>
    <x v="27"/>
    <x v="9"/>
    <x v="27"/>
    <x v="1"/>
    <x v="1793"/>
    <n v="32.700000000000003"/>
    <n v="95.37"/>
    <n v="95.05"/>
    <n v="82.76"/>
    <s v="IP68"/>
    <n v="8.1999999999999993"/>
    <n v="4.3"/>
    <x v="3"/>
    <x v="6"/>
    <x v="0"/>
    <n v="60.3"/>
  </r>
  <r>
    <x v="21"/>
    <x v="25"/>
    <x v="5"/>
    <x v="25"/>
    <x v="2"/>
    <x v="1794"/>
    <n v="87.9"/>
    <n v="95.56"/>
    <n v="94.54"/>
    <n v="80"/>
    <s v="IP68"/>
    <n v="8.6999999999999993"/>
    <n v="3.5"/>
    <x v="2"/>
    <x v="0"/>
    <x v="2"/>
    <n v="62.3"/>
  </r>
  <r>
    <x v="21"/>
    <x v="28"/>
    <x v="4"/>
    <x v="28"/>
    <x v="2"/>
    <x v="1795"/>
    <n v="1657.8"/>
    <n v="96.62"/>
    <n v="99.25"/>
    <n v="78.42"/>
    <s v="5ATM"/>
    <n v="9.1"/>
    <n v="1.6"/>
    <x v="0"/>
    <x v="1"/>
    <x v="0"/>
    <n v="66.5"/>
  </r>
  <r>
    <x v="21"/>
    <x v="21"/>
    <x v="1"/>
    <x v="21"/>
    <x v="1"/>
    <x v="1796"/>
    <n v="39.9"/>
    <n v="96.08"/>
    <n v="97.12"/>
    <n v="77.760000000000005"/>
    <s v="5ATM"/>
    <n v="8.3000000000000007"/>
    <n v="4"/>
    <x v="1"/>
    <x v="9"/>
    <x v="1"/>
    <n v="60.5"/>
  </r>
  <r>
    <x v="21"/>
    <x v="15"/>
    <x v="8"/>
    <x v="15"/>
    <x v="1"/>
    <x v="1797"/>
    <n v="59.7"/>
    <n v="93.77"/>
    <n v="95.28"/>
    <n v="75.39"/>
    <s v="IPX8"/>
    <n v="8.5"/>
    <n v="3.8"/>
    <x v="3"/>
    <x v="1"/>
    <x v="2"/>
    <n v="60.2"/>
  </r>
  <r>
    <x v="21"/>
    <x v="10"/>
    <x v="7"/>
    <x v="10"/>
    <x v="4"/>
    <x v="1798"/>
    <n v="188.3"/>
    <n v="86.82"/>
    <n v="95.3"/>
    <n v="89.36"/>
    <s v="IPX7"/>
    <n v="8.9"/>
    <m/>
    <x v="2"/>
    <x v="12"/>
    <x v="0"/>
    <n v="76.099999999999994"/>
  </r>
  <r>
    <x v="21"/>
    <x v="16"/>
    <x v="4"/>
    <x v="16"/>
    <x v="2"/>
    <x v="1799"/>
    <n v="242.1"/>
    <n v="92.4"/>
    <n v="98.45"/>
    <n v="76.52"/>
    <s v="IP68"/>
    <n v="7.4"/>
    <n v="4.8"/>
    <x v="2"/>
    <x v="6"/>
    <x v="0"/>
    <n v="60.4"/>
  </r>
  <r>
    <x v="21"/>
    <x v="10"/>
    <x v="7"/>
    <x v="10"/>
    <x v="4"/>
    <x v="1800"/>
    <n v="186.6"/>
    <n v="89.26"/>
    <n v="96.3"/>
    <n v="90.04"/>
    <s v="IPX8"/>
    <n v="8.9"/>
    <m/>
    <x v="2"/>
    <x v="8"/>
    <x v="2"/>
    <n v="76.900000000000006"/>
  </r>
  <r>
    <x v="21"/>
    <x v="21"/>
    <x v="1"/>
    <x v="21"/>
    <x v="1"/>
    <x v="1801"/>
    <n v="29.7"/>
    <n v="96.91"/>
    <n v="96.47"/>
    <n v="76.05"/>
    <s v="5ATM"/>
    <n v="8.1999999999999993"/>
    <n v="4.2"/>
    <x v="3"/>
    <x v="9"/>
    <x v="1"/>
    <n v="59.7"/>
  </r>
  <r>
    <x v="21"/>
    <x v="6"/>
    <x v="5"/>
    <x v="6"/>
    <x v="1"/>
    <x v="1802"/>
    <n v="50.1"/>
    <n v="94.22"/>
    <n v="95.6"/>
    <n v="78.790000000000006"/>
    <s v="IPX8"/>
    <n v="8.3000000000000007"/>
    <n v="4"/>
    <x v="1"/>
    <x v="6"/>
    <x v="2"/>
    <n v="60.3"/>
  </r>
  <r>
    <x v="21"/>
    <x v="2"/>
    <x v="0"/>
    <x v="2"/>
    <x v="2"/>
    <x v="1803"/>
    <n v="160.30000000000001"/>
    <n v="94.01"/>
    <n v="96.73"/>
    <n v="75.91"/>
    <s v="IPX8"/>
    <n v="7.1"/>
    <n v="2.9"/>
    <x v="0"/>
    <x v="1"/>
    <x v="0"/>
    <n v="60.9"/>
  </r>
  <r>
    <x v="21"/>
    <x v="8"/>
    <x v="3"/>
    <x v="8"/>
    <x v="1"/>
    <x v="1804"/>
    <n v="38.4"/>
    <n v="96.32"/>
    <n v="97.91"/>
    <n v="82.14"/>
    <s v="IPX8"/>
    <n v="9"/>
    <n v="2.9"/>
    <x v="3"/>
    <x v="5"/>
    <x v="2"/>
    <n v="63.2"/>
  </r>
  <r>
    <x v="21"/>
    <x v="23"/>
    <x v="8"/>
    <x v="23"/>
    <x v="1"/>
    <x v="89"/>
    <n v="53.9"/>
    <n v="92.95"/>
    <n v="95.3"/>
    <n v="78.099999999999994"/>
    <s v="5ATM"/>
    <n v="8.8000000000000007"/>
    <n v="3.9"/>
    <x v="1"/>
    <x v="1"/>
    <x v="2"/>
    <n v="60.9"/>
  </r>
  <r>
    <x v="21"/>
    <x v="24"/>
    <x v="2"/>
    <x v="24"/>
    <x v="2"/>
    <x v="1805"/>
    <n v="121.3"/>
    <n v="93.28"/>
    <n v="95.95"/>
    <n v="75.69"/>
    <s v="5ATM"/>
    <n v="8.4"/>
    <n v="4.8"/>
    <x v="0"/>
    <x v="6"/>
    <x v="0"/>
    <n v="60.7"/>
  </r>
  <r>
    <x v="21"/>
    <x v="0"/>
    <x v="0"/>
    <x v="0"/>
    <x v="0"/>
    <x v="1806"/>
    <n v="161.5"/>
    <n v="91.59"/>
    <n v="93.3"/>
    <n v="74.38"/>
    <s v="3ATM"/>
    <n v="7.6"/>
    <m/>
    <x v="0"/>
    <x v="1"/>
    <x v="0"/>
    <n v="70.900000000000006"/>
  </r>
  <r>
    <x v="21"/>
    <x v="5"/>
    <x v="4"/>
    <x v="5"/>
    <x v="2"/>
    <x v="1807"/>
    <n v="261.8"/>
    <n v="92.98"/>
    <n v="98.38"/>
    <n v="72.17"/>
    <s v="5ATM"/>
    <n v="8.4"/>
    <n v="3.2"/>
    <x v="2"/>
    <x v="6"/>
    <x v="0"/>
    <n v="62.5"/>
  </r>
  <r>
    <x v="21"/>
    <x v="6"/>
    <x v="5"/>
    <x v="6"/>
    <x v="1"/>
    <x v="1808"/>
    <n v="26.5"/>
    <n v="94.49"/>
    <n v="93.47"/>
    <n v="82.77"/>
    <s v="IPX8"/>
    <n v="8.3000000000000007"/>
    <n v="4.3"/>
    <x v="1"/>
    <x v="4"/>
    <x v="2"/>
    <n v="59.9"/>
  </r>
  <r>
    <x v="21"/>
    <x v="16"/>
    <x v="4"/>
    <x v="16"/>
    <x v="2"/>
    <x v="1809"/>
    <n v="522.5"/>
    <n v="92.71"/>
    <n v="98.27"/>
    <n v="71.23"/>
    <s v="IPX8"/>
    <n v="8.1"/>
    <n v="3.8"/>
    <x v="2"/>
    <x v="6"/>
    <x v="0"/>
    <n v="61.3"/>
  </r>
  <r>
    <x v="21"/>
    <x v="1"/>
    <x v="1"/>
    <x v="1"/>
    <x v="1"/>
    <x v="1810"/>
    <n v="60.2"/>
    <n v="94.74"/>
    <n v="97.72"/>
    <n v="79.98"/>
    <s v="IP68"/>
    <n v="7.5"/>
    <n v="3.7"/>
    <x v="3"/>
    <x v="4"/>
    <x v="1"/>
    <n v="60"/>
  </r>
  <r>
    <x v="21"/>
    <x v="21"/>
    <x v="1"/>
    <x v="21"/>
    <x v="1"/>
    <x v="1811"/>
    <n v="48"/>
    <n v="92.85"/>
    <n v="97.1"/>
    <n v="81.31"/>
    <s v="IPX8"/>
    <n v="8.1"/>
    <n v="1.6"/>
    <x v="1"/>
    <x v="10"/>
    <x v="1"/>
    <n v="61.9"/>
  </r>
  <r>
    <x v="21"/>
    <x v="21"/>
    <x v="1"/>
    <x v="21"/>
    <x v="1"/>
    <x v="1812"/>
    <n v="44"/>
    <n v="95.59"/>
    <n v="98.1"/>
    <n v="78.8"/>
    <s v="IPX8"/>
    <n v="9.3000000000000007"/>
    <n v="2.2000000000000002"/>
    <x v="3"/>
    <x v="3"/>
    <x v="1"/>
    <n v="63.7"/>
  </r>
  <r>
    <x v="21"/>
    <x v="9"/>
    <x v="6"/>
    <x v="9"/>
    <x v="3"/>
    <x v="9"/>
    <n v="161.30000000000001"/>
    <n v="86.11"/>
    <n v="96"/>
    <n v="75.31"/>
    <s v="IPX4"/>
    <n v="7.9"/>
    <m/>
    <x v="2"/>
    <x v="13"/>
    <x v="0"/>
    <n v="71.099999999999994"/>
  </r>
  <r>
    <x v="21"/>
    <x v="12"/>
    <x v="8"/>
    <x v="12"/>
    <x v="1"/>
    <x v="1813"/>
    <n v="62"/>
    <n v="95.44"/>
    <n v="93.56"/>
    <n v="78.78"/>
    <s v="IP68"/>
    <n v="8.4"/>
    <n v="2.6"/>
    <x v="3"/>
    <x v="9"/>
    <x v="0"/>
    <n v="61.5"/>
  </r>
  <r>
    <x v="21"/>
    <x v="3"/>
    <x v="2"/>
    <x v="3"/>
    <x v="2"/>
    <x v="1814"/>
    <n v="141.80000000000001"/>
    <n v="97.04"/>
    <n v="94.95"/>
    <n v="70.83"/>
    <s v="5ATM"/>
    <n v="9.1999999999999993"/>
    <n v="2.2999999999999998"/>
    <x v="2"/>
    <x v="12"/>
    <x v="0"/>
    <n v="63.8"/>
  </r>
  <r>
    <x v="21"/>
    <x v="1"/>
    <x v="1"/>
    <x v="1"/>
    <x v="1"/>
    <x v="1815"/>
    <n v="38.9"/>
    <n v="93.25"/>
    <n v="97.53"/>
    <n v="75.75"/>
    <s v="5ATM"/>
    <n v="8.9"/>
    <n v="5"/>
    <x v="1"/>
    <x v="1"/>
    <x v="1"/>
    <n v="60"/>
  </r>
  <r>
    <x v="21"/>
    <x v="9"/>
    <x v="6"/>
    <x v="9"/>
    <x v="3"/>
    <x v="9"/>
    <n v="160"/>
    <n v="90.5"/>
    <n v="96.92"/>
    <n v="72.790000000000006"/>
    <s v="IPX7"/>
    <n v="7"/>
    <m/>
    <x v="2"/>
    <x v="11"/>
    <x v="0"/>
    <n v="69.900000000000006"/>
  </r>
  <r>
    <x v="21"/>
    <x v="23"/>
    <x v="8"/>
    <x v="23"/>
    <x v="1"/>
    <x v="1816"/>
    <n v="60"/>
    <n v="95.31"/>
    <n v="93.46"/>
    <n v="83.56"/>
    <s v="5ATM"/>
    <n v="7.5"/>
    <n v="4.3"/>
    <x v="1"/>
    <x v="4"/>
    <x v="2"/>
    <n v="59.5"/>
  </r>
  <r>
    <x v="21"/>
    <x v="23"/>
    <x v="8"/>
    <x v="23"/>
    <x v="1"/>
    <x v="1817"/>
    <n v="20.5"/>
    <n v="95.44"/>
    <n v="96.97"/>
    <n v="81.61"/>
    <s v="IPX8"/>
    <n v="8.6999999999999993"/>
    <n v="4.9000000000000004"/>
    <x v="1"/>
    <x v="7"/>
    <x v="0"/>
    <n v="60.6"/>
  </r>
  <r>
    <x v="21"/>
    <x v="28"/>
    <x v="4"/>
    <x v="28"/>
    <x v="1"/>
    <x v="1818"/>
    <n v="1432.4"/>
    <n v="97.83"/>
    <n v="98.93"/>
    <n v="78.53"/>
    <s v="5ATM"/>
    <n v="8.5"/>
    <n v="1.6"/>
    <x v="1"/>
    <x v="9"/>
    <x v="0"/>
    <n v="65.599999999999994"/>
  </r>
  <r>
    <x v="21"/>
    <x v="10"/>
    <x v="7"/>
    <x v="10"/>
    <x v="4"/>
    <x v="1819"/>
    <n v="175"/>
    <n v="90.99"/>
    <n v="93.76"/>
    <n v="85.49"/>
    <s v="IPX8"/>
    <n v="9.4"/>
    <m/>
    <x v="2"/>
    <x v="0"/>
    <x v="2"/>
    <n v="76.8"/>
  </r>
  <r>
    <x v="21"/>
    <x v="24"/>
    <x v="2"/>
    <x v="24"/>
    <x v="2"/>
    <x v="649"/>
    <n v="106.6"/>
    <n v="96.95"/>
    <n v="95.57"/>
    <n v="71"/>
    <s v="IP68"/>
    <n v="7.3"/>
    <n v="4.4000000000000004"/>
    <x v="0"/>
    <x v="6"/>
    <x v="0"/>
    <n v="58.6"/>
  </r>
  <r>
    <x v="21"/>
    <x v="10"/>
    <x v="7"/>
    <x v="10"/>
    <x v="4"/>
    <x v="1820"/>
    <n v="169.6"/>
    <n v="85.71"/>
    <n v="94.84"/>
    <n v="85.43"/>
    <s v="IPX8"/>
    <n v="7.2"/>
    <m/>
    <x v="2"/>
    <x v="12"/>
    <x v="0"/>
    <n v="71.599999999999994"/>
  </r>
  <r>
    <x v="21"/>
    <x v="21"/>
    <x v="1"/>
    <x v="21"/>
    <x v="1"/>
    <x v="1821"/>
    <n v="48.7"/>
    <n v="94.07"/>
    <n v="97.95"/>
    <n v="80.83"/>
    <s v="5ATM"/>
    <n v="9.1999999999999993"/>
    <n v="2.2999999999999998"/>
    <x v="1"/>
    <x v="10"/>
    <x v="1"/>
    <n v="63.6"/>
  </r>
  <r>
    <x v="21"/>
    <x v="21"/>
    <x v="1"/>
    <x v="21"/>
    <x v="1"/>
    <x v="1822"/>
    <n v="32.4"/>
    <n v="94.49"/>
    <n v="96.25"/>
    <n v="84.65"/>
    <s v="IP68"/>
    <n v="7.9"/>
    <n v="4.0999999999999996"/>
    <x v="3"/>
    <x v="1"/>
    <x v="1"/>
    <n v="60.3"/>
  </r>
  <r>
    <x v="21"/>
    <x v="10"/>
    <x v="7"/>
    <x v="10"/>
    <x v="4"/>
    <x v="1823"/>
    <n v="174.2"/>
    <n v="86.91"/>
    <n v="95.52"/>
    <n v="91.66"/>
    <s v="IPX7"/>
    <n v="8.5"/>
    <m/>
    <x v="2"/>
    <x v="0"/>
    <x v="0"/>
    <n v="75.8"/>
  </r>
  <r>
    <x v="21"/>
    <x v="19"/>
    <x v="9"/>
    <x v="19"/>
    <x v="0"/>
    <x v="1824"/>
    <n v="98.9"/>
    <n v="94.37"/>
    <n v="95.68"/>
    <n v="76.63"/>
    <s v="IPX4"/>
    <n v="7.2"/>
    <m/>
    <x v="2"/>
    <x v="6"/>
    <x v="2"/>
    <n v="70.099999999999994"/>
  </r>
  <r>
    <x v="21"/>
    <x v="19"/>
    <x v="9"/>
    <x v="19"/>
    <x v="0"/>
    <x v="1825"/>
    <n v="230.4"/>
    <n v="92.97"/>
    <n v="95.7"/>
    <n v="78.94"/>
    <s v="3ATM"/>
    <n v="6.6"/>
    <m/>
    <x v="0"/>
    <x v="0"/>
    <x v="2"/>
    <n v="70.7"/>
  </r>
  <r>
    <x v="21"/>
    <x v="6"/>
    <x v="5"/>
    <x v="6"/>
    <x v="1"/>
    <x v="1826"/>
    <n v="31.4"/>
    <n v="96.27"/>
    <n v="93.92"/>
    <n v="77.5"/>
    <s v="5ATM"/>
    <n v="9.1"/>
    <n v="3.9"/>
    <x v="1"/>
    <x v="5"/>
    <x v="0"/>
    <n v="61.1"/>
  </r>
  <r>
    <x v="21"/>
    <x v="10"/>
    <x v="7"/>
    <x v="10"/>
    <x v="4"/>
    <x v="1827"/>
    <n v="191.9"/>
    <n v="88.28"/>
    <n v="93.44"/>
    <n v="86.6"/>
    <s v="IPX8"/>
    <n v="7.3"/>
    <m/>
    <x v="2"/>
    <x v="8"/>
    <x v="2"/>
    <n v="72.3"/>
  </r>
  <r>
    <x v="21"/>
    <x v="28"/>
    <x v="4"/>
    <x v="28"/>
    <x v="2"/>
    <x v="1828"/>
    <n v="1600.4"/>
    <n v="97.18"/>
    <n v="99.32"/>
    <n v="77.27"/>
    <s v="10ATM"/>
    <n v="8.6999999999999993"/>
    <n v="3.2"/>
    <x v="0"/>
    <x v="1"/>
    <x v="0"/>
    <n v="64.7"/>
  </r>
  <r>
    <x v="21"/>
    <x v="15"/>
    <x v="8"/>
    <x v="15"/>
    <x v="1"/>
    <x v="1829"/>
    <n v="67.099999999999994"/>
    <n v="95.5"/>
    <n v="96.31"/>
    <n v="79.75"/>
    <s v="IP68"/>
    <n v="7.3"/>
    <n v="2.6"/>
    <x v="3"/>
    <x v="10"/>
    <x v="2"/>
    <n v="60.4"/>
  </r>
  <r>
    <x v="21"/>
    <x v="13"/>
    <x v="0"/>
    <x v="13"/>
    <x v="0"/>
    <x v="1830"/>
    <n v="136.6"/>
    <n v="93.18"/>
    <n v="94.2"/>
    <n v="71.3"/>
    <s v="IPX7"/>
    <n v="7.6"/>
    <m/>
    <x v="0"/>
    <x v="0"/>
    <x v="0"/>
    <n v="70.2"/>
  </r>
  <r>
    <x v="21"/>
    <x v="18"/>
    <x v="4"/>
    <x v="18"/>
    <x v="1"/>
    <x v="1831"/>
    <n v="536.79999999999995"/>
    <n v="92.95"/>
    <n v="98.83"/>
    <n v="79.7"/>
    <s v="IPX8"/>
    <n v="9"/>
    <n v="4.7"/>
    <x v="3"/>
    <x v="10"/>
    <x v="0"/>
    <n v="63.8"/>
  </r>
  <r>
    <x v="21"/>
    <x v="20"/>
    <x v="0"/>
    <x v="20"/>
    <x v="2"/>
    <x v="1832"/>
    <n v="225"/>
    <n v="96.53"/>
    <n v="94.55"/>
    <n v="79.239999999999995"/>
    <s v="5ATM"/>
    <n v="6.6"/>
    <n v="2.7"/>
    <x v="2"/>
    <x v="10"/>
    <x v="0"/>
    <n v="60.9"/>
  </r>
  <r>
    <x v="21"/>
    <x v="24"/>
    <x v="2"/>
    <x v="24"/>
    <x v="2"/>
    <x v="1833"/>
    <n v="172.4"/>
    <n v="97"/>
    <n v="94.45"/>
    <n v="75.02"/>
    <s v="IP68"/>
    <n v="7.6"/>
    <n v="1.7"/>
    <x v="0"/>
    <x v="6"/>
    <x v="0"/>
    <n v="62.6"/>
  </r>
  <r>
    <x v="21"/>
    <x v="5"/>
    <x v="4"/>
    <x v="5"/>
    <x v="1"/>
    <x v="1834"/>
    <n v="393.9"/>
    <n v="96.27"/>
    <n v="99.42"/>
    <n v="75.83"/>
    <s v="IP68"/>
    <n v="9.5"/>
    <n v="3.2"/>
    <x v="3"/>
    <x v="4"/>
    <x v="0"/>
    <n v="65.599999999999994"/>
  </r>
  <r>
    <x v="21"/>
    <x v="20"/>
    <x v="0"/>
    <x v="20"/>
    <x v="1"/>
    <x v="1835"/>
    <n v="53.6"/>
    <n v="96.42"/>
    <n v="95.02"/>
    <n v="80.31"/>
    <s v="IP68"/>
    <n v="8"/>
    <n v="3.6"/>
    <x v="3"/>
    <x v="4"/>
    <x v="0"/>
    <n v="60.6"/>
  </r>
  <r>
    <x v="21"/>
    <x v="3"/>
    <x v="2"/>
    <x v="3"/>
    <x v="1"/>
    <x v="1836"/>
    <n v="38.6"/>
    <n v="93.12"/>
    <n v="93.18"/>
    <n v="79.400000000000006"/>
    <s v="IPX8"/>
    <n v="7.3"/>
    <n v="2.4"/>
    <x v="1"/>
    <x v="6"/>
    <x v="0"/>
    <n v="58.9"/>
  </r>
  <r>
    <x v="21"/>
    <x v="25"/>
    <x v="5"/>
    <x v="25"/>
    <x v="2"/>
    <x v="1837"/>
    <n v="173.6"/>
    <n v="95.04"/>
    <n v="96.93"/>
    <n v="75.98"/>
    <s v="5ATM"/>
    <n v="7"/>
    <n v="1.9"/>
    <x v="0"/>
    <x v="10"/>
    <x v="0"/>
    <n v="61.7"/>
  </r>
  <r>
    <x v="21"/>
    <x v="9"/>
    <x v="6"/>
    <x v="9"/>
    <x v="3"/>
    <x v="9"/>
    <n v="161.9"/>
    <n v="90.52"/>
    <n v="94.53"/>
    <n v="78.7"/>
    <s v="IPX4"/>
    <n v="6.8"/>
    <m/>
    <x v="2"/>
    <x v="13"/>
    <x v="0"/>
    <n v="70.2"/>
  </r>
  <r>
    <x v="21"/>
    <x v="0"/>
    <x v="0"/>
    <x v="0"/>
    <x v="0"/>
    <x v="1838"/>
    <n v="99.8"/>
    <n v="92.71"/>
    <n v="93.46"/>
    <n v="76.69"/>
    <s v="IPX7"/>
    <n v="7.9"/>
    <m/>
    <x v="0"/>
    <x v="1"/>
    <x v="0"/>
    <n v="70.7"/>
  </r>
  <r>
    <x v="21"/>
    <x v="14"/>
    <x v="9"/>
    <x v="14"/>
    <x v="1"/>
    <x v="1839"/>
    <n v="52.3"/>
    <n v="94.41"/>
    <n v="94.82"/>
    <n v="76.02"/>
    <s v="IPX8"/>
    <n v="8.3000000000000007"/>
    <n v="2.2999999999999998"/>
    <x v="3"/>
    <x v="9"/>
    <x v="2"/>
    <n v="60.9"/>
  </r>
  <r>
    <x v="21"/>
    <x v="27"/>
    <x v="9"/>
    <x v="27"/>
    <x v="1"/>
    <x v="1840"/>
    <n v="61.1"/>
    <n v="97.01"/>
    <n v="93.79"/>
    <n v="77.959999999999994"/>
    <s v="IP68"/>
    <n v="7.7"/>
    <n v="1.8"/>
    <x v="3"/>
    <x v="10"/>
    <x v="2"/>
    <n v="61"/>
  </r>
  <r>
    <x v="21"/>
    <x v="7"/>
    <x v="4"/>
    <x v="7"/>
    <x v="2"/>
    <x v="1841"/>
    <n v="519.79999999999995"/>
    <n v="92.95"/>
    <n v="98.2"/>
    <n v="76.010000000000005"/>
    <s v="10ATM"/>
    <n v="9"/>
    <n v="2.1"/>
    <x v="2"/>
    <x v="1"/>
    <x v="0"/>
    <n v="64.8"/>
  </r>
  <r>
    <x v="21"/>
    <x v="8"/>
    <x v="3"/>
    <x v="8"/>
    <x v="1"/>
    <x v="1842"/>
    <n v="31.5"/>
    <n v="97.09"/>
    <n v="97.3"/>
    <n v="76.290000000000006"/>
    <s v="5ATM"/>
    <n v="8.4"/>
    <n v="1.6"/>
    <x v="1"/>
    <x v="10"/>
    <x v="2"/>
    <n v="62"/>
  </r>
  <r>
    <x v="21"/>
    <x v="10"/>
    <x v="7"/>
    <x v="10"/>
    <x v="4"/>
    <x v="1843"/>
    <n v="183.7"/>
    <n v="87.57"/>
    <n v="93.48"/>
    <n v="85.58"/>
    <s v="IPX8"/>
    <n v="8"/>
    <m/>
    <x v="2"/>
    <x v="11"/>
    <x v="2"/>
    <n v="73.3"/>
  </r>
  <r>
    <x v="21"/>
    <x v="5"/>
    <x v="4"/>
    <x v="5"/>
    <x v="1"/>
    <x v="1844"/>
    <n v="506"/>
    <n v="95.64"/>
    <n v="99.41"/>
    <n v="83.85"/>
    <s v="IP68"/>
    <n v="7.8"/>
    <n v="4.5"/>
    <x v="1"/>
    <x v="5"/>
    <x v="0"/>
    <n v="63.1"/>
  </r>
  <r>
    <x v="21"/>
    <x v="14"/>
    <x v="9"/>
    <x v="14"/>
    <x v="1"/>
    <x v="1845"/>
    <n v="39.4"/>
    <n v="96.31"/>
    <n v="94.16"/>
    <n v="76.61"/>
    <s v="IPX8"/>
    <n v="7.5"/>
    <n v="2.2999999999999998"/>
    <x v="3"/>
    <x v="1"/>
    <x v="2"/>
    <n v="59.6"/>
  </r>
  <r>
    <x v="21"/>
    <x v="10"/>
    <x v="7"/>
    <x v="10"/>
    <x v="4"/>
    <x v="1846"/>
    <n v="181"/>
    <n v="86.91"/>
    <n v="94.78"/>
    <n v="91.79"/>
    <s v="IPX7"/>
    <n v="8.9"/>
    <m/>
    <x v="2"/>
    <x v="12"/>
    <x v="0"/>
    <n v="76.5"/>
  </r>
  <r>
    <x v="21"/>
    <x v="3"/>
    <x v="2"/>
    <x v="3"/>
    <x v="2"/>
    <x v="1847"/>
    <n v="179.2"/>
    <n v="94.27"/>
    <n v="93.74"/>
    <n v="70.19"/>
    <s v="IPX8"/>
    <n v="7.6"/>
    <n v="2.2999999999999998"/>
    <x v="0"/>
    <x v="10"/>
    <x v="0"/>
    <n v="60.8"/>
  </r>
  <r>
    <x v="21"/>
    <x v="17"/>
    <x v="3"/>
    <x v="17"/>
    <x v="1"/>
    <x v="1848"/>
    <n v="27.6"/>
    <n v="94.3"/>
    <n v="97.32"/>
    <n v="84.98"/>
    <s v="IP68"/>
    <n v="8.9"/>
    <n v="3.2"/>
    <x v="1"/>
    <x v="10"/>
    <x v="2"/>
    <n v="62.7"/>
  </r>
  <r>
    <x v="21"/>
    <x v="17"/>
    <x v="3"/>
    <x v="17"/>
    <x v="1"/>
    <x v="1849"/>
    <n v="49.6"/>
    <n v="97.61"/>
    <n v="97.33"/>
    <n v="81.510000000000005"/>
    <s v="IP68"/>
    <n v="9.3000000000000007"/>
    <n v="1.9"/>
    <x v="3"/>
    <x v="9"/>
    <x v="2"/>
    <n v="64.599999999999994"/>
  </r>
  <r>
    <x v="21"/>
    <x v="16"/>
    <x v="4"/>
    <x v="16"/>
    <x v="2"/>
    <x v="1850"/>
    <n v="248.2"/>
    <n v="96.94"/>
    <n v="98.29"/>
    <n v="78.47"/>
    <s v="IPX8"/>
    <n v="9.1"/>
    <n v="4.4000000000000004"/>
    <x v="2"/>
    <x v="10"/>
    <x v="0"/>
    <n v="64.5"/>
  </r>
  <r>
    <x v="21"/>
    <x v="6"/>
    <x v="5"/>
    <x v="6"/>
    <x v="2"/>
    <x v="1851"/>
    <n v="197.5"/>
    <n v="97.03"/>
    <n v="93.01"/>
    <n v="72.739999999999995"/>
    <s v="IPX8"/>
    <n v="7.2"/>
    <n v="3.1"/>
    <x v="0"/>
    <x v="0"/>
    <x v="0"/>
    <n v="60.4"/>
  </r>
  <r>
    <x v="21"/>
    <x v="24"/>
    <x v="2"/>
    <x v="24"/>
    <x v="2"/>
    <x v="1852"/>
    <n v="174.6"/>
    <n v="97.23"/>
    <n v="94.87"/>
    <n v="78.44"/>
    <s v="5ATM"/>
    <n v="7.1"/>
    <n v="1.8"/>
    <x v="0"/>
    <x v="10"/>
    <x v="0"/>
    <n v="62.4"/>
  </r>
  <r>
    <x v="21"/>
    <x v="26"/>
    <x v="9"/>
    <x v="26"/>
    <x v="2"/>
    <x v="1853"/>
    <n v="122.6"/>
    <n v="92.52"/>
    <n v="96.06"/>
    <n v="74.38"/>
    <s v="IPX8"/>
    <n v="8.1999999999999993"/>
    <n v="1.6"/>
    <x v="2"/>
    <x v="12"/>
    <x v="2"/>
    <n v="62.2"/>
  </r>
  <r>
    <x v="21"/>
    <x v="17"/>
    <x v="3"/>
    <x v="17"/>
    <x v="1"/>
    <x v="1854"/>
    <n v="71.599999999999994"/>
    <n v="97.2"/>
    <n v="96.43"/>
    <n v="83.3"/>
    <s v="IP68"/>
    <n v="8.1999999999999993"/>
    <n v="3.5"/>
    <x v="3"/>
    <x v="3"/>
    <x v="2"/>
    <n v="62.2"/>
  </r>
  <r>
    <x v="21"/>
    <x v="10"/>
    <x v="7"/>
    <x v="10"/>
    <x v="4"/>
    <x v="1855"/>
    <n v="178.7"/>
    <n v="87.79"/>
    <n v="93.82"/>
    <n v="87.66"/>
    <s v="IPX7"/>
    <n v="7.1"/>
    <m/>
    <x v="2"/>
    <x v="11"/>
    <x v="2"/>
    <n v="72.099999999999994"/>
  </r>
  <r>
    <x v="22"/>
    <x v="1"/>
    <x v="1"/>
    <x v="1"/>
    <x v="1"/>
    <x v="1856"/>
    <n v="45.6"/>
    <n v="95.1"/>
    <n v="98.04"/>
    <n v="80.290000000000006"/>
    <s v="IPX8"/>
    <n v="8.3000000000000007"/>
    <n v="2.7"/>
    <x v="3"/>
    <x v="10"/>
    <x v="1"/>
    <n v="61.8"/>
  </r>
  <r>
    <x v="22"/>
    <x v="5"/>
    <x v="4"/>
    <x v="5"/>
    <x v="1"/>
    <x v="1857"/>
    <n v="387.7"/>
    <n v="96.49"/>
    <n v="98.85"/>
    <n v="77.89"/>
    <s v="5ATM"/>
    <n v="7.7"/>
    <n v="2.6"/>
    <x v="1"/>
    <x v="3"/>
    <x v="0"/>
    <n v="63.3"/>
  </r>
  <r>
    <x v="22"/>
    <x v="25"/>
    <x v="5"/>
    <x v="25"/>
    <x v="2"/>
    <x v="1858"/>
    <n v="107.2"/>
    <n v="95.61"/>
    <n v="96.36"/>
    <n v="74.7"/>
    <s v="IPX8"/>
    <n v="7.1"/>
    <n v="3.1"/>
    <x v="0"/>
    <x v="6"/>
    <x v="2"/>
    <n v="59.7"/>
  </r>
  <r>
    <x v="22"/>
    <x v="25"/>
    <x v="5"/>
    <x v="25"/>
    <x v="2"/>
    <x v="1859"/>
    <n v="228.1"/>
    <n v="97.27"/>
    <n v="96.33"/>
    <n v="73.08"/>
    <s v="5ATM"/>
    <n v="7.4"/>
    <n v="3.5"/>
    <x v="2"/>
    <x v="10"/>
    <x v="0"/>
    <n v="61.1"/>
  </r>
  <r>
    <x v="22"/>
    <x v="1"/>
    <x v="1"/>
    <x v="1"/>
    <x v="1"/>
    <x v="1860"/>
    <n v="38.700000000000003"/>
    <n v="92.66"/>
    <n v="96.03"/>
    <n v="83.31"/>
    <s v="5ATM"/>
    <n v="7.2"/>
    <n v="4.2"/>
    <x v="1"/>
    <x v="1"/>
    <x v="1"/>
    <n v="58.6"/>
  </r>
  <r>
    <x v="22"/>
    <x v="0"/>
    <x v="0"/>
    <x v="0"/>
    <x v="0"/>
    <x v="1861"/>
    <n v="168.6"/>
    <n v="92.31"/>
    <n v="93.4"/>
    <n v="72.849999999999994"/>
    <s v="IPX4"/>
    <n v="7.4"/>
    <m/>
    <x v="2"/>
    <x v="12"/>
    <x v="0"/>
    <n v="70.5"/>
  </r>
  <r>
    <x v="22"/>
    <x v="14"/>
    <x v="9"/>
    <x v="14"/>
    <x v="1"/>
    <x v="1862"/>
    <n v="43.2"/>
    <n v="93.92"/>
    <n v="96.32"/>
    <n v="76.34"/>
    <s v="IPX8"/>
    <n v="8.5"/>
    <n v="3.9"/>
    <x v="3"/>
    <x v="10"/>
    <x v="0"/>
    <n v="60.2"/>
  </r>
  <r>
    <x v="22"/>
    <x v="12"/>
    <x v="8"/>
    <x v="12"/>
    <x v="1"/>
    <x v="1863"/>
    <n v="35.6"/>
    <n v="92.93"/>
    <n v="95.73"/>
    <n v="82.17"/>
    <s v="IP68"/>
    <n v="9"/>
    <n v="4.3"/>
    <x v="3"/>
    <x v="5"/>
    <x v="2"/>
    <n v="61.3"/>
  </r>
  <r>
    <x v="22"/>
    <x v="15"/>
    <x v="8"/>
    <x v="15"/>
    <x v="1"/>
    <x v="1864"/>
    <n v="54.9"/>
    <n v="94.44"/>
    <n v="94.32"/>
    <n v="75.89"/>
    <s v="IPX8"/>
    <n v="9.1999999999999993"/>
    <n v="2"/>
    <x v="3"/>
    <x v="3"/>
    <x v="2"/>
    <n v="62.5"/>
  </r>
  <r>
    <x v="22"/>
    <x v="28"/>
    <x v="4"/>
    <x v="28"/>
    <x v="1"/>
    <x v="1865"/>
    <n v="2027.9"/>
    <n v="97.13"/>
    <n v="98.47"/>
    <n v="83.38"/>
    <s v="10ATM"/>
    <n v="8.9"/>
    <n v="3"/>
    <x v="3"/>
    <x v="6"/>
    <x v="0"/>
    <n v="66"/>
  </r>
  <r>
    <x v="22"/>
    <x v="4"/>
    <x v="3"/>
    <x v="4"/>
    <x v="1"/>
    <x v="1866"/>
    <n v="39.299999999999997"/>
    <n v="92.25"/>
    <n v="96.76"/>
    <n v="84.54"/>
    <s v="5ATM"/>
    <n v="7.6"/>
    <n v="2.2000000000000002"/>
    <x v="3"/>
    <x v="10"/>
    <x v="2"/>
    <n v="60.9"/>
  </r>
  <r>
    <x v="22"/>
    <x v="12"/>
    <x v="8"/>
    <x v="12"/>
    <x v="1"/>
    <x v="1867"/>
    <n v="64.2"/>
    <n v="94.82"/>
    <n v="94.95"/>
    <n v="82.57"/>
    <s v="IP68"/>
    <n v="8.9"/>
    <n v="3.5"/>
    <x v="3"/>
    <x v="10"/>
    <x v="0"/>
    <n v="62.5"/>
  </r>
  <r>
    <x v="22"/>
    <x v="10"/>
    <x v="7"/>
    <x v="10"/>
    <x v="4"/>
    <x v="1868"/>
    <n v="169"/>
    <n v="91.6"/>
    <n v="96.35"/>
    <n v="91.1"/>
    <s v="IPX7"/>
    <n v="8"/>
    <m/>
    <x v="2"/>
    <x v="12"/>
    <x v="0"/>
    <n v="75.8"/>
  </r>
  <r>
    <x v="22"/>
    <x v="24"/>
    <x v="2"/>
    <x v="24"/>
    <x v="2"/>
    <x v="1869"/>
    <n v="135.80000000000001"/>
    <n v="94.52"/>
    <n v="96.85"/>
    <n v="71"/>
    <s v="IPX8"/>
    <n v="8.4"/>
    <n v="4.4000000000000004"/>
    <x v="2"/>
    <x v="10"/>
    <x v="0"/>
    <n v="60.8"/>
  </r>
  <r>
    <x v="22"/>
    <x v="8"/>
    <x v="3"/>
    <x v="8"/>
    <x v="1"/>
    <x v="1870"/>
    <n v="49.2"/>
    <n v="96.12"/>
    <n v="96.38"/>
    <n v="83.11"/>
    <s v="IPX8"/>
    <n v="8.1"/>
    <n v="2.4"/>
    <x v="3"/>
    <x v="4"/>
    <x v="2"/>
    <n v="62.1"/>
  </r>
  <r>
    <x v="22"/>
    <x v="6"/>
    <x v="5"/>
    <x v="6"/>
    <x v="2"/>
    <x v="1871"/>
    <n v="179.6"/>
    <n v="94.74"/>
    <n v="94.67"/>
    <n v="78.92"/>
    <s v="IP68"/>
    <n v="7.7"/>
    <n v="4.0999999999999996"/>
    <x v="2"/>
    <x v="10"/>
    <x v="2"/>
    <n v="61.5"/>
  </r>
  <r>
    <x v="22"/>
    <x v="10"/>
    <x v="7"/>
    <x v="10"/>
    <x v="4"/>
    <x v="1872"/>
    <n v="191.2"/>
    <n v="85.26"/>
    <n v="95.13"/>
    <n v="88.69"/>
    <s v="IPX8"/>
    <n v="8"/>
    <m/>
    <x v="2"/>
    <x v="8"/>
    <x v="0"/>
    <n v="73.8"/>
  </r>
  <r>
    <x v="22"/>
    <x v="3"/>
    <x v="2"/>
    <x v="3"/>
    <x v="2"/>
    <x v="1873"/>
    <n v="175.7"/>
    <n v="94.59"/>
    <n v="95.54"/>
    <n v="71.849999999999994"/>
    <s v="IP68"/>
    <n v="9"/>
    <n v="2.1"/>
    <x v="0"/>
    <x v="6"/>
    <x v="0"/>
    <n v="63.9"/>
  </r>
  <r>
    <x v="22"/>
    <x v="3"/>
    <x v="2"/>
    <x v="3"/>
    <x v="1"/>
    <x v="1874"/>
    <n v="57.9"/>
    <n v="94.44"/>
    <n v="93.1"/>
    <n v="77.849999999999994"/>
    <s v="5ATM"/>
    <n v="8.1"/>
    <n v="4.5"/>
    <x v="3"/>
    <x v="6"/>
    <x v="0"/>
    <n v="59.2"/>
  </r>
  <r>
    <x v="22"/>
    <x v="17"/>
    <x v="3"/>
    <x v="17"/>
    <x v="1"/>
    <x v="62"/>
    <n v="27.8"/>
    <n v="92.26"/>
    <n v="96.87"/>
    <n v="81.55"/>
    <s v="5ATM"/>
    <n v="8.5"/>
    <n v="2"/>
    <x v="1"/>
    <x v="6"/>
    <x v="2"/>
    <n v="61.8"/>
  </r>
  <r>
    <x v="22"/>
    <x v="3"/>
    <x v="2"/>
    <x v="3"/>
    <x v="1"/>
    <x v="1875"/>
    <n v="62.4"/>
    <n v="92.63"/>
    <n v="96.84"/>
    <n v="81.36"/>
    <s v="IPX8"/>
    <n v="9.1"/>
    <n v="3"/>
    <x v="3"/>
    <x v="3"/>
    <x v="0"/>
    <n v="62.9"/>
  </r>
  <r>
    <x v="22"/>
    <x v="18"/>
    <x v="4"/>
    <x v="18"/>
    <x v="2"/>
    <x v="1876"/>
    <n v="526.20000000000005"/>
    <n v="94.07"/>
    <n v="98.83"/>
    <n v="70.92"/>
    <s v="IPX8"/>
    <n v="9.1"/>
    <n v="4.4000000000000004"/>
    <x v="0"/>
    <x v="0"/>
    <x v="0"/>
    <n v="62.9"/>
  </r>
  <r>
    <x v="22"/>
    <x v="1"/>
    <x v="1"/>
    <x v="1"/>
    <x v="1"/>
    <x v="1877"/>
    <n v="68.599999999999994"/>
    <n v="97.41"/>
    <n v="96.81"/>
    <n v="75.430000000000007"/>
    <s v="IP68"/>
    <n v="8"/>
    <n v="4.0999999999999996"/>
    <x v="3"/>
    <x v="6"/>
    <x v="1"/>
    <n v="60.2"/>
  </r>
  <r>
    <x v="22"/>
    <x v="5"/>
    <x v="4"/>
    <x v="5"/>
    <x v="1"/>
    <x v="1878"/>
    <n v="327.5"/>
    <n v="97.41"/>
    <n v="99.18"/>
    <n v="84"/>
    <s v="IPX8"/>
    <n v="9.3000000000000007"/>
    <n v="1.7"/>
    <x v="1"/>
    <x v="4"/>
    <x v="0"/>
    <n v="67.8"/>
  </r>
  <r>
    <x v="22"/>
    <x v="2"/>
    <x v="0"/>
    <x v="2"/>
    <x v="1"/>
    <x v="1879"/>
    <n v="37.4"/>
    <n v="96.56"/>
    <n v="93.97"/>
    <n v="78.739999999999995"/>
    <s v="IP68"/>
    <n v="7.5"/>
    <n v="1.7"/>
    <x v="1"/>
    <x v="1"/>
    <x v="0"/>
    <n v="60.3"/>
  </r>
  <r>
    <x v="22"/>
    <x v="19"/>
    <x v="9"/>
    <x v="19"/>
    <x v="0"/>
    <x v="1880"/>
    <n v="166.2"/>
    <n v="94.26"/>
    <n v="93.79"/>
    <n v="77.23"/>
    <s v="3ATM"/>
    <n v="7.9"/>
    <m/>
    <x v="2"/>
    <x v="10"/>
    <x v="0"/>
    <n v="72.8"/>
  </r>
  <r>
    <x v="22"/>
    <x v="9"/>
    <x v="6"/>
    <x v="9"/>
    <x v="3"/>
    <x v="9"/>
    <n v="121.9"/>
    <n v="90.25"/>
    <n v="96.04"/>
    <n v="74.58"/>
    <s v="IPX4"/>
    <n v="6.7"/>
    <m/>
    <x v="2"/>
    <x v="13"/>
    <x v="2"/>
    <n v="68.5"/>
  </r>
  <r>
    <x v="22"/>
    <x v="2"/>
    <x v="0"/>
    <x v="2"/>
    <x v="1"/>
    <x v="162"/>
    <n v="69.3"/>
    <n v="96.14"/>
    <n v="93.77"/>
    <n v="82.39"/>
    <s v="IPX8"/>
    <n v="8.1"/>
    <n v="4.9000000000000004"/>
    <x v="3"/>
    <x v="3"/>
    <x v="0"/>
    <n v="60.3"/>
  </r>
  <r>
    <x v="22"/>
    <x v="24"/>
    <x v="2"/>
    <x v="24"/>
    <x v="2"/>
    <x v="1881"/>
    <n v="100.9"/>
    <n v="93.52"/>
    <n v="96.67"/>
    <n v="79.56"/>
    <s v="IPX8"/>
    <n v="7.4"/>
    <n v="1.7"/>
    <x v="2"/>
    <x v="6"/>
    <x v="0"/>
    <n v="61.5"/>
  </r>
  <r>
    <x v="22"/>
    <x v="8"/>
    <x v="3"/>
    <x v="8"/>
    <x v="1"/>
    <x v="1882"/>
    <n v="63.7"/>
    <n v="92.17"/>
    <n v="96.71"/>
    <n v="80.42"/>
    <s v="5ATM"/>
    <n v="8.3000000000000007"/>
    <n v="1.5"/>
    <x v="3"/>
    <x v="5"/>
    <x v="2"/>
    <n v="62.3"/>
  </r>
  <r>
    <x v="22"/>
    <x v="21"/>
    <x v="1"/>
    <x v="21"/>
    <x v="1"/>
    <x v="1883"/>
    <n v="19.8"/>
    <n v="93.75"/>
    <n v="98.11"/>
    <n v="81.790000000000006"/>
    <s v="IP68"/>
    <n v="8.5"/>
    <n v="3.5"/>
    <x v="1"/>
    <x v="3"/>
    <x v="1"/>
    <n v="61.2"/>
  </r>
  <r>
    <x v="22"/>
    <x v="10"/>
    <x v="7"/>
    <x v="10"/>
    <x v="4"/>
    <x v="1884"/>
    <n v="181.8"/>
    <n v="88.29"/>
    <n v="94.76"/>
    <n v="86.29"/>
    <s v="IPX7"/>
    <n v="8.4"/>
    <m/>
    <x v="2"/>
    <x v="12"/>
    <x v="2"/>
    <n v="74.7"/>
  </r>
  <r>
    <x v="22"/>
    <x v="5"/>
    <x v="4"/>
    <x v="5"/>
    <x v="2"/>
    <x v="1885"/>
    <n v="584.5"/>
    <n v="94.37"/>
    <n v="98.6"/>
    <n v="77.3"/>
    <s v="5ATM"/>
    <n v="8.6"/>
    <n v="2.9"/>
    <x v="2"/>
    <x v="12"/>
    <x v="0"/>
    <n v="64.099999999999994"/>
  </r>
  <r>
    <x v="22"/>
    <x v="9"/>
    <x v="6"/>
    <x v="9"/>
    <x v="3"/>
    <x v="9"/>
    <n v="145.30000000000001"/>
    <n v="86.98"/>
    <n v="95.79"/>
    <n v="71.95"/>
    <s v="3ATM"/>
    <n v="6.8"/>
    <m/>
    <x v="2"/>
    <x v="8"/>
    <x v="0"/>
    <n v="68"/>
  </r>
  <r>
    <x v="22"/>
    <x v="10"/>
    <x v="7"/>
    <x v="10"/>
    <x v="4"/>
    <x v="1886"/>
    <n v="175.7"/>
    <n v="89.26"/>
    <n v="94.35"/>
    <n v="91.8"/>
    <s v="IPX8"/>
    <n v="7.4"/>
    <m/>
    <x v="2"/>
    <x v="12"/>
    <x v="2"/>
    <n v="73.900000000000006"/>
  </r>
  <r>
    <x v="22"/>
    <x v="11"/>
    <x v="1"/>
    <x v="11"/>
    <x v="1"/>
    <x v="1887"/>
    <n v="26.2"/>
    <n v="96.14"/>
    <n v="97.03"/>
    <n v="82.75"/>
    <s v="IPX8"/>
    <n v="9.3000000000000007"/>
    <n v="4.0999999999999996"/>
    <x v="1"/>
    <x v="10"/>
    <x v="1"/>
    <n v="62.6"/>
  </r>
  <r>
    <x v="22"/>
    <x v="16"/>
    <x v="4"/>
    <x v="16"/>
    <x v="1"/>
    <x v="1888"/>
    <n v="528.29999999999995"/>
    <n v="94.82"/>
    <n v="98.01"/>
    <n v="79.77"/>
    <s v="IPX8"/>
    <n v="8.5"/>
    <n v="2.5"/>
    <x v="1"/>
    <x v="1"/>
    <x v="0"/>
    <n v="64.599999999999994"/>
  </r>
  <r>
    <x v="22"/>
    <x v="9"/>
    <x v="6"/>
    <x v="9"/>
    <x v="3"/>
    <x v="9"/>
    <n v="127.5"/>
    <n v="86.18"/>
    <n v="96.18"/>
    <n v="73.709999999999994"/>
    <s v="IPX4"/>
    <n v="7"/>
    <m/>
    <x v="2"/>
    <x v="0"/>
    <x v="2"/>
    <n v="68.2"/>
  </r>
  <r>
    <x v="22"/>
    <x v="4"/>
    <x v="3"/>
    <x v="4"/>
    <x v="1"/>
    <x v="1889"/>
    <n v="46.9"/>
    <n v="96.34"/>
    <n v="98.34"/>
    <n v="84.13"/>
    <s v="5ATM"/>
    <n v="8.6"/>
    <n v="4.4000000000000004"/>
    <x v="3"/>
    <x v="1"/>
    <x v="2"/>
    <n v="62.1"/>
  </r>
  <r>
    <x v="22"/>
    <x v="20"/>
    <x v="0"/>
    <x v="20"/>
    <x v="2"/>
    <x v="1890"/>
    <n v="107.7"/>
    <n v="93.78"/>
    <n v="95.64"/>
    <n v="76.05"/>
    <s v="IP68"/>
    <n v="6.3"/>
    <n v="3.6"/>
    <x v="0"/>
    <x v="1"/>
    <x v="0"/>
    <n v="57.8"/>
  </r>
  <r>
    <x v="22"/>
    <x v="2"/>
    <x v="0"/>
    <x v="2"/>
    <x v="1"/>
    <x v="1891"/>
    <n v="22"/>
    <n v="96.11"/>
    <n v="94.75"/>
    <n v="81.99"/>
    <s v="5ATM"/>
    <n v="6.3"/>
    <n v="2.2000000000000002"/>
    <x v="3"/>
    <x v="3"/>
    <x v="0"/>
    <n v="58.3"/>
  </r>
  <r>
    <x v="22"/>
    <x v="13"/>
    <x v="0"/>
    <x v="13"/>
    <x v="0"/>
    <x v="1892"/>
    <n v="118.3"/>
    <n v="91.79"/>
    <n v="95.08"/>
    <n v="76.73"/>
    <s v="IPX4"/>
    <n v="7"/>
    <m/>
    <x v="2"/>
    <x v="10"/>
    <x v="0"/>
    <n v="69.5"/>
  </r>
  <r>
    <x v="22"/>
    <x v="9"/>
    <x v="6"/>
    <x v="9"/>
    <x v="3"/>
    <x v="9"/>
    <n v="128.1"/>
    <n v="89.32"/>
    <n v="94.08"/>
    <n v="76.510000000000005"/>
    <s v="IPX4"/>
    <n v="7.6"/>
    <m/>
    <x v="2"/>
    <x v="13"/>
    <x v="0"/>
    <n v="70.2"/>
  </r>
  <r>
    <x v="22"/>
    <x v="23"/>
    <x v="8"/>
    <x v="23"/>
    <x v="1"/>
    <x v="1893"/>
    <n v="47.3"/>
    <n v="94.96"/>
    <n v="96.75"/>
    <n v="83.51"/>
    <s v="IPX8"/>
    <n v="8.4"/>
    <n v="4.3"/>
    <x v="1"/>
    <x v="7"/>
    <x v="0"/>
    <n v="61.3"/>
  </r>
  <r>
    <x v="22"/>
    <x v="18"/>
    <x v="4"/>
    <x v="18"/>
    <x v="2"/>
    <x v="1894"/>
    <n v="380.4"/>
    <n v="95.1"/>
    <n v="98.15"/>
    <n v="79.819999999999993"/>
    <s v="5ATM"/>
    <n v="9"/>
    <n v="2.8"/>
    <x v="2"/>
    <x v="6"/>
    <x v="0"/>
    <n v="65.3"/>
  </r>
  <r>
    <x v="22"/>
    <x v="17"/>
    <x v="3"/>
    <x v="17"/>
    <x v="1"/>
    <x v="1895"/>
    <n v="42.3"/>
    <n v="95.7"/>
    <n v="96.76"/>
    <n v="80.84"/>
    <s v="IP68"/>
    <n v="7.9"/>
    <n v="4.3"/>
    <x v="3"/>
    <x v="10"/>
    <x v="2"/>
    <n v="60"/>
  </r>
  <r>
    <x v="22"/>
    <x v="10"/>
    <x v="7"/>
    <x v="10"/>
    <x v="4"/>
    <x v="537"/>
    <n v="168.4"/>
    <n v="89.71"/>
    <n v="95.14"/>
    <n v="89.49"/>
    <s v="IPX7"/>
    <n v="9.1"/>
    <m/>
    <x v="2"/>
    <x v="8"/>
    <x v="2"/>
    <n v="77.099999999999994"/>
  </r>
  <r>
    <x v="22"/>
    <x v="24"/>
    <x v="2"/>
    <x v="24"/>
    <x v="2"/>
    <x v="1896"/>
    <n v="113.9"/>
    <n v="96.46"/>
    <n v="95.03"/>
    <n v="71.459999999999994"/>
    <s v="5ATM"/>
    <n v="7.9"/>
    <n v="5"/>
    <x v="2"/>
    <x v="6"/>
    <x v="0"/>
    <n v="59.3"/>
  </r>
  <r>
    <x v="22"/>
    <x v="19"/>
    <x v="9"/>
    <x v="19"/>
    <x v="0"/>
    <x v="1897"/>
    <n v="77.7"/>
    <n v="94.01"/>
    <n v="93.13"/>
    <n v="74.069999999999993"/>
    <s v="IPX7"/>
    <n v="7.5"/>
    <m/>
    <x v="2"/>
    <x v="12"/>
    <x v="2"/>
    <n v="69.099999999999994"/>
  </r>
  <r>
    <x v="22"/>
    <x v="9"/>
    <x v="6"/>
    <x v="9"/>
    <x v="3"/>
    <x v="9"/>
    <n v="145.9"/>
    <n v="86.98"/>
    <n v="96.65"/>
    <n v="78.22"/>
    <s v="IPX7"/>
    <n v="7"/>
    <m/>
    <x v="2"/>
    <x v="0"/>
    <x v="0"/>
    <n v="69.8"/>
  </r>
  <r>
    <x v="22"/>
    <x v="24"/>
    <x v="2"/>
    <x v="24"/>
    <x v="1"/>
    <x v="1898"/>
    <n v="70"/>
    <n v="95.83"/>
    <n v="96.56"/>
    <n v="80.62"/>
    <s v="IP68"/>
    <n v="9"/>
    <n v="4.8"/>
    <x v="1"/>
    <x v="1"/>
    <x v="0"/>
    <n v="62"/>
  </r>
  <r>
    <x v="22"/>
    <x v="9"/>
    <x v="6"/>
    <x v="9"/>
    <x v="3"/>
    <x v="9"/>
    <n v="125.4"/>
    <n v="89.87"/>
    <n v="93.23"/>
    <n v="79.42"/>
    <s v="IPX4"/>
    <n v="6.2"/>
    <m/>
    <x v="2"/>
    <x v="0"/>
    <x v="0"/>
    <n v="67.900000000000006"/>
  </r>
  <r>
    <x v="22"/>
    <x v="9"/>
    <x v="6"/>
    <x v="9"/>
    <x v="3"/>
    <x v="9"/>
    <n v="126.7"/>
    <n v="90.66"/>
    <n v="96.25"/>
    <n v="71.099999999999994"/>
    <s v="IPX7"/>
    <n v="6.5"/>
    <m/>
    <x v="2"/>
    <x v="8"/>
    <x v="0"/>
    <n v="67.599999999999994"/>
  </r>
  <r>
    <x v="22"/>
    <x v="23"/>
    <x v="8"/>
    <x v="23"/>
    <x v="1"/>
    <x v="1899"/>
    <n v="38"/>
    <n v="93.5"/>
    <n v="96.4"/>
    <n v="81.98"/>
    <s v="5ATM"/>
    <n v="8.4"/>
    <n v="3"/>
    <x v="3"/>
    <x v="3"/>
    <x v="0"/>
    <n v="61.4"/>
  </r>
  <r>
    <x v="22"/>
    <x v="9"/>
    <x v="6"/>
    <x v="9"/>
    <x v="3"/>
    <x v="9"/>
    <n v="164"/>
    <n v="86.34"/>
    <n v="93.44"/>
    <n v="71.39"/>
    <s v="3ATM"/>
    <n v="7.7"/>
    <m/>
    <x v="2"/>
    <x v="11"/>
    <x v="2"/>
    <n v="69.5"/>
  </r>
  <r>
    <x v="22"/>
    <x v="20"/>
    <x v="0"/>
    <x v="20"/>
    <x v="2"/>
    <x v="1900"/>
    <n v="158.19999999999999"/>
    <n v="97.19"/>
    <n v="96.87"/>
    <n v="76.819999999999993"/>
    <s v="IPX8"/>
    <n v="8.4"/>
    <n v="3.8"/>
    <x v="2"/>
    <x v="0"/>
    <x v="0"/>
    <n v="63.1"/>
  </r>
  <r>
    <x v="22"/>
    <x v="2"/>
    <x v="0"/>
    <x v="2"/>
    <x v="1"/>
    <x v="1901"/>
    <n v="63.7"/>
    <n v="93.2"/>
    <n v="95.01"/>
    <n v="82.43"/>
    <s v="IPX8"/>
    <n v="6.6"/>
    <n v="2.4"/>
    <x v="1"/>
    <x v="1"/>
    <x v="0"/>
    <n v="59.1"/>
  </r>
  <r>
    <x v="22"/>
    <x v="16"/>
    <x v="4"/>
    <x v="16"/>
    <x v="1"/>
    <x v="1902"/>
    <n v="300.60000000000002"/>
    <n v="94.54"/>
    <n v="99.48"/>
    <n v="79.349999999999994"/>
    <s v="IP68"/>
    <n v="8.1999999999999993"/>
    <n v="3.6"/>
    <x v="1"/>
    <x v="6"/>
    <x v="0"/>
    <n v="63.5"/>
  </r>
  <r>
    <x v="22"/>
    <x v="6"/>
    <x v="5"/>
    <x v="6"/>
    <x v="2"/>
    <x v="1903"/>
    <n v="138.30000000000001"/>
    <n v="97.12"/>
    <n v="93.14"/>
    <n v="75.709999999999994"/>
    <s v="IP68"/>
    <n v="8.1999999999999993"/>
    <n v="3.9"/>
    <x v="2"/>
    <x v="0"/>
    <x v="0"/>
    <n v="61.5"/>
  </r>
  <r>
    <x v="22"/>
    <x v="12"/>
    <x v="8"/>
    <x v="12"/>
    <x v="1"/>
    <x v="1904"/>
    <n v="29.2"/>
    <n v="94.9"/>
    <n v="94.9"/>
    <n v="79.38"/>
    <s v="IP68"/>
    <n v="8.6999999999999993"/>
    <n v="1.7"/>
    <x v="1"/>
    <x v="6"/>
    <x v="2"/>
    <n v="62.1"/>
  </r>
  <r>
    <x v="22"/>
    <x v="20"/>
    <x v="0"/>
    <x v="20"/>
    <x v="2"/>
    <x v="1905"/>
    <n v="187.7"/>
    <n v="92.76"/>
    <n v="95.92"/>
    <n v="79.489999999999995"/>
    <s v="IP68"/>
    <n v="6.8"/>
    <n v="5"/>
    <x v="0"/>
    <x v="0"/>
    <x v="0"/>
    <n v="59.4"/>
  </r>
  <r>
    <x v="22"/>
    <x v="7"/>
    <x v="4"/>
    <x v="7"/>
    <x v="1"/>
    <x v="1906"/>
    <n v="485.7"/>
    <n v="96.67"/>
    <n v="98.15"/>
    <n v="75.05"/>
    <s v="5ATM"/>
    <n v="8.6"/>
    <n v="3.6"/>
    <x v="3"/>
    <x v="6"/>
    <x v="0"/>
    <n v="63.6"/>
  </r>
  <r>
    <x v="22"/>
    <x v="14"/>
    <x v="9"/>
    <x v="14"/>
    <x v="1"/>
    <x v="1907"/>
    <n v="38.700000000000003"/>
    <n v="93.26"/>
    <n v="96.43"/>
    <n v="83.34"/>
    <s v="IPX8"/>
    <n v="7.3"/>
    <n v="1.9"/>
    <x v="1"/>
    <x v="1"/>
    <x v="2"/>
    <n v="60.5"/>
  </r>
  <r>
    <x v="22"/>
    <x v="5"/>
    <x v="4"/>
    <x v="5"/>
    <x v="2"/>
    <x v="1908"/>
    <n v="446.1"/>
    <n v="96.75"/>
    <n v="98.37"/>
    <n v="76.45"/>
    <s v="5ATM"/>
    <n v="8.8000000000000007"/>
    <n v="3.6"/>
    <x v="2"/>
    <x v="10"/>
    <x v="0"/>
    <n v="64.2"/>
  </r>
  <r>
    <x v="22"/>
    <x v="20"/>
    <x v="0"/>
    <x v="20"/>
    <x v="1"/>
    <x v="1909"/>
    <n v="22.9"/>
    <n v="97.97"/>
    <n v="94.98"/>
    <n v="76.39"/>
    <s v="IP68"/>
    <n v="7.6"/>
    <n v="2.8"/>
    <x v="3"/>
    <x v="10"/>
    <x v="0"/>
    <n v="59.5"/>
  </r>
  <r>
    <x v="22"/>
    <x v="21"/>
    <x v="1"/>
    <x v="21"/>
    <x v="1"/>
    <x v="1910"/>
    <n v="36.4"/>
    <n v="96.35"/>
    <n v="97.54"/>
    <n v="75.290000000000006"/>
    <s v="5ATM"/>
    <n v="8.3000000000000007"/>
    <n v="4.4000000000000004"/>
    <x v="3"/>
    <x v="7"/>
    <x v="1"/>
    <n v="59.8"/>
  </r>
  <r>
    <x v="22"/>
    <x v="10"/>
    <x v="7"/>
    <x v="10"/>
    <x v="4"/>
    <x v="1911"/>
    <n v="173.6"/>
    <n v="87.03"/>
    <n v="93.77"/>
    <n v="85.83"/>
    <s v="IPX8"/>
    <n v="8.9"/>
    <m/>
    <x v="2"/>
    <x v="8"/>
    <x v="2"/>
    <n v="75.099999999999994"/>
  </r>
  <r>
    <x v="22"/>
    <x v="8"/>
    <x v="3"/>
    <x v="8"/>
    <x v="1"/>
    <x v="1912"/>
    <n v="55.5"/>
    <n v="94.59"/>
    <n v="98.45"/>
    <n v="80.67"/>
    <s v="IPX8"/>
    <n v="7.8"/>
    <n v="2.2999999999999998"/>
    <x v="3"/>
    <x v="6"/>
    <x v="2"/>
    <n v="61.5"/>
  </r>
  <r>
    <x v="22"/>
    <x v="1"/>
    <x v="1"/>
    <x v="1"/>
    <x v="1"/>
    <x v="1913"/>
    <n v="50.3"/>
    <n v="94.12"/>
    <n v="97.47"/>
    <n v="81.19"/>
    <s v="IPX8"/>
    <n v="9"/>
    <n v="2.1"/>
    <x v="1"/>
    <x v="6"/>
    <x v="1"/>
    <n v="63.4"/>
  </r>
  <r>
    <x v="22"/>
    <x v="1"/>
    <x v="1"/>
    <x v="1"/>
    <x v="1"/>
    <x v="1914"/>
    <n v="18.399999999999999"/>
    <n v="97.19"/>
    <n v="97.95"/>
    <n v="84.74"/>
    <s v="IP68"/>
    <n v="9.1"/>
    <n v="4.4000000000000004"/>
    <x v="3"/>
    <x v="5"/>
    <x v="1"/>
    <n v="62.6"/>
  </r>
  <r>
    <x v="22"/>
    <x v="7"/>
    <x v="4"/>
    <x v="7"/>
    <x v="2"/>
    <x v="1915"/>
    <n v="381.7"/>
    <n v="97.22"/>
    <n v="99.21"/>
    <n v="74.680000000000007"/>
    <s v="10ATM"/>
    <n v="8.1999999999999993"/>
    <n v="4.9000000000000004"/>
    <x v="0"/>
    <x v="10"/>
    <x v="0"/>
    <n v="62.3"/>
  </r>
  <r>
    <x v="22"/>
    <x v="3"/>
    <x v="2"/>
    <x v="3"/>
    <x v="1"/>
    <x v="1000"/>
    <n v="32.1"/>
    <n v="93.55"/>
    <n v="96.3"/>
    <n v="82.23"/>
    <s v="IP68"/>
    <n v="7.4"/>
    <n v="2.2999999999999998"/>
    <x v="1"/>
    <x v="5"/>
    <x v="0"/>
    <n v="60.1"/>
  </r>
  <r>
    <x v="22"/>
    <x v="14"/>
    <x v="9"/>
    <x v="14"/>
    <x v="1"/>
    <x v="1916"/>
    <n v="33.1"/>
    <n v="92.76"/>
    <n v="95.03"/>
    <n v="80.84"/>
    <s v="IPX8"/>
    <n v="7.3"/>
    <n v="1.8"/>
    <x v="1"/>
    <x v="6"/>
    <x v="2"/>
    <n v="59.7"/>
  </r>
  <r>
    <x v="22"/>
    <x v="20"/>
    <x v="0"/>
    <x v="20"/>
    <x v="1"/>
    <x v="1917"/>
    <n v="59.3"/>
    <n v="93.24"/>
    <n v="93.86"/>
    <n v="83.7"/>
    <s v="IPX8"/>
    <n v="7.5"/>
    <n v="4.3"/>
    <x v="3"/>
    <x v="3"/>
    <x v="0"/>
    <n v="59.3"/>
  </r>
  <r>
    <x v="22"/>
    <x v="10"/>
    <x v="7"/>
    <x v="10"/>
    <x v="4"/>
    <x v="1918"/>
    <n v="185.6"/>
    <n v="91.67"/>
    <n v="94.33"/>
    <n v="90.18"/>
    <s v="IPX7"/>
    <n v="7.6"/>
    <m/>
    <x v="2"/>
    <x v="8"/>
    <x v="0"/>
    <n v="74.400000000000006"/>
  </r>
  <r>
    <x v="22"/>
    <x v="14"/>
    <x v="9"/>
    <x v="14"/>
    <x v="2"/>
    <x v="1919"/>
    <n v="77.099999999999994"/>
    <n v="93.17"/>
    <n v="95.12"/>
    <n v="74.209999999999994"/>
    <s v="5ATM"/>
    <n v="7.4"/>
    <n v="2.2999999999999998"/>
    <x v="2"/>
    <x v="6"/>
    <x v="2"/>
    <n v="59.4"/>
  </r>
  <r>
    <x v="22"/>
    <x v="25"/>
    <x v="5"/>
    <x v="25"/>
    <x v="2"/>
    <x v="1920"/>
    <n v="151.80000000000001"/>
    <n v="96.32"/>
    <n v="95.42"/>
    <n v="77.62"/>
    <s v="IP68"/>
    <n v="9"/>
    <n v="4.2"/>
    <x v="2"/>
    <x v="12"/>
    <x v="0"/>
    <n v="63.4"/>
  </r>
  <r>
    <x v="22"/>
    <x v="25"/>
    <x v="5"/>
    <x v="25"/>
    <x v="1"/>
    <x v="1921"/>
    <n v="68.2"/>
    <n v="92.81"/>
    <n v="94.96"/>
    <n v="76.099999999999994"/>
    <s v="IP68"/>
    <n v="8.3000000000000007"/>
    <n v="4.3"/>
    <x v="3"/>
    <x v="9"/>
    <x v="2"/>
    <n v="59.6"/>
  </r>
  <r>
    <x v="22"/>
    <x v="10"/>
    <x v="7"/>
    <x v="10"/>
    <x v="4"/>
    <x v="1922"/>
    <n v="180.8"/>
    <n v="86.64"/>
    <n v="96.72"/>
    <n v="89.96"/>
    <s v="IPX7"/>
    <n v="8.1"/>
    <m/>
    <x v="2"/>
    <x v="8"/>
    <x v="0"/>
    <n v="74.900000000000006"/>
  </r>
  <r>
    <x v="22"/>
    <x v="15"/>
    <x v="8"/>
    <x v="15"/>
    <x v="1"/>
    <x v="1923"/>
    <n v="36.1"/>
    <n v="96.35"/>
    <n v="95.96"/>
    <n v="76.260000000000005"/>
    <s v="IP68"/>
    <n v="6.6"/>
    <n v="1.8"/>
    <x v="3"/>
    <x v="9"/>
    <x v="2"/>
    <n v="58.6"/>
  </r>
  <r>
    <x v="22"/>
    <x v="6"/>
    <x v="5"/>
    <x v="6"/>
    <x v="2"/>
    <x v="1924"/>
    <n v="94.5"/>
    <n v="93.61"/>
    <n v="94.12"/>
    <n v="70.2"/>
    <s v="IP68"/>
    <n v="8"/>
    <n v="3.9"/>
    <x v="0"/>
    <x v="2"/>
    <x v="2"/>
    <n v="58.9"/>
  </r>
  <r>
    <x v="22"/>
    <x v="9"/>
    <x v="6"/>
    <x v="9"/>
    <x v="3"/>
    <x v="9"/>
    <n v="160.69999999999999"/>
    <n v="90.16"/>
    <n v="95.38"/>
    <n v="75.540000000000006"/>
    <s v="IPX7"/>
    <n v="6.1"/>
    <m/>
    <x v="2"/>
    <x v="0"/>
    <x v="0"/>
    <n v="68.2"/>
  </r>
  <r>
    <x v="22"/>
    <x v="9"/>
    <x v="6"/>
    <x v="9"/>
    <x v="3"/>
    <x v="9"/>
    <n v="162.4"/>
    <n v="90.09"/>
    <n v="96.06"/>
    <n v="73.66"/>
    <s v="IPX7"/>
    <n v="6.1"/>
    <m/>
    <x v="2"/>
    <x v="8"/>
    <x v="0"/>
    <n v="68"/>
  </r>
  <r>
    <x v="22"/>
    <x v="9"/>
    <x v="6"/>
    <x v="9"/>
    <x v="3"/>
    <x v="9"/>
    <n v="162.4"/>
    <n v="85.43"/>
    <n v="95.41"/>
    <n v="72.19"/>
    <s v="IPX7"/>
    <n v="6.9"/>
    <m/>
    <x v="2"/>
    <x v="13"/>
    <x v="2"/>
    <n v="68.3"/>
  </r>
  <r>
    <x v="22"/>
    <x v="18"/>
    <x v="4"/>
    <x v="18"/>
    <x v="2"/>
    <x v="1925"/>
    <n v="652.70000000000005"/>
    <n v="95.51"/>
    <n v="98.3"/>
    <n v="75.69"/>
    <s v="IPX8"/>
    <n v="8.1"/>
    <n v="1.5"/>
    <x v="2"/>
    <x v="10"/>
    <x v="0"/>
    <n v="64.099999999999994"/>
  </r>
  <r>
    <x v="22"/>
    <x v="10"/>
    <x v="7"/>
    <x v="10"/>
    <x v="4"/>
    <x v="1926"/>
    <n v="174.3"/>
    <n v="89.91"/>
    <n v="94.94"/>
    <n v="90.6"/>
    <s v="IPX7"/>
    <n v="8.5"/>
    <m/>
    <x v="2"/>
    <x v="8"/>
    <x v="2"/>
    <n v="76.099999999999994"/>
  </r>
  <r>
    <x v="22"/>
    <x v="4"/>
    <x v="3"/>
    <x v="4"/>
    <x v="1"/>
    <x v="1927"/>
    <n v="69.7"/>
    <n v="95.57"/>
    <n v="96.57"/>
    <n v="83.74"/>
    <s v="IP68"/>
    <n v="8.3000000000000007"/>
    <n v="3.2"/>
    <x v="3"/>
    <x v="10"/>
    <x v="2"/>
    <n v="62.4"/>
  </r>
  <r>
    <x v="22"/>
    <x v="7"/>
    <x v="4"/>
    <x v="7"/>
    <x v="1"/>
    <x v="1928"/>
    <n v="639.20000000000005"/>
    <n v="92.07"/>
    <n v="98.15"/>
    <n v="76.040000000000006"/>
    <s v="5ATM"/>
    <n v="8.5"/>
    <n v="4"/>
    <x v="1"/>
    <x v="1"/>
    <x v="0"/>
    <n v="62.5"/>
  </r>
  <r>
    <x v="22"/>
    <x v="22"/>
    <x v="8"/>
    <x v="22"/>
    <x v="1"/>
    <x v="1929"/>
    <n v="36.1"/>
    <n v="96.83"/>
    <n v="96.03"/>
    <n v="75.430000000000007"/>
    <s v="IP68"/>
    <n v="8.1"/>
    <n v="3.4"/>
    <x v="1"/>
    <x v="1"/>
    <x v="0"/>
    <n v="60"/>
  </r>
  <r>
    <x v="22"/>
    <x v="21"/>
    <x v="1"/>
    <x v="21"/>
    <x v="1"/>
    <x v="1930"/>
    <n v="56.8"/>
    <n v="94.72"/>
    <n v="97.61"/>
    <n v="83.24"/>
    <s v="IPX8"/>
    <n v="9.3000000000000007"/>
    <n v="3.4"/>
    <x v="1"/>
    <x v="5"/>
    <x v="1"/>
    <n v="63.6"/>
  </r>
  <r>
    <x v="22"/>
    <x v="11"/>
    <x v="1"/>
    <x v="11"/>
    <x v="1"/>
    <x v="1931"/>
    <n v="23.6"/>
    <n v="94.55"/>
    <n v="97.45"/>
    <n v="77.069999999999993"/>
    <s v="5ATM"/>
    <n v="7.3"/>
    <n v="4.5999999999999996"/>
    <x v="3"/>
    <x v="1"/>
    <x v="1"/>
    <n v="57.7"/>
  </r>
  <r>
    <x v="22"/>
    <x v="6"/>
    <x v="5"/>
    <x v="6"/>
    <x v="2"/>
    <x v="1932"/>
    <n v="109.1"/>
    <n v="94.53"/>
    <n v="96.6"/>
    <n v="74.260000000000005"/>
    <s v="IPX8"/>
    <n v="9.3000000000000007"/>
    <n v="3.1"/>
    <x v="2"/>
    <x v="0"/>
    <x v="2"/>
    <n v="63.2"/>
  </r>
  <r>
    <x v="22"/>
    <x v="27"/>
    <x v="9"/>
    <x v="27"/>
    <x v="1"/>
    <x v="1933"/>
    <n v="34.5"/>
    <n v="93.39"/>
    <n v="95.3"/>
    <n v="80.87"/>
    <s v="IPX8"/>
    <n v="7.5"/>
    <n v="2.2000000000000002"/>
    <x v="3"/>
    <x v="10"/>
    <x v="0"/>
    <n v="60"/>
  </r>
  <r>
    <x v="22"/>
    <x v="8"/>
    <x v="3"/>
    <x v="8"/>
    <x v="1"/>
    <x v="1934"/>
    <n v="55.9"/>
    <n v="93.01"/>
    <n v="97"/>
    <n v="79.290000000000006"/>
    <s v="IPX8"/>
    <n v="7.2"/>
    <n v="4.9000000000000004"/>
    <x v="1"/>
    <x v="6"/>
    <x v="2"/>
    <n v="58.1"/>
  </r>
  <r>
    <x v="22"/>
    <x v="18"/>
    <x v="4"/>
    <x v="18"/>
    <x v="1"/>
    <x v="1935"/>
    <n v="596.20000000000005"/>
    <n v="95.49"/>
    <n v="98.8"/>
    <n v="82.73"/>
    <s v="IP68"/>
    <n v="8.6999999999999993"/>
    <n v="4"/>
    <x v="1"/>
    <x v="1"/>
    <x v="0"/>
    <n v="64.7"/>
  </r>
  <r>
    <x v="22"/>
    <x v="25"/>
    <x v="5"/>
    <x v="25"/>
    <x v="2"/>
    <x v="1936"/>
    <n v="218.4"/>
    <n v="93.12"/>
    <n v="93.74"/>
    <n v="77.47"/>
    <s v="IP68"/>
    <n v="8.4"/>
    <n v="3.9"/>
    <x v="2"/>
    <x v="0"/>
    <x v="2"/>
    <n v="62.1"/>
  </r>
  <r>
    <x v="22"/>
    <x v="8"/>
    <x v="3"/>
    <x v="8"/>
    <x v="1"/>
    <x v="1937"/>
    <n v="23.5"/>
    <n v="96.63"/>
    <n v="98.09"/>
    <n v="83.84"/>
    <s v="5ATM"/>
    <n v="9"/>
    <n v="4.5999999999999996"/>
    <x v="3"/>
    <x v="4"/>
    <x v="2"/>
    <n v="62.2"/>
  </r>
  <r>
    <x v="23"/>
    <x v="28"/>
    <x v="4"/>
    <x v="28"/>
    <x v="2"/>
    <x v="1938"/>
    <n v="1326.3"/>
    <n v="94.9"/>
    <n v="99.26"/>
    <n v="76.37"/>
    <s v="10ATM"/>
    <n v="7.9"/>
    <n v="3.2"/>
    <x v="2"/>
    <x v="6"/>
    <x v="0"/>
    <n v="62.8"/>
  </r>
  <r>
    <x v="23"/>
    <x v="6"/>
    <x v="5"/>
    <x v="6"/>
    <x v="2"/>
    <x v="1939"/>
    <n v="183"/>
    <n v="94.29"/>
    <n v="96.97"/>
    <n v="77.59"/>
    <s v="IP68"/>
    <n v="8.1"/>
    <n v="2.8"/>
    <x v="2"/>
    <x v="0"/>
    <x v="2"/>
    <n v="63.1"/>
  </r>
  <r>
    <x v="23"/>
    <x v="9"/>
    <x v="6"/>
    <x v="9"/>
    <x v="3"/>
    <x v="9"/>
    <n v="124.2"/>
    <n v="85.88"/>
    <n v="93.51"/>
    <n v="71.959999999999994"/>
    <s v="IPX4"/>
    <n v="6.2"/>
    <m/>
    <x v="2"/>
    <x v="8"/>
    <x v="0"/>
    <n v="65.599999999999994"/>
  </r>
  <r>
    <x v="23"/>
    <x v="15"/>
    <x v="8"/>
    <x v="15"/>
    <x v="1"/>
    <x v="1940"/>
    <n v="35.799999999999997"/>
    <n v="95.89"/>
    <n v="94.87"/>
    <n v="81.2"/>
    <s v="IPX8"/>
    <n v="7.2"/>
    <n v="4.5"/>
    <x v="3"/>
    <x v="9"/>
    <x v="0"/>
    <n v="58.4"/>
  </r>
  <r>
    <x v="23"/>
    <x v="17"/>
    <x v="3"/>
    <x v="17"/>
    <x v="1"/>
    <x v="1941"/>
    <n v="39.4"/>
    <n v="94.33"/>
    <n v="96.72"/>
    <n v="75.61"/>
    <s v="IPX8"/>
    <n v="7.4"/>
    <n v="3.3"/>
    <x v="1"/>
    <x v="3"/>
    <x v="2"/>
    <n v="58.7"/>
  </r>
  <r>
    <x v="23"/>
    <x v="10"/>
    <x v="7"/>
    <x v="10"/>
    <x v="4"/>
    <x v="1942"/>
    <n v="183.5"/>
    <n v="89.96"/>
    <n v="94.84"/>
    <n v="86.2"/>
    <s v="IPX8"/>
    <n v="8.4"/>
    <m/>
    <x v="2"/>
    <x v="0"/>
    <x v="2"/>
    <n v="75"/>
  </r>
  <r>
    <x v="23"/>
    <x v="17"/>
    <x v="3"/>
    <x v="17"/>
    <x v="1"/>
    <x v="1943"/>
    <n v="31.2"/>
    <n v="92.84"/>
    <n v="96.26"/>
    <n v="82.41"/>
    <s v="IP68"/>
    <n v="8.1"/>
    <n v="3"/>
    <x v="1"/>
    <x v="5"/>
    <x v="2"/>
    <n v="60.7"/>
  </r>
  <r>
    <x v="23"/>
    <x v="3"/>
    <x v="2"/>
    <x v="3"/>
    <x v="2"/>
    <x v="1944"/>
    <n v="114.7"/>
    <n v="93.15"/>
    <n v="94.85"/>
    <n v="71.22"/>
    <s v="IP68"/>
    <n v="8.5"/>
    <n v="2.5"/>
    <x v="2"/>
    <x v="10"/>
    <x v="0"/>
    <n v="61.3"/>
  </r>
  <r>
    <x v="23"/>
    <x v="18"/>
    <x v="4"/>
    <x v="18"/>
    <x v="2"/>
    <x v="1945"/>
    <n v="269.7"/>
    <n v="93.5"/>
    <n v="98.06"/>
    <n v="77.5"/>
    <s v="IPX8"/>
    <n v="9.1"/>
    <n v="3.6"/>
    <x v="0"/>
    <x v="12"/>
    <x v="0"/>
    <n v="64.3"/>
  </r>
  <r>
    <x v="23"/>
    <x v="19"/>
    <x v="9"/>
    <x v="19"/>
    <x v="0"/>
    <x v="1946"/>
    <n v="166.3"/>
    <n v="92.49"/>
    <n v="93.81"/>
    <n v="75.930000000000007"/>
    <s v="IPX4"/>
    <n v="8.1"/>
    <m/>
    <x v="2"/>
    <x v="2"/>
    <x v="2"/>
    <n v="72.599999999999994"/>
  </r>
  <r>
    <x v="23"/>
    <x v="12"/>
    <x v="8"/>
    <x v="12"/>
    <x v="1"/>
    <x v="1947"/>
    <n v="26.5"/>
    <n v="95.8"/>
    <n v="94.9"/>
    <n v="79.400000000000006"/>
    <s v="IPX8"/>
    <n v="8.1999999999999993"/>
    <n v="4.3"/>
    <x v="1"/>
    <x v="3"/>
    <x v="0"/>
    <n v="59.7"/>
  </r>
  <r>
    <x v="23"/>
    <x v="22"/>
    <x v="8"/>
    <x v="22"/>
    <x v="1"/>
    <x v="1948"/>
    <n v="29.4"/>
    <n v="93.82"/>
    <n v="95.34"/>
    <n v="77.59"/>
    <s v="IP68"/>
    <n v="7"/>
    <n v="4.5"/>
    <x v="3"/>
    <x v="7"/>
    <x v="2"/>
    <n v="57"/>
  </r>
  <r>
    <x v="23"/>
    <x v="14"/>
    <x v="9"/>
    <x v="14"/>
    <x v="2"/>
    <x v="1949"/>
    <n v="128.1"/>
    <n v="95.7"/>
    <n v="95.96"/>
    <n v="78.36"/>
    <s v="5ATM"/>
    <n v="7.5"/>
    <n v="2.6"/>
    <x v="0"/>
    <x v="0"/>
    <x v="0"/>
    <n v="61.6"/>
  </r>
  <r>
    <x v="23"/>
    <x v="19"/>
    <x v="9"/>
    <x v="19"/>
    <x v="0"/>
    <x v="1950"/>
    <n v="199.1"/>
    <n v="89.42"/>
    <n v="96.42"/>
    <n v="74.849999999999994"/>
    <s v="IPX7"/>
    <n v="8.1999999999999993"/>
    <m/>
    <x v="0"/>
    <x v="12"/>
    <x v="2"/>
    <n v="72.5"/>
  </r>
  <r>
    <x v="23"/>
    <x v="26"/>
    <x v="9"/>
    <x v="26"/>
    <x v="1"/>
    <x v="1951"/>
    <n v="34.799999999999997"/>
    <n v="95.04"/>
    <n v="95.57"/>
    <n v="77.959999999999994"/>
    <s v="IP68"/>
    <n v="7.1"/>
    <n v="2.9"/>
    <x v="3"/>
    <x v="5"/>
    <x v="2"/>
    <n v="58.7"/>
  </r>
  <r>
    <x v="23"/>
    <x v="25"/>
    <x v="5"/>
    <x v="25"/>
    <x v="2"/>
    <x v="1952"/>
    <n v="137"/>
    <n v="97.46"/>
    <n v="93.95"/>
    <n v="74.91"/>
    <s v="IPX8"/>
    <n v="8.5"/>
    <n v="5"/>
    <x v="2"/>
    <x v="12"/>
    <x v="0"/>
    <n v="61.3"/>
  </r>
  <r>
    <x v="23"/>
    <x v="6"/>
    <x v="5"/>
    <x v="6"/>
    <x v="2"/>
    <x v="1953"/>
    <n v="185.6"/>
    <n v="97.19"/>
    <n v="93.25"/>
    <n v="71.849999999999994"/>
    <s v="5ATM"/>
    <n v="7.1"/>
    <n v="4.9000000000000004"/>
    <x v="2"/>
    <x v="6"/>
    <x v="2"/>
    <n v="58.9"/>
  </r>
  <r>
    <x v="23"/>
    <x v="4"/>
    <x v="3"/>
    <x v="4"/>
    <x v="1"/>
    <x v="1954"/>
    <n v="28.2"/>
    <n v="97.09"/>
    <n v="97.89"/>
    <n v="77.28"/>
    <s v="IPX8"/>
    <n v="9"/>
    <n v="3.6"/>
    <x v="3"/>
    <x v="3"/>
    <x v="2"/>
    <n v="61.9"/>
  </r>
  <r>
    <x v="23"/>
    <x v="6"/>
    <x v="5"/>
    <x v="6"/>
    <x v="1"/>
    <x v="1955"/>
    <n v="40.1"/>
    <n v="97.28"/>
    <n v="94.3"/>
    <n v="82.96"/>
    <s v="IPX8"/>
    <n v="8.6999999999999993"/>
    <n v="4.5999999999999996"/>
    <x v="1"/>
    <x v="10"/>
    <x v="0"/>
    <n v="61.3"/>
  </r>
  <r>
    <x v="23"/>
    <x v="0"/>
    <x v="0"/>
    <x v="0"/>
    <x v="0"/>
    <x v="1956"/>
    <n v="239.3"/>
    <n v="88.31"/>
    <n v="95.25"/>
    <n v="78.569999999999993"/>
    <s v="3ATM"/>
    <n v="8.4"/>
    <m/>
    <x v="2"/>
    <x v="12"/>
    <x v="0"/>
    <n v="73.2"/>
  </r>
  <r>
    <x v="23"/>
    <x v="16"/>
    <x v="4"/>
    <x v="16"/>
    <x v="1"/>
    <x v="1957"/>
    <n v="389.2"/>
    <n v="97.93"/>
    <n v="98.01"/>
    <n v="79.849999999999994"/>
    <s v="IP68"/>
    <n v="8.3000000000000007"/>
    <n v="1.7"/>
    <x v="1"/>
    <x v="6"/>
    <x v="0"/>
    <n v="65.3"/>
  </r>
  <r>
    <x v="23"/>
    <x v="21"/>
    <x v="1"/>
    <x v="21"/>
    <x v="1"/>
    <x v="1958"/>
    <n v="35.799999999999997"/>
    <n v="97.05"/>
    <n v="97.08"/>
    <n v="76.349999999999994"/>
    <s v="IP68"/>
    <n v="8.8000000000000007"/>
    <n v="3.4"/>
    <x v="3"/>
    <x v="7"/>
    <x v="1"/>
    <n v="61.5"/>
  </r>
  <r>
    <x v="23"/>
    <x v="6"/>
    <x v="5"/>
    <x v="6"/>
    <x v="2"/>
    <x v="1959"/>
    <n v="149.69999999999999"/>
    <n v="97.11"/>
    <n v="93.63"/>
    <n v="77.760000000000005"/>
    <s v="IP68"/>
    <n v="7.1"/>
    <n v="3.6"/>
    <x v="2"/>
    <x v="0"/>
    <x v="0"/>
    <n v="60.5"/>
  </r>
  <r>
    <x v="23"/>
    <x v="14"/>
    <x v="9"/>
    <x v="14"/>
    <x v="2"/>
    <x v="1960"/>
    <n v="132.30000000000001"/>
    <n v="95.05"/>
    <n v="94.17"/>
    <n v="77.06"/>
    <s v="IPX8"/>
    <n v="7.6"/>
    <n v="4.8"/>
    <x v="0"/>
    <x v="2"/>
    <x v="0"/>
    <n v="59.8"/>
  </r>
  <r>
    <x v="23"/>
    <x v="14"/>
    <x v="9"/>
    <x v="14"/>
    <x v="2"/>
    <x v="1961"/>
    <n v="83.1"/>
    <n v="92.19"/>
    <n v="96.41"/>
    <n v="72.52"/>
    <s v="5ATM"/>
    <n v="7.6"/>
    <n v="3.1"/>
    <x v="0"/>
    <x v="10"/>
    <x v="0"/>
    <n v="59.1"/>
  </r>
  <r>
    <x v="23"/>
    <x v="10"/>
    <x v="7"/>
    <x v="10"/>
    <x v="4"/>
    <x v="1962"/>
    <n v="188.5"/>
    <n v="90.55"/>
    <n v="94.73"/>
    <n v="90.65"/>
    <s v="IPX8"/>
    <n v="7.3"/>
    <m/>
    <x v="2"/>
    <x v="11"/>
    <x v="0"/>
    <n v="73.8"/>
  </r>
  <r>
    <x v="23"/>
    <x v="15"/>
    <x v="8"/>
    <x v="15"/>
    <x v="1"/>
    <x v="1963"/>
    <n v="67.400000000000006"/>
    <n v="96.43"/>
    <n v="94.05"/>
    <n v="82.33"/>
    <s v="IP68"/>
    <n v="8.3000000000000007"/>
    <n v="4.8"/>
    <x v="1"/>
    <x v="5"/>
    <x v="2"/>
    <n v="60.8"/>
  </r>
  <r>
    <x v="23"/>
    <x v="3"/>
    <x v="2"/>
    <x v="3"/>
    <x v="1"/>
    <x v="1964"/>
    <n v="50.7"/>
    <n v="97.08"/>
    <n v="95.44"/>
    <n v="80.540000000000006"/>
    <s v="5ATM"/>
    <n v="8"/>
    <n v="2.5"/>
    <x v="1"/>
    <x v="7"/>
    <x v="0"/>
    <n v="61.5"/>
  </r>
  <r>
    <x v="23"/>
    <x v="25"/>
    <x v="5"/>
    <x v="25"/>
    <x v="1"/>
    <x v="1965"/>
    <n v="38.6"/>
    <n v="92.6"/>
    <n v="93.87"/>
    <n v="77.87"/>
    <s v="5ATM"/>
    <n v="7.7"/>
    <n v="3.5"/>
    <x v="1"/>
    <x v="10"/>
    <x v="0"/>
    <n v="58.7"/>
  </r>
  <r>
    <x v="23"/>
    <x v="6"/>
    <x v="5"/>
    <x v="6"/>
    <x v="2"/>
    <x v="1966"/>
    <n v="115.4"/>
    <n v="94.88"/>
    <n v="96.96"/>
    <n v="77.53"/>
    <s v="IPX8"/>
    <n v="7.9"/>
    <n v="1.7"/>
    <x v="2"/>
    <x v="0"/>
    <x v="2"/>
    <n v="62.6"/>
  </r>
  <r>
    <x v="23"/>
    <x v="9"/>
    <x v="6"/>
    <x v="9"/>
    <x v="3"/>
    <x v="9"/>
    <n v="151.19999999999999"/>
    <n v="91.11"/>
    <n v="95.79"/>
    <n v="72.739999999999995"/>
    <s v="3ATM"/>
    <n v="6.8"/>
    <m/>
    <x v="2"/>
    <x v="13"/>
    <x v="0"/>
    <n v="69.099999999999994"/>
  </r>
  <r>
    <x v="23"/>
    <x v="6"/>
    <x v="5"/>
    <x v="6"/>
    <x v="2"/>
    <x v="1967"/>
    <n v="202"/>
    <n v="96.58"/>
    <n v="93.97"/>
    <n v="72.930000000000007"/>
    <s v="IP68"/>
    <n v="8"/>
    <n v="2.1"/>
    <x v="2"/>
    <x v="12"/>
    <x v="0"/>
    <n v="62.5"/>
  </r>
  <r>
    <x v="23"/>
    <x v="8"/>
    <x v="3"/>
    <x v="8"/>
    <x v="1"/>
    <x v="1968"/>
    <n v="29.5"/>
    <n v="97.29"/>
    <n v="97.98"/>
    <n v="78.599999999999994"/>
    <s v="IPX8"/>
    <n v="8.8000000000000007"/>
    <n v="4.5999999999999996"/>
    <x v="1"/>
    <x v="10"/>
    <x v="2"/>
    <n v="61.2"/>
  </r>
  <r>
    <x v="23"/>
    <x v="2"/>
    <x v="0"/>
    <x v="2"/>
    <x v="2"/>
    <x v="1969"/>
    <n v="233.8"/>
    <n v="94.25"/>
    <n v="93.9"/>
    <n v="70.03"/>
    <s v="IPX8"/>
    <n v="7.7"/>
    <n v="4.2"/>
    <x v="0"/>
    <x v="2"/>
    <x v="0"/>
    <n v="59.7"/>
  </r>
  <r>
    <x v="23"/>
    <x v="17"/>
    <x v="3"/>
    <x v="17"/>
    <x v="1"/>
    <x v="1970"/>
    <n v="61"/>
    <n v="92.05"/>
    <n v="97.35"/>
    <n v="79.930000000000007"/>
    <s v="5ATM"/>
    <n v="8.4"/>
    <n v="4.3"/>
    <x v="3"/>
    <x v="10"/>
    <x v="2"/>
    <n v="60.6"/>
  </r>
  <r>
    <x v="23"/>
    <x v="9"/>
    <x v="6"/>
    <x v="9"/>
    <x v="3"/>
    <x v="9"/>
    <n v="166.4"/>
    <n v="85.69"/>
    <n v="94.05"/>
    <n v="73.02"/>
    <s v="IPX7"/>
    <n v="6.3"/>
    <m/>
    <x v="2"/>
    <x v="0"/>
    <x v="0"/>
    <n v="67.099999999999994"/>
  </r>
  <r>
    <x v="23"/>
    <x v="20"/>
    <x v="0"/>
    <x v="20"/>
    <x v="2"/>
    <x v="1971"/>
    <n v="182.8"/>
    <n v="93.65"/>
    <n v="96.74"/>
    <n v="76.27"/>
    <s v="IP68"/>
    <n v="8.5"/>
    <n v="4.5"/>
    <x v="2"/>
    <x v="6"/>
    <x v="0"/>
    <n v="62.3"/>
  </r>
  <r>
    <x v="23"/>
    <x v="21"/>
    <x v="1"/>
    <x v="21"/>
    <x v="1"/>
    <x v="1972"/>
    <n v="68.400000000000006"/>
    <n v="95"/>
    <n v="96.79"/>
    <n v="82.92"/>
    <s v="IP68"/>
    <n v="8.6"/>
    <n v="3.3"/>
    <x v="1"/>
    <x v="7"/>
    <x v="1"/>
    <n v="62.6"/>
  </r>
  <r>
    <x v="23"/>
    <x v="6"/>
    <x v="5"/>
    <x v="6"/>
    <x v="1"/>
    <x v="1973"/>
    <n v="34.299999999999997"/>
    <n v="96.11"/>
    <n v="96.22"/>
    <n v="82.96"/>
    <s v="IP68"/>
    <n v="9.1999999999999993"/>
    <n v="2.7"/>
    <x v="1"/>
    <x v="9"/>
    <x v="2"/>
    <n v="63.4"/>
  </r>
  <r>
    <x v="23"/>
    <x v="3"/>
    <x v="2"/>
    <x v="3"/>
    <x v="1"/>
    <x v="1974"/>
    <n v="34.1"/>
    <n v="95.52"/>
    <n v="97"/>
    <n v="79.900000000000006"/>
    <s v="5ATM"/>
    <n v="7.7"/>
    <n v="3.2"/>
    <x v="1"/>
    <x v="4"/>
    <x v="0"/>
    <n v="60.1"/>
  </r>
  <r>
    <x v="23"/>
    <x v="27"/>
    <x v="9"/>
    <x v="27"/>
    <x v="2"/>
    <x v="1975"/>
    <n v="161.19999999999999"/>
    <n v="95.4"/>
    <n v="96.17"/>
    <n v="71.7"/>
    <s v="5ATM"/>
    <n v="7.2"/>
    <n v="2.8"/>
    <x v="2"/>
    <x v="1"/>
    <x v="2"/>
    <n v="60.5"/>
  </r>
  <r>
    <x v="23"/>
    <x v="8"/>
    <x v="3"/>
    <x v="8"/>
    <x v="1"/>
    <x v="1976"/>
    <n v="62.4"/>
    <n v="95.27"/>
    <n v="96.8"/>
    <n v="75.8"/>
    <s v="IP68"/>
    <n v="8.4"/>
    <n v="3.1"/>
    <x v="3"/>
    <x v="10"/>
    <x v="2"/>
    <n v="61.1"/>
  </r>
  <r>
    <x v="23"/>
    <x v="3"/>
    <x v="2"/>
    <x v="3"/>
    <x v="1"/>
    <x v="1977"/>
    <n v="42.3"/>
    <n v="95.3"/>
    <n v="96.3"/>
    <n v="81.23"/>
    <s v="IP68"/>
    <n v="7.2"/>
    <n v="4.9000000000000004"/>
    <x v="1"/>
    <x v="9"/>
    <x v="0"/>
    <n v="58.4"/>
  </r>
  <r>
    <x v="23"/>
    <x v="12"/>
    <x v="8"/>
    <x v="12"/>
    <x v="1"/>
    <x v="1978"/>
    <n v="21.4"/>
    <n v="92.71"/>
    <n v="94.23"/>
    <n v="79.05"/>
    <s v="IP68"/>
    <n v="9.4"/>
    <n v="4.5999999999999996"/>
    <x v="3"/>
    <x v="6"/>
    <x v="0"/>
    <n v="60.7"/>
  </r>
  <r>
    <x v="23"/>
    <x v="10"/>
    <x v="7"/>
    <x v="10"/>
    <x v="4"/>
    <x v="1979"/>
    <n v="181.2"/>
    <n v="85.08"/>
    <n v="95.12"/>
    <n v="86.92"/>
    <s v="IPX8"/>
    <n v="7"/>
    <m/>
    <x v="2"/>
    <x v="12"/>
    <x v="2"/>
    <n v="71.400000000000006"/>
  </r>
  <r>
    <x v="23"/>
    <x v="11"/>
    <x v="1"/>
    <x v="11"/>
    <x v="1"/>
    <x v="1980"/>
    <n v="60.1"/>
    <n v="96.35"/>
    <n v="97.4"/>
    <n v="84.93"/>
    <s v="5ATM"/>
    <n v="8.9"/>
    <n v="2.1"/>
    <x v="1"/>
    <x v="10"/>
    <x v="1"/>
    <n v="64.400000000000006"/>
  </r>
  <r>
    <x v="23"/>
    <x v="9"/>
    <x v="6"/>
    <x v="9"/>
    <x v="3"/>
    <x v="9"/>
    <n v="159.19999999999999"/>
    <n v="87.75"/>
    <n v="93.46"/>
    <n v="75.64"/>
    <s v="3ATM"/>
    <n v="8"/>
    <m/>
    <x v="2"/>
    <x v="8"/>
    <x v="2"/>
    <n v="71.2"/>
  </r>
  <r>
    <x v="23"/>
    <x v="9"/>
    <x v="6"/>
    <x v="9"/>
    <x v="3"/>
    <x v="9"/>
    <n v="121.4"/>
    <n v="89.3"/>
    <n v="93.79"/>
    <n v="75.92"/>
    <s v="IPX7"/>
    <n v="6"/>
    <m/>
    <x v="2"/>
    <x v="8"/>
    <x v="2"/>
    <n v="66.7"/>
  </r>
  <r>
    <x v="23"/>
    <x v="15"/>
    <x v="8"/>
    <x v="15"/>
    <x v="1"/>
    <x v="1981"/>
    <n v="61.2"/>
    <n v="95.22"/>
    <n v="94.46"/>
    <n v="76.97"/>
    <s v="5ATM"/>
    <n v="8.4"/>
    <n v="4.5"/>
    <x v="3"/>
    <x v="9"/>
    <x v="0"/>
    <n v="60"/>
  </r>
  <r>
    <x v="23"/>
    <x v="10"/>
    <x v="7"/>
    <x v="10"/>
    <x v="4"/>
    <x v="1982"/>
    <n v="173.7"/>
    <n v="90.67"/>
    <n v="95.35"/>
    <n v="87.45"/>
    <s v="IPX8"/>
    <n v="8.1999999999999993"/>
    <m/>
    <x v="2"/>
    <x v="11"/>
    <x v="2"/>
    <n v="75.099999999999994"/>
  </r>
  <r>
    <x v="23"/>
    <x v="4"/>
    <x v="3"/>
    <x v="4"/>
    <x v="1"/>
    <x v="1983"/>
    <n v="70.3"/>
    <n v="96.95"/>
    <n v="97.24"/>
    <n v="78.23"/>
    <s v="IPX8"/>
    <n v="7.5"/>
    <n v="3.5"/>
    <x v="3"/>
    <x v="7"/>
    <x v="2"/>
    <n v="60.3"/>
  </r>
  <r>
    <x v="23"/>
    <x v="3"/>
    <x v="2"/>
    <x v="3"/>
    <x v="1"/>
    <x v="1984"/>
    <n v="23.4"/>
    <n v="95.94"/>
    <n v="94.07"/>
    <n v="83.16"/>
    <s v="IP68"/>
    <n v="8.1"/>
    <n v="5"/>
    <x v="1"/>
    <x v="4"/>
    <x v="0"/>
    <n v="59.5"/>
  </r>
  <r>
    <x v="23"/>
    <x v="3"/>
    <x v="2"/>
    <x v="3"/>
    <x v="2"/>
    <x v="1985"/>
    <n v="88.1"/>
    <n v="94.36"/>
    <n v="95.2"/>
    <n v="74.91"/>
    <s v="5ATM"/>
    <n v="7.5"/>
    <n v="3"/>
    <x v="2"/>
    <x v="10"/>
    <x v="0"/>
    <n v="59.7"/>
  </r>
  <r>
    <x v="23"/>
    <x v="8"/>
    <x v="3"/>
    <x v="8"/>
    <x v="1"/>
    <x v="1986"/>
    <n v="48.9"/>
    <n v="92.53"/>
    <n v="97.25"/>
    <n v="78.16"/>
    <s v="IPX8"/>
    <n v="9.1"/>
    <n v="1.6"/>
    <x v="1"/>
    <x v="1"/>
    <x v="2"/>
    <n v="63.1"/>
  </r>
  <r>
    <x v="23"/>
    <x v="1"/>
    <x v="1"/>
    <x v="1"/>
    <x v="1"/>
    <x v="1987"/>
    <n v="22.6"/>
    <n v="95.01"/>
    <n v="97.93"/>
    <n v="76.3"/>
    <s v="5ATM"/>
    <n v="8.6999999999999993"/>
    <n v="2.2000000000000002"/>
    <x v="1"/>
    <x v="5"/>
    <x v="1"/>
    <n v="61.7"/>
  </r>
  <r>
    <x v="23"/>
    <x v="24"/>
    <x v="2"/>
    <x v="24"/>
    <x v="1"/>
    <x v="1988"/>
    <n v="57"/>
    <n v="95.56"/>
    <n v="94.3"/>
    <n v="76.989999999999995"/>
    <s v="IP68"/>
    <n v="9.3000000000000007"/>
    <n v="2.2999999999999998"/>
    <x v="1"/>
    <x v="5"/>
    <x v="0"/>
    <n v="62.9"/>
  </r>
  <r>
    <x v="23"/>
    <x v="6"/>
    <x v="5"/>
    <x v="6"/>
    <x v="1"/>
    <x v="1989"/>
    <n v="59.4"/>
    <n v="93.17"/>
    <n v="93.33"/>
    <n v="83.49"/>
    <s v="IP68"/>
    <n v="9"/>
    <n v="1.8"/>
    <x v="3"/>
    <x v="5"/>
    <x v="0"/>
    <n v="63.3"/>
  </r>
  <r>
    <x v="23"/>
    <x v="28"/>
    <x v="4"/>
    <x v="28"/>
    <x v="2"/>
    <x v="1990"/>
    <n v="1807.6"/>
    <n v="92.82"/>
    <n v="98.28"/>
    <n v="73.819999999999993"/>
    <s v="5ATM"/>
    <n v="8.1"/>
    <n v="4.4000000000000004"/>
    <x v="0"/>
    <x v="2"/>
    <x v="0"/>
    <n v="61.4"/>
  </r>
  <r>
    <x v="23"/>
    <x v="9"/>
    <x v="6"/>
    <x v="9"/>
    <x v="3"/>
    <x v="9"/>
    <n v="142.80000000000001"/>
    <n v="89.22"/>
    <n v="94.62"/>
    <n v="74.849999999999994"/>
    <s v="IPX7"/>
    <n v="6.3"/>
    <m/>
    <x v="2"/>
    <x v="0"/>
    <x v="2"/>
    <n v="67.7"/>
  </r>
  <r>
    <x v="23"/>
    <x v="12"/>
    <x v="8"/>
    <x v="12"/>
    <x v="1"/>
    <x v="1991"/>
    <n v="42.4"/>
    <n v="93.49"/>
    <n v="95.33"/>
    <n v="81.47"/>
    <s v="5ATM"/>
    <n v="7"/>
    <n v="2"/>
    <x v="1"/>
    <x v="4"/>
    <x v="2"/>
    <n v="59.6"/>
  </r>
  <r>
    <x v="23"/>
    <x v="18"/>
    <x v="4"/>
    <x v="18"/>
    <x v="2"/>
    <x v="1992"/>
    <n v="321.89999999999998"/>
    <n v="92.11"/>
    <n v="98.15"/>
    <n v="72.94"/>
    <s v="IP68"/>
    <n v="9.1"/>
    <n v="2.1"/>
    <x v="2"/>
    <x v="0"/>
    <x v="0"/>
    <n v="64.3"/>
  </r>
  <r>
    <x v="23"/>
    <x v="22"/>
    <x v="8"/>
    <x v="22"/>
    <x v="1"/>
    <x v="1993"/>
    <n v="27.6"/>
    <n v="96.29"/>
    <n v="96.57"/>
    <n v="80.319999999999993"/>
    <s v="IPX8"/>
    <n v="9"/>
    <n v="4.4000000000000004"/>
    <x v="3"/>
    <x v="6"/>
    <x v="0"/>
    <n v="61.5"/>
  </r>
  <r>
    <x v="23"/>
    <x v="21"/>
    <x v="1"/>
    <x v="21"/>
    <x v="1"/>
    <x v="1994"/>
    <n v="20.8"/>
    <n v="96.47"/>
    <n v="96.53"/>
    <n v="79.72"/>
    <s v="IP68"/>
    <n v="7.2"/>
    <n v="2.1"/>
    <x v="3"/>
    <x v="9"/>
    <x v="1"/>
    <n v="59.8"/>
  </r>
  <r>
    <x v="23"/>
    <x v="23"/>
    <x v="8"/>
    <x v="23"/>
    <x v="1"/>
    <x v="1995"/>
    <n v="64.099999999999994"/>
    <n v="97.83"/>
    <n v="96.65"/>
    <n v="77.42"/>
    <s v="5ATM"/>
    <n v="6.1"/>
    <n v="2"/>
    <x v="3"/>
    <x v="10"/>
    <x v="0"/>
    <n v="58.8"/>
  </r>
  <r>
    <x v="23"/>
    <x v="10"/>
    <x v="7"/>
    <x v="10"/>
    <x v="4"/>
    <x v="1996"/>
    <n v="178.7"/>
    <n v="89.51"/>
    <n v="93.05"/>
    <n v="85.78"/>
    <s v="IPX7"/>
    <n v="9.3000000000000007"/>
    <m/>
    <x v="2"/>
    <x v="8"/>
    <x v="2"/>
    <n v="76.3"/>
  </r>
  <r>
    <x v="23"/>
    <x v="26"/>
    <x v="9"/>
    <x v="26"/>
    <x v="1"/>
    <x v="1997"/>
    <n v="36.799999999999997"/>
    <n v="92.07"/>
    <n v="94.97"/>
    <n v="84.85"/>
    <s v="IPX8"/>
    <n v="6.5"/>
    <n v="4.5999999999999996"/>
    <x v="1"/>
    <x v="6"/>
    <x v="0"/>
    <n v="57.1"/>
  </r>
  <r>
    <x v="23"/>
    <x v="3"/>
    <x v="2"/>
    <x v="3"/>
    <x v="1"/>
    <x v="1998"/>
    <n v="51.9"/>
    <n v="95.97"/>
    <n v="95.29"/>
    <n v="82.79"/>
    <s v="5ATM"/>
    <n v="8.1999999999999993"/>
    <n v="2.6"/>
    <x v="3"/>
    <x v="6"/>
    <x v="0"/>
    <n v="62"/>
  </r>
  <r>
    <x v="23"/>
    <x v="26"/>
    <x v="9"/>
    <x v="26"/>
    <x v="2"/>
    <x v="1999"/>
    <n v="161.5"/>
    <n v="95.7"/>
    <n v="93.25"/>
    <n v="76.290000000000006"/>
    <s v="IPX8"/>
    <n v="8.3000000000000007"/>
    <n v="3.6"/>
    <x v="2"/>
    <x v="2"/>
    <x v="2"/>
    <n v="62.2"/>
  </r>
  <r>
    <x v="23"/>
    <x v="22"/>
    <x v="8"/>
    <x v="22"/>
    <x v="1"/>
    <x v="2000"/>
    <n v="31.9"/>
    <n v="94.84"/>
    <n v="93.41"/>
    <n v="84.57"/>
    <s v="IP68"/>
    <n v="8.6"/>
    <n v="4.7"/>
    <x v="1"/>
    <x v="1"/>
    <x v="0"/>
    <n v="60.6"/>
  </r>
  <r>
    <x v="23"/>
    <x v="13"/>
    <x v="0"/>
    <x v="13"/>
    <x v="0"/>
    <x v="2001"/>
    <n v="104.6"/>
    <n v="94.21"/>
    <n v="93.16"/>
    <n v="73.42"/>
    <s v="IPX4"/>
    <n v="7.9"/>
    <m/>
    <x v="2"/>
    <x v="12"/>
    <x v="0"/>
    <n v="70.400000000000006"/>
  </r>
  <r>
    <x v="23"/>
    <x v="3"/>
    <x v="2"/>
    <x v="3"/>
    <x v="2"/>
    <x v="2002"/>
    <n v="213.6"/>
    <n v="92.49"/>
    <n v="96.42"/>
    <n v="79.099999999999994"/>
    <s v="IPX8"/>
    <n v="7.7"/>
    <n v="2.4"/>
    <x v="2"/>
    <x v="0"/>
    <x v="0"/>
    <n v="62.6"/>
  </r>
  <r>
    <x v="23"/>
    <x v="27"/>
    <x v="9"/>
    <x v="27"/>
    <x v="2"/>
    <x v="2003"/>
    <n v="151.4"/>
    <n v="95.7"/>
    <n v="94.38"/>
    <n v="73.89"/>
    <s v="5ATM"/>
    <n v="7.2"/>
    <n v="3.1"/>
    <x v="2"/>
    <x v="12"/>
    <x v="0"/>
    <n v="60.3"/>
  </r>
  <r>
    <x v="23"/>
    <x v="9"/>
    <x v="6"/>
    <x v="9"/>
    <x v="3"/>
    <x v="9"/>
    <n v="149.19999999999999"/>
    <n v="86.53"/>
    <n v="96.66"/>
    <n v="75.069999999999993"/>
    <s v="IPX4"/>
    <n v="7.1"/>
    <m/>
    <x v="2"/>
    <x v="8"/>
    <x v="2"/>
    <n v="69.400000000000006"/>
  </r>
  <r>
    <x v="23"/>
    <x v="2"/>
    <x v="0"/>
    <x v="2"/>
    <x v="2"/>
    <x v="2004"/>
    <n v="228.4"/>
    <n v="92.79"/>
    <n v="94.44"/>
    <n v="70.930000000000007"/>
    <s v="IPX8"/>
    <n v="7"/>
    <n v="2.7"/>
    <x v="2"/>
    <x v="6"/>
    <x v="0"/>
    <n v="59.6"/>
  </r>
  <r>
    <x v="23"/>
    <x v="9"/>
    <x v="6"/>
    <x v="9"/>
    <x v="3"/>
    <x v="9"/>
    <n v="124.2"/>
    <n v="90.39"/>
    <n v="94.58"/>
    <n v="75.34"/>
    <s v="3ATM"/>
    <n v="6"/>
    <m/>
    <x v="2"/>
    <x v="13"/>
    <x v="2"/>
    <n v="67"/>
  </r>
  <r>
    <x v="23"/>
    <x v="1"/>
    <x v="1"/>
    <x v="1"/>
    <x v="1"/>
    <x v="2005"/>
    <n v="52"/>
    <n v="94.33"/>
    <n v="98.32"/>
    <n v="82.61"/>
    <s v="IPX8"/>
    <n v="8"/>
    <n v="3.7"/>
    <x v="3"/>
    <x v="1"/>
    <x v="1"/>
    <n v="61.1"/>
  </r>
  <r>
    <x v="23"/>
    <x v="15"/>
    <x v="8"/>
    <x v="15"/>
    <x v="1"/>
    <x v="2006"/>
    <n v="59.4"/>
    <n v="93.15"/>
    <n v="94.75"/>
    <n v="80.41"/>
    <s v="IPX8"/>
    <n v="8.6"/>
    <n v="3.5"/>
    <x v="3"/>
    <x v="7"/>
    <x v="2"/>
    <n v="61.2"/>
  </r>
  <r>
    <x v="23"/>
    <x v="1"/>
    <x v="1"/>
    <x v="1"/>
    <x v="1"/>
    <x v="2007"/>
    <n v="70.5"/>
    <n v="95.09"/>
    <n v="97.71"/>
    <n v="77.489999999999995"/>
    <s v="5ATM"/>
    <n v="9.3000000000000007"/>
    <n v="4"/>
    <x v="1"/>
    <x v="7"/>
    <x v="1"/>
    <n v="62.6"/>
  </r>
  <r>
    <x v="23"/>
    <x v="14"/>
    <x v="9"/>
    <x v="14"/>
    <x v="1"/>
    <x v="2008"/>
    <n v="56"/>
    <n v="92.44"/>
    <n v="93.57"/>
    <n v="79.37"/>
    <s v="IP68"/>
    <n v="8"/>
    <n v="3.3"/>
    <x v="1"/>
    <x v="5"/>
    <x v="2"/>
    <n v="59.8"/>
  </r>
  <r>
    <x v="23"/>
    <x v="3"/>
    <x v="2"/>
    <x v="3"/>
    <x v="1"/>
    <x v="2009"/>
    <n v="44.1"/>
    <n v="97.4"/>
    <n v="93.33"/>
    <n v="78.36"/>
    <s v="5ATM"/>
    <n v="8.3000000000000007"/>
    <n v="4.9000000000000004"/>
    <x v="3"/>
    <x v="4"/>
    <x v="0"/>
    <n v="59.6"/>
  </r>
  <r>
    <x v="23"/>
    <x v="17"/>
    <x v="3"/>
    <x v="17"/>
    <x v="1"/>
    <x v="2010"/>
    <n v="22.6"/>
    <n v="92.55"/>
    <n v="97.51"/>
    <n v="81.459999999999994"/>
    <s v="IP68"/>
    <n v="8.4"/>
    <n v="3.3"/>
    <x v="3"/>
    <x v="3"/>
    <x v="2"/>
    <n v="60.8"/>
  </r>
  <r>
    <x v="23"/>
    <x v="14"/>
    <x v="9"/>
    <x v="14"/>
    <x v="1"/>
    <x v="2011"/>
    <n v="56.7"/>
    <n v="96.68"/>
    <n v="96.87"/>
    <n v="84.13"/>
    <s v="IPX8"/>
    <n v="6.2"/>
    <n v="2.2999999999999998"/>
    <x v="3"/>
    <x v="1"/>
    <x v="0"/>
    <n v="59.5"/>
  </r>
  <r>
    <x v="23"/>
    <x v="18"/>
    <x v="4"/>
    <x v="18"/>
    <x v="2"/>
    <x v="2012"/>
    <n v="641.29999999999995"/>
    <n v="94.28"/>
    <n v="98.04"/>
    <n v="78.39"/>
    <s v="IP68"/>
    <n v="8.6"/>
    <n v="4.0999999999999996"/>
    <x v="2"/>
    <x v="0"/>
    <x v="0"/>
    <n v="63.4"/>
  </r>
  <r>
    <x v="23"/>
    <x v="10"/>
    <x v="7"/>
    <x v="10"/>
    <x v="4"/>
    <x v="2013"/>
    <n v="179.3"/>
    <n v="87.72"/>
    <n v="94.77"/>
    <n v="89.78"/>
    <s v="IPX7"/>
    <n v="7.7"/>
    <m/>
    <x v="2"/>
    <x v="8"/>
    <x v="2"/>
    <n v="73.900000000000006"/>
  </r>
  <r>
    <x v="23"/>
    <x v="24"/>
    <x v="2"/>
    <x v="24"/>
    <x v="2"/>
    <x v="2014"/>
    <n v="235.4"/>
    <n v="96.34"/>
    <n v="94.85"/>
    <n v="78.77"/>
    <s v="IPX8"/>
    <n v="8.1999999999999993"/>
    <n v="3.3"/>
    <x v="2"/>
    <x v="0"/>
    <x v="0"/>
    <n v="63.1"/>
  </r>
  <r>
    <x v="23"/>
    <x v="4"/>
    <x v="3"/>
    <x v="4"/>
    <x v="1"/>
    <x v="2015"/>
    <n v="57.1"/>
    <n v="95.45"/>
    <n v="96.93"/>
    <n v="78.06"/>
    <s v="IP68"/>
    <n v="8.5"/>
    <n v="3.6"/>
    <x v="3"/>
    <x v="3"/>
    <x v="2"/>
    <n v="61.3"/>
  </r>
  <r>
    <x v="23"/>
    <x v="10"/>
    <x v="7"/>
    <x v="10"/>
    <x v="4"/>
    <x v="2016"/>
    <n v="190.5"/>
    <n v="87.28"/>
    <n v="95.08"/>
    <n v="91.89"/>
    <s v="IPX7"/>
    <n v="7"/>
    <m/>
    <x v="2"/>
    <x v="11"/>
    <x v="0"/>
    <n v="72.8"/>
  </r>
  <r>
    <x v="23"/>
    <x v="4"/>
    <x v="3"/>
    <x v="4"/>
    <x v="1"/>
    <x v="2017"/>
    <n v="30.8"/>
    <n v="94.2"/>
    <n v="97.8"/>
    <n v="82.99"/>
    <s v="5ATM"/>
    <n v="8.4"/>
    <n v="2.6"/>
    <x v="3"/>
    <x v="3"/>
    <x v="2"/>
    <n v="62"/>
  </r>
  <r>
    <x v="23"/>
    <x v="3"/>
    <x v="2"/>
    <x v="3"/>
    <x v="2"/>
    <x v="2018"/>
    <n v="93.1"/>
    <n v="93.88"/>
    <n v="94.09"/>
    <n v="72.09"/>
    <s v="5ATM"/>
    <n v="8.5"/>
    <n v="3"/>
    <x v="0"/>
    <x v="1"/>
    <x v="0"/>
    <n v="60.7"/>
  </r>
  <r>
    <x v="23"/>
    <x v="17"/>
    <x v="3"/>
    <x v="17"/>
    <x v="1"/>
    <x v="2019"/>
    <n v="35.9"/>
    <n v="95.85"/>
    <n v="96.91"/>
    <n v="83.49"/>
    <s v="5ATM"/>
    <n v="7.5"/>
    <n v="1.6"/>
    <x v="1"/>
    <x v="3"/>
    <x v="2"/>
    <n v="61.5"/>
  </r>
  <r>
    <x v="23"/>
    <x v="5"/>
    <x v="4"/>
    <x v="5"/>
    <x v="2"/>
    <x v="2020"/>
    <n v="377.3"/>
    <n v="94.79"/>
    <n v="98.28"/>
    <n v="70.38"/>
    <s v="5ATM"/>
    <n v="9.3000000000000007"/>
    <n v="1.7"/>
    <x v="2"/>
    <x v="2"/>
    <x v="0"/>
    <n v="64.900000000000006"/>
  </r>
  <r>
    <x v="23"/>
    <x v="24"/>
    <x v="2"/>
    <x v="24"/>
    <x v="1"/>
    <x v="2021"/>
    <n v="36.200000000000003"/>
    <n v="95.82"/>
    <n v="96.37"/>
    <n v="81.05"/>
    <s v="IPX8"/>
    <n v="7.2"/>
    <n v="2.4"/>
    <x v="3"/>
    <x v="1"/>
    <x v="0"/>
    <n v="60"/>
  </r>
  <r>
    <x v="23"/>
    <x v="9"/>
    <x v="6"/>
    <x v="9"/>
    <x v="3"/>
    <x v="9"/>
    <n v="123.7"/>
    <n v="90.3"/>
    <n v="93.29"/>
    <n v="74.709999999999994"/>
    <s v="IPX4"/>
    <n v="8"/>
    <m/>
    <x v="2"/>
    <x v="11"/>
    <x v="2"/>
    <n v="70.599999999999994"/>
  </r>
  <r>
    <x v="23"/>
    <x v="9"/>
    <x v="6"/>
    <x v="9"/>
    <x v="3"/>
    <x v="9"/>
    <n v="153.1"/>
    <n v="85.65"/>
    <n v="93.24"/>
    <n v="77.540000000000006"/>
    <s v="3ATM"/>
    <n v="7.5"/>
    <m/>
    <x v="2"/>
    <x v="8"/>
    <x v="2"/>
    <n v="69.900000000000006"/>
  </r>
  <r>
    <x v="23"/>
    <x v="9"/>
    <x v="6"/>
    <x v="9"/>
    <x v="3"/>
    <x v="9"/>
    <n v="158.4"/>
    <n v="89.5"/>
    <n v="93.35"/>
    <n v="71.239999999999995"/>
    <s v="3ATM"/>
    <n v="7.4"/>
    <m/>
    <x v="2"/>
    <x v="0"/>
    <x v="2"/>
    <n v="69.400000000000006"/>
  </r>
  <r>
    <x v="23"/>
    <x v="3"/>
    <x v="2"/>
    <x v="3"/>
    <x v="2"/>
    <x v="2022"/>
    <n v="73.2"/>
    <n v="96.12"/>
    <n v="93.2"/>
    <n v="71.86"/>
    <s v="5ATM"/>
    <n v="8.5"/>
    <n v="3.9"/>
    <x v="0"/>
    <x v="10"/>
    <x v="0"/>
    <n v="59.9"/>
  </r>
  <r>
    <x v="23"/>
    <x v="3"/>
    <x v="2"/>
    <x v="3"/>
    <x v="1"/>
    <x v="2023"/>
    <n v="47.2"/>
    <n v="97.84"/>
    <n v="94.28"/>
    <n v="79.37"/>
    <s v="IPX8"/>
    <n v="8.1999999999999993"/>
    <n v="4.3"/>
    <x v="1"/>
    <x v="3"/>
    <x v="0"/>
    <n v="60.3"/>
  </r>
  <r>
    <x v="24"/>
    <x v="1"/>
    <x v="1"/>
    <x v="1"/>
    <x v="1"/>
    <x v="2024"/>
    <n v="18.7"/>
    <n v="94.99"/>
    <n v="97.25"/>
    <n v="83.07"/>
    <s v="IP68"/>
    <n v="9.3000000000000007"/>
    <n v="2.2999999999999998"/>
    <x v="3"/>
    <x v="7"/>
    <x v="1"/>
    <n v="63.6"/>
  </r>
  <r>
    <x v="24"/>
    <x v="9"/>
    <x v="6"/>
    <x v="9"/>
    <x v="3"/>
    <x v="9"/>
    <n v="129.4"/>
    <n v="85.02"/>
    <n v="94.11"/>
    <n v="70.62"/>
    <s v="IPX4"/>
    <n v="7.9"/>
    <m/>
    <x v="2"/>
    <x v="11"/>
    <x v="2"/>
    <n v="68.8"/>
  </r>
  <r>
    <x v="24"/>
    <x v="12"/>
    <x v="8"/>
    <x v="12"/>
    <x v="1"/>
    <x v="2025"/>
    <n v="48.1"/>
    <n v="93.15"/>
    <n v="96.95"/>
    <n v="84.77"/>
    <s v="IP68"/>
    <n v="7.5"/>
    <n v="4.2"/>
    <x v="3"/>
    <x v="5"/>
    <x v="0"/>
    <n v="59.8"/>
  </r>
  <r>
    <x v="24"/>
    <x v="9"/>
    <x v="6"/>
    <x v="9"/>
    <x v="3"/>
    <x v="9"/>
    <n v="121.6"/>
    <n v="85.27"/>
    <n v="94.93"/>
    <n v="73.69"/>
    <s v="3ATM"/>
    <n v="7"/>
    <m/>
    <x v="2"/>
    <x v="13"/>
    <x v="2"/>
    <n v="67.7"/>
  </r>
  <r>
    <x v="24"/>
    <x v="10"/>
    <x v="7"/>
    <x v="10"/>
    <x v="4"/>
    <x v="2026"/>
    <n v="168.2"/>
    <n v="87.85"/>
    <n v="93.77"/>
    <n v="90.04"/>
    <s v="IPX7"/>
    <n v="8.5"/>
    <m/>
    <x v="2"/>
    <x v="11"/>
    <x v="2"/>
    <n v="75.3"/>
  </r>
  <r>
    <x v="24"/>
    <x v="1"/>
    <x v="1"/>
    <x v="1"/>
    <x v="1"/>
    <x v="2027"/>
    <n v="33.9"/>
    <n v="97.99"/>
    <n v="98.3"/>
    <n v="76.11"/>
    <s v="5ATM"/>
    <n v="7"/>
    <n v="4.4000000000000004"/>
    <x v="3"/>
    <x v="4"/>
    <x v="1"/>
    <n v="58.1"/>
  </r>
  <r>
    <x v="24"/>
    <x v="10"/>
    <x v="7"/>
    <x v="10"/>
    <x v="4"/>
    <x v="2028"/>
    <n v="185.9"/>
    <n v="88.83"/>
    <n v="93.9"/>
    <n v="86.9"/>
    <s v="IPX8"/>
    <n v="8.6"/>
    <m/>
    <x v="2"/>
    <x v="0"/>
    <x v="0"/>
    <n v="75.099999999999994"/>
  </r>
  <r>
    <x v="24"/>
    <x v="8"/>
    <x v="3"/>
    <x v="8"/>
    <x v="1"/>
    <x v="2029"/>
    <n v="49.1"/>
    <n v="97.07"/>
    <n v="96.41"/>
    <n v="75.59"/>
    <s v="IPX8"/>
    <n v="8.6999999999999993"/>
    <n v="3.9"/>
    <x v="1"/>
    <x v="1"/>
    <x v="2"/>
    <n v="61.1"/>
  </r>
  <r>
    <x v="24"/>
    <x v="25"/>
    <x v="5"/>
    <x v="25"/>
    <x v="1"/>
    <x v="2030"/>
    <n v="43.7"/>
    <n v="94.91"/>
    <n v="96.38"/>
    <n v="83.21"/>
    <s v="IP68"/>
    <n v="9.3000000000000007"/>
    <n v="2"/>
    <x v="1"/>
    <x v="10"/>
    <x v="0"/>
    <n v="64.099999999999994"/>
  </r>
  <r>
    <x v="24"/>
    <x v="19"/>
    <x v="9"/>
    <x v="19"/>
    <x v="0"/>
    <x v="2031"/>
    <n v="97.3"/>
    <n v="92.8"/>
    <n v="94.2"/>
    <n v="74.349999999999994"/>
    <s v="IPX7"/>
    <n v="7.7"/>
    <m/>
    <x v="0"/>
    <x v="10"/>
    <x v="2"/>
    <n v="70"/>
  </r>
  <r>
    <x v="24"/>
    <x v="17"/>
    <x v="3"/>
    <x v="17"/>
    <x v="1"/>
    <x v="2032"/>
    <n v="70.599999999999994"/>
    <n v="96.06"/>
    <n v="97.62"/>
    <n v="82.14"/>
    <s v="IPX8"/>
    <n v="8.8000000000000007"/>
    <n v="3.8"/>
    <x v="1"/>
    <x v="7"/>
    <x v="2"/>
    <n v="62.8"/>
  </r>
  <r>
    <x v="24"/>
    <x v="11"/>
    <x v="1"/>
    <x v="11"/>
    <x v="1"/>
    <x v="2033"/>
    <n v="37.299999999999997"/>
    <n v="92.95"/>
    <n v="98.07"/>
    <n v="83.94"/>
    <s v="5ATM"/>
    <n v="9.1999999999999993"/>
    <n v="2.7"/>
    <x v="1"/>
    <x v="5"/>
    <x v="1"/>
    <n v="63.4"/>
  </r>
  <r>
    <x v="24"/>
    <x v="7"/>
    <x v="4"/>
    <x v="7"/>
    <x v="1"/>
    <x v="2034"/>
    <n v="461.8"/>
    <n v="92.44"/>
    <n v="99.04"/>
    <n v="82.5"/>
    <s v="5ATM"/>
    <n v="8.5"/>
    <n v="2.9"/>
    <x v="1"/>
    <x v="1"/>
    <x v="0"/>
    <n v="64.599999999999994"/>
  </r>
  <r>
    <x v="24"/>
    <x v="20"/>
    <x v="0"/>
    <x v="20"/>
    <x v="2"/>
    <x v="2035"/>
    <n v="222.5"/>
    <n v="94.76"/>
    <n v="95.47"/>
    <n v="75.94"/>
    <s v="5ATM"/>
    <n v="7.4"/>
    <n v="3"/>
    <x v="0"/>
    <x v="6"/>
    <x v="0"/>
    <n v="61.4"/>
  </r>
  <r>
    <x v="24"/>
    <x v="25"/>
    <x v="5"/>
    <x v="25"/>
    <x v="1"/>
    <x v="2036"/>
    <n v="43"/>
    <n v="95.33"/>
    <n v="96.29"/>
    <n v="76.760000000000005"/>
    <s v="IPX8"/>
    <n v="7.1"/>
    <n v="1.9"/>
    <x v="3"/>
    <x v="4"/>
    <x v="0"/>
    <n v="59.5"/>
  </r>
  <r>
    <x v="24"/>
    <x v="2"/>
    <x v="0"/>
    <x v="2"/>
    <x v="1"/>
    <x v="2037"/>
    <n v="58.4"/>
    <n v="94.05"/>
    <n v="95.22"/>
    <n v="76.78"/>
    <s v="IPX8"/>
    <n v="6.7"/>
    <n v="4.5999999999999996"/>
    <x v="1"/>
    <x v="5"/>
    <x v="0"/>
    <n v="56.9"/>
  </r>
  <r>
    <x v="24"/>
    <x v="8"/>
    <x v="3"/>
    <x v="8"/>
    <x v="1"/>
    <x v="2038"/>
    <n v="50.9"/>
    <n v="94.1"/>
    <n v="97"/>
    <n v="82.7"/>
    <s v="IPX8"/>
    <n v="7.4"/>
    <n v="3.6"/>
    <x v="3"/>
    <x v="4"/>
    <x v="2"/>
    <n v="59.9"/>
  </r>
  <r>
    <x v="24"/>
    <x v="6"/>
    <x v="5"/>
    <x v="6"/>
    <x v="1"/>
    <x v="2039"/>
    <n v="53.6"/>
    <n v="97.41"/>
    <n v="95.16"/>
    <n v="75.010000000000005"/>
    <s v="IP68"/>
    <n v="8"/>
    <n v="3.3"/>
    <x v="1"/>
    <x v="1"/>
    <x v="0"/>
    <n v="60.1"/>
  </r>
  <r>
    <x v="24"/>
    <x v="24"/>
    <x v="2"/>
    <x v="24"/>
    <x v="2"/>
    <x v="2040"/>
    <n v="85.9"/>
    <n v="94.67"/>
    <n v="95.13"/>
    <n v="70.19"/>
    <s v="5ATM"/>
    <n v="7"/>
    <n v="4.7"/>
    <x v="2"/>
    <x v="6"/>
    <x v="0"/>
    <n v="56.9"/>
  </r>
  <r>
    <x v="24"/>
    <x v="22"/>
    <x v="8"/>
    <x v="22"/>
    <x v="1"/>
    <x v="2041"/>
    <n v="47.3"/>
    <n v="93.82"/>
    <n v="96.94"/>
    <n v="83.07"/>
    <s v="IP68"/>
    <n v="8"/>
    <n v="4.4000000000000004"/>
    <x v="1"/>
    <x v="6"/>
    <x v="2"/>
    <n v="60.3"/>
  </r>
  <r>
    <x v="24"/>
    <x v="2"/>
    <x v="0"/>
    <x v="2"/>
    <x v="2"/>
    <x v="2042"/>
    <n v="161.19999999999999"/>
    <n v="94.55"/>
    <n v="95.98"/>
    <n v="73.31"/>
    <s v="IP68"/>
    <n v="6.9"/>
    <n v="2.6"/>
    <x v="2"/>
    <x v="10"/>
    <x v="0"/>
    <n v="60.3"/>
  </r>
  <r>
    <x v="24"/>
    <x v="18"/>
    <x v="4"/>
    <x v="18"/>
    <x v="2"/>
    <x v="2043"/>
    <n v="266.39999999999998"/>
    <n v="93.84"/>
    <n v="98.12"/>
    <n v="76.180000000000007"/>
    <s v="IP68"/>
    <n v="9.1999999999999993"/>
    <n v="1.6"/>
    <x v="0"/>
    <x v="10"/>
    <x v="0"/>
    <n v="65.599999999999994"/>
  </r>
  <r>
    <x v="24"/>
    <x v="23"/>
    <x v="8"/>
    <x v="23"/>
    <x v="1"/>
    <x v="2044"/>
    <n v="40.6"/>
    <n v="92.97"/>
    <n v="93.8"/>
    <n v="81.05"/>
    <s v="IPX8"/>
    <n v="8.1"/>
    <n v="3.2"/>
    <x v="1"/>
    <x v="6"/>
    <x v="2"/>
    <n v="60.1"/>
  </r>
  <r>
    <x v="24"/>
    <x v="3"/>
    <x v="2"/>
    <x v="3"/>
    <x v="1"/>
    <x v="2045"/>
    <n v="30.8"/>
    <n v="92.73"/>
    <n v="93.95"/>
    <n v="81.39"/>
    <s v="IP68"/>
    <n v="8.6999999999999993"/>
    <n v="1.9"/>
    <x v="3"/>
    <x v="1"/>
    <x v="0"/>
    <n v="61.9"/>
  </r>
  <r>
    <x v="24"/>
    <x v="15"/>
    <x v="8"/>
    <x v="15"/>
    <x v="1"/>
    <x v="2046"/>
    <n v="28.3"/>
    <n v="94.14"/>
    <n v="96.12"/>
    <n v="83.66"/>
    <s v="IPX8"/>
    <n v="8.4"/>
    <n v="4.3"/>
    <x v="1"/>
    <x v="4"/>
    <x v="0"/>
    <n v="60.7"/>
  </r>
  <r>
    <x v="24"/>
    <x v="4"/>
    <x v="3"/>
    <x v="4"/>
    <x v="1"/>
    <x v="2047"/>
    <n v="46.8"/>
    <n v="97.73"/>
    <n v="96.23"/>
    <n v="83.92"/>
    <s v="5ATM"/>
    <n v="8.1"/>
    <n v="5"/>
    <x v="3"/>
    <x v="6"/>
    <x v="2"/>
    <n v="60.7"/>
  </r>
  <r>
    <x v="24"/>
    <x v="20"/>
    <x v="0"/>
    <x v="20"/>
    <x v="2"/>
    <x v="2048"/>
    <n v="193.1"/>
    <n v="93.14"/>
    <n v="93.64"/>
    <n v="79.959999999999994"/>
    <s v="IPX8"/>
    <n v="7.7"/>
    <n v="2.6"/>
    <x v="2"/>
    <x v="1"/>
    <x v="0"/>
    <n v="62.2"/>
  </r>
  <r>
    <x v="24"/>
    <x v="25"/>
    <x v="5"/>
    <x v="25"/>
    <x v="1"/>
    <x v="2049"/>
    <n v="64"/>
    <n v="95.8"/>
    <n v="96.74"/>
    <n v="83.07"/>
    <s v="IPX8"/>
    <n v="8.9"/>
    <n v="4.5999999999999996"/>
    <x v="3"/>
    <x v="1"/>
    <x v="2"/>
    <n v="62.3"/>
  </r>
  <r>
    <x v="24"/>
    <x v="1"/>
    <x v="1"/>
    <x v="1"/>
    <x v="1"/>
    <x v="2050"/>
    <n v="46.3"/>
    <n v="96.33"/>
    <n v="97.94"/>
    <n v="78.8"/>
    <s v="IP68"/>
    <n v="8.4"/>
    <n v="3.5"/>
    <x v="3"/>
    <x v="5"/>
    <x v="1"/>
    <n v="61.4"/>
  </r>
  <r>
    <x v="24"/>
    <x v="9"/>
    <x v="6"/>
    <x v="9"/>
    <x v="3"/>
    <x v="9"/>
    <n v="152.80000000000001"/>
    <n v="89.63"/>
    <n v="95.16"/>
    <n v="76.540000000000006"/>
    <s v="IPX7"/>
    <n v="6.2"/>
    <m/>
    <x v="2"/>
    <x v="0"/>
    <x v="2"/>
    <n v="68.3"/>
  </r>
  <r>
    <x v="24"/>
    <x v="3"/>
    <x v="2"/>
    <x v="3"/>
    <x v="1"/>
    <x v="2051"/>
    <n v="68.8"/>
    <n v="96.03"/>
    <n v="96.14"/>
    <n v="78.19"/>
    <s v="IPX8"/>
    <n v="8.6"/>
    <n v="2.5"/>
    <x v="1"/>
    <x v="7"/>
    <x v="0"/>
    <n v="62.4"/>
  </r>
  <r>
    <x v="24"/>
    <x v="9"/>
    <x v="6"/>
    <x v="9"/>
    <x v="3"/>
    <x v="9"/>
    <n v="153.5"/>
    <n v="85.8"/>
    <n v="93.83"/>
    <n v="78.23"/>
    <s v="IPX7"/>
    <n v="6.2"/>
    <m/>
    <x v="2"/>
    <x v="0"/>
    <x v="0"/>
    <n v="67.599999999999994"/>
  </r>
  <r>
    <x v="24"/>
    <x v="10"/>
    <x v="7"/>
    <x v="10"/>
    <x v="4"/>
    <x v="2052"/>
    <n v="191.1"/>
    <n v="88.19"/>
    <n v="93.87"/>
    <n v="88.69"/>
    <s v="IPX7"/>
    <n v="9.4"/>
    <m/>
    <x v="2"/>
    <x v="12"/>
    <x v="0"/>
    <n v="77"/>
  </r>
  <r>
    <x v="24"/>
    <x v="25"/>
    <x v="5"/>
    <x v="25"/>
    <x v="2"/>
    <x v="2053"/>
    <n v="125.1"/>
    <n v="94.08"/>
    <n v="95.26"/>
    <n v="76.430000000000007"/>
    <s v="5ATM"/>
    <n v="8.4"/>
    <n v="3.1"/>
    <x v="2"/>
    <x v="0"/>
    <x v="2"/>
    <n v="62"/>
  </r>
  <r>
    <x v="24"/>
    <x v="17"/>
    <x v="3"/>
    <x v="17"/>
    <x v="1"/>
    <x v="2054"/>
    <n v="38.5"/>
    <n v="96.7"/>
    <n v="96.39"/>
    <n v="78.900000000000006"/>
    <s v="IPX8"/>
    <n v="7.2"/>
    <n v="1.5"/>
    <x v="1"/>
    <x v="9"/>
    <x v="2"/>
    <n v="60.4"/>
  </r>
  <r>
    <x v="24"/>
    <x v="17"/>
    <x v="3"/>
    <x v="17"/>
    <x v="1"/>
    <x v="2055"/>
    <n v="18.3"/>
    <n v="94.23"/>
    <n v="97.91"/>
    <n v="83.82"/>
    <s v="IP68"/>
    <n v="8.1"/>
    <n v="3.7"/>
    <x v="3"/>
    <x v="3"/>
    <x v="2"/>
    <n v="60.7"/>
  </r>
  <r>
    <x v="24"/>
    <x v="4"/>
    <x v="3"/>
    <x v="4"/>
    <x v="1"/>
    <x v="2056"/>
    <n v="65.5"/>
    <n v="96.69"/>
    <n v="96.4"/>
    <n v="84.24"/>
    <s v="5ATM"/>
    <n v="8.9"/>
    <n v="2.1"/>
    <x v="1"/>
    <x v="7"/>
    <x v="2"/>
    <n v="64.3"/>
  </r>
  <r>
    <x v="24"/>
    <x v="18"/>
    <x v="4"/>
    <x v="18"/>
    <x v="2"/>
    <x v="2057"/>
    <n v="408.6"/>
    <n v="94.25"/>
    <n v="99.24"/>
    <n v="77.89"/>
    <s v="IP68"/>
    <n v="9"/>
    <n v="3.9"/>
    <x v="2"/>
    <x v="0"/>
    <x v="0"/>
    <n v="64.3"/>
  </r>
  <r>
    <x v="24"/>
    <x v="3"/>
    <x v="2"/>
    <x v="3"/>
    <x v="2"/>
    <x v="2058"/>
    <n v="115.5"/>
    <n v="96.12"/>
    <n v="95.85"/>
    <n v="76.58"/>
    <s v="5ATM"/>
    <n v="7.6"/>
    <n v="4.0999999999999996"/>
    <x v="2"/>
    <x v="10"/>
    <x v="0"/>
    <n v="60.3"/>
  </r>
  <r>
    <x v="24"/>
    <x v="9"/>
    <x v="6"/>
    <x v="9"/>
    <x v="3"/>
    <x v="9"/>
    <n v="166.3"/>
    <n v="87.68"/>
    <n v="93.15"/>
    <n v="71.989999999999995"/>
    <s v="IPX7"/>
    <n v="7.9"/>
    <m/>
    <x v="2"/>
    <x v="11"/>
    <x v="2"/>
    <n v="70.3"/>
  </r>
  <r>
    <x v="24"/>
    <x v="24"/>
    <x v="2"/>
    <x v="24"/>
    <x v="1"/>
    <x v="2059"/>
    <n v="47"/>
    <n v="92.55"/>
    <n v="93.88"/>
    <n v="77.13"/>
    <s v="IPX8"/>
    <n v="7.5"/>
    <n v="2.5"/>
    <x v="3"/>
    <x v="7"/>
    <x v="0"/>
    <n v="59"/>
  </r>
  <r>
    <x v="24"/>
    <x v="27"/>
    <x v="9"/>
    <x v="27"/>
    <x v="2"/>
    <x v="2060"/>
    <n v="141.4"/>
    <n v="96.7"/>
    <n v="94.93"/>
    <n v="73.7"/>
    <s v="IP68"/>
    <n v="7.7"/>
    <n v="5"/>
    <x v="2"/>
    <x v="10"/>
    <x v="0"/>
    <n v="59.9"/>
  </r>
  <r>
    <x v="24"/>
    <x v="11"/>
    <x v="1"/>
    <x v="11"/>
    <x v="1"/>
    <x v="2061"/>
    <n v="63.8"/>
    <n v="92.34"/>
    <n v="96.01"/>
    <n v="79.599999999999994"/>
    <s v="IPX8"/>
    <n v="8.5"/>
    <n v="1.5"/>
    <x v="3"/>
    <x v="10"/>
    <x v="1"/>
    <n v="62.4"/>
  </r>
  <r>
    <x v="24"/>
    <x v="8"/>
    <x v="3"/>
    <x v="8"/>
    <x v="1"/>
    <x v="2062"/>
    <n v="30.7"/>
    <n v="96.68"/>
    <n v="97.51"/>
    <n v="83.35"/>
    <s v="5ATM"/>
    <n v="8.9"/>
    <n v="2.2999999999999998"/>
    <x v="3"/>
    <x v="3"/>
    <x v="2"/>
    <n v="63.5"/>
  </r>
  <r>
    <x v="24"/>
    <x v="26"/>
    <x v="9"/>
    <x v="26"/>
    <x v="1"/>
    <x v="2063"/>
    <n v="65.900000000000006"/>
    <n v="92.53"/>
    <n v="95.53"/>
    <n v="77.66"/>
    <s v="5ATM"/>
    <n v="7.9"/>
    <n v="3.6"/>
    <x v="1"/>
    <x v="5"/>
    <x v="2"/>
    <n v="59.7"/>
  </r>
  <r>
    <x v="24"/>
    <x v="17"/>
    <x v="3"/>
    <x v="17"/>
    <x v="1"/>
    <x v="2064"/>
    <n v="63.6"/>
    <n v="93.31"/>
    <n v="98.39"/>
    <n v="79.64"/>
    <s v="5ATM"/>
    <n v="9.4"/>
    <n v="3.9"/>
    <x v="3"/>
    <x v="4"/>
    <x v="2"/>
    <n v="62.9"/>
  </r>
  <r>
    <x v="24"/>
    <x v="9"/>
    <x v="6"/>
    <x v="9"/>
    <x v="3"/>
    <x v="9"/>
    <n v="159.1"/>
    <n v="86.08"/>
    <n v="94.89"/>
    <n v="70.31"/>
    <s v="IPX7"/>
    <n v="6.2"/>
    <m/>
    <x v="2"/>
    <x v="8"/>
    <x v="0"/>
    <n v="66.400000000000006"/>
  </r>
  <r>
    <x v="24"/>
    <x v="24"/>
    <x v="2"/>
    <x v="24"/>
    <x v="1"/>
    <x v="2065"/>
    <n v="44.5"/>
    <n v="95.72"/>
    <n v="95.27"/>
    <n v="75.86"/>
    <s v="IPX8"/>
    <n v="7.1"/>
    <n v="2.9"/>
    <x v="3"/>
    <x v="5"/>
    <x v="0"/>
    <n v="58.6"/>
  </r>
  <r>
    <x v="24"/>
    <x v="15"/>
    <x v="8"/>
    <x v="15"/>
    <x v="1"/>
    <x v="2066"/>
    <n v="57.6"/>
    <n v="97.62"/>
    <n v="95.92"/>
    <n v="80.83"/>
    <s v="IPX8"/>
    <n v="7.5"/>
    <n v="3.1"/>
    <x v="3"/>
    <x v="10"/>
    <x v="0"/>
    <n v="60.6"/>
  </r>
  <r>
    <x v="24"/>
    <x v="22"/>
    <x v="8"/>
    <x v="22"/>
    <x v="1"/>
    <x v="2067"/>
    <n v="48"/>
    <n v="96.27"/>
    <n v="94.28"/>
    <n v="78.25"/>
    <s v="5ATM"/>
    <n v="8.9"/>
    <n v="2.6"/>
    <x v="3"/>
    <x v="9"/>
    <x v="2"/>
    <n v="62.2"/>
  </r>
  <r>
    <x v="24"/>
    <x v="11"/>
    <x v="1"/>
    <x v="11"/>
    <x v="1"/>
    <x v="2068"/>
    <n v="59"/>
    <n v="95.19"/>
    <n v="97.23"/>
    <n v="79.31"/>
    <s v="IP68"/>
    <n v="8"/>
    <n v="1.8"/>
    <x v="3"/>
    <x v="10"/>
    <x v="1"/>
    <n v="61.9"/>
  </r>
  <r>
    <x v="24"/>
    <x v="12"/>
    <x v="8"/>
    <x v="12"/>
    <x v="1"/>
    <x v="2069"/>
    <n v="65.2"/>
    <n v="96.93"/>
    <n v="94.17"/>
    <n v="84.82"/>
    <s v="IPX8"/>
    <n v="6.3"/>
    <n v="4.8"/>
    <x v="1"/>
    <x v="3"/>
    <x v="2"/>
    <n v="57.9"/>
  </r>
  <r>
    <x v="24"/>
    <x v="3"/>
    <x v="2"/>
    <x v="3"/>
    <x v="2"/>
    <x v="2070"/>
    <n v="198.1"/>
    <n v="93.51"/>
    <n v="93.77"/>
    <n v="72.67"/>
    <s v="IP68"/>
    <n v="8.1999999999999993"/>
    <n v="3.6"/>
    <x v="0"/>
    <x v="6"/>
    <x v="0"/>
    <n v="61.3"/>
  </r>
  <r>
    <x v="24"/>
    <x v="15"/>
    <x v="8"/>
    <x v="15"/>
    <x v="1"/>
    <x v="2071"/>
    <n v="63"/>
    <n v="92.99"/>
    <n v="96.01"/>
    <n v="75.010000000000005"/>
    <s v="IP68"/>
    <n v="9.3000000000000007"/>
    <n v="3"/>
    <x v="1"/>
    <x v="4"/>
    <x v="2"/>
    <n v="62.1"/>
  </r>
  <r>
    <x v="24"/>
    <x v="3"/>
    <x v="2"/>
    <x v="3"/>
    <x v="1"/>
    <x v="2072"/>
    <n v="28.1"/>
    <n v="95.75"/>
    <n v="93.95"/>
    <n v="75.52"/>
    <s v="IPX8"/>
    <n v="8.3000000000000007"/>
    <n v="3.8"/>
    <x v="3"/>
    <x v="4"/>
    <x v="0"/>
    <n v="59.4"/>
  </r>
  <r>
    <x v="24"/>
    <x v="9"/>
    <x v="6"/>
    <x v="9"/>
    <x v="3"/>
    <x v="9"/>
    <n v="161.69999999999999"/>
    <n v="86.56"/>
    <n v="95.12"/>
    <n v="77.819999999999993"/>
    <s v="IPX7"/>
    <n v="6.2"/>
    <m/>
    <x v="2"/>
    <x v="13"/>
    <x v="0"/>
    <n v="68.2"/>
  </r>
  <r>
    <x v="24"/>
    <x v="3"/>
    <x v="2"/>
    <x v="3"/>
    <x v="2"/>
    <x v="2073"/>
    <n v="111.7"/>
    <n v="96.85"/>
    <n v="93.78"/>
    <n v="77.13"/>
    <s v="5ATM"/>
    <n v="9.1999999999999993"/>
    <n v="2.4"/>
    <x v="0"/>
    <x v="6"/>
    <x v="0"/>
    <n v="63.9"/>
  </r>
  <r>
    <x v="24"/>
    <x v="9"/>
    <x v="6"/>
    <x v="9"/>
    <x v="3"/>
    <x v="9"/>
    <n v="146.1"/>
    <n v="88.62"/>
    <n v="96.25"/>
    <n v="76.7"/>
    <s v="IPX7"/>
    <n v="6.2"/>
    <m/>
    <x v="2"/>
    <x v="13"/>
    <x v="2"/>
    <n v="68.2"/>
  </r>
  <r>
    <x v="24"/>
    <x v="9"/>
    <x v="6"/>
    <x v="9"/>
    <x v="3"/>
    <x v="9"/>
    <n v="123.6"/>
    <n v="89.64"/>
    <n v="95.49"/>
    <n v="70.27"/>
    <s v="3ATM"/>
    <n v="7.1"/>
    <m/>
    <x v="2"/>
    <x v="13"/>
    <x v="2"/>
    <n v="68.2"/>
  </r>
  <r>
    <x v="24"/>
    <x v="19"/>
    <x v="9"/>
    <x v="19"/>
    <x v="0"/>
    <x v="2074"/>
    <n v="103.1"/>
    <n v="94.45"/>
    <n v="94.9"/>
    <n v="77.95"/>
    <s v="IPX4"/>
    <n v="7.8"/>
    <m/>
    <x v="2"/>
    <x v="0"/>
    <x v="0"/>
    <n v="71.5"/>
  </r>
  <r>
    <x v="24"/>
    <x v="0"/>
    <x v="0"/>
    <x v="0"/>
    <x v="0"/>
    <x v="2075"/>
    <n v="176.8"/>
    <n v="94.33"/>
    <n v="94.59"/>
    <n v="76.349999999999994"/>
    <s v="IPX4"/>
    <n v="7.2"/>
    <m/>
    <x v="0"/>
    <x v="10"/>
    <x v="0"/>
    <n v="71.5"/>
  </r>
  <r>
    <x v="24"/>
    <x v="6"/>
    <x v="5"/>
    <x v="6"/>
    <x v="1"/>
    <x v="2076"/>
    <n v="69.900000000000006"/>
    <n v="95.07"/>
    <n v="94.02"/>
    <n v="80.39"/>
    <s v="IPX8"/>
    <n v="8.1999999999999993"/>
    <n v="3.5"/>
    <x v="1"/>
    <x v="10"/>
    <x v="2"/>
    <n v="61"/>
  </r>
  <r>
    <x v="24"/>
    <x v="16"/>
    <x v="4"/>
    <x v="16"/>
    <x v="1"/>
    <x v="2077"/>
    <n v="296.10000000000002"/>
    <n v="93.11"/>
    <n v="98.26"/>
    <n v="75.02"/>
    <s v="5ATM"/>
    <n v="7.4"/>
    <n v="2.9"/>
    <x v="1"/>
    <x v="6"/>
    <x v="0"/>
    <n v="61.5"/>
  </r>
  <r>
    <x v="24"/>
    <x v="9"/>
    <x v="6"/>
    <x v="9"/>
    <x v="3"/>
    <x v="9"/>
    <n v="156.4"/>
    <n v="86.97"/>
    <n v="94.02"/>
    <n v="75.069999999999993"/>
    <s v="3ATM"/>
    <n v="6.3"/>
    <m/>
    <x v="2"/>
    <x v="8"/>
    <x v="0"/>
    <n v="67.5"/>
  </r>
  <r>
    <x v="24"/>
    <x v="17"/>
    <x v="3"/>
    <x v="17"/>
    <x v="1"/>
    <x v="2078"/>
    <n v="69.5"/>
    <n v="95.46"/>
    <n v="96.98"/>
    <n v="83.81"/>
    <s v="IPX8"/>
    <n v="7.4"/>
    <n v="4.0999999999999996"/>
    <x v="1"/>
    <x v="7"/>
    <x v="2"/>
    <n v="60.4"/>
  </r>
  <r>
    <x v="24"/>
    <x v="6"/>
    <x v="5"/>
    <x v="6"/>
    <x v="2"/>
    <x v="2079"/>
    <n v="155.4"/>
    <n v="96.83"/>
    <n v="93.24"/>
    <n v="78.03"/>
    <s v="5ATM"/>
    <n v="7"/>
    <n v="2.1"/>
    <x v="0"/>
    <x v="10"/>
    <x v="2"/>
    <n v="61.4"/>
  </r>
  <r>
    <x v="24"/>
    <x v="6"/>
    <x v="5"/>
    <x v="6"/>
    <x v="1"/>
    <x v="2080"/>
    <n v="54.9"/>
    <n v="95.91"/>
    <n v="96.96"/>
    <n v="75.900000000000006"/>
    <s v="IP68"/>
    <n v="9.3000000000000007"/>
    <n v="3.9"/>
    <x v="3"/>
    <x v="7"/>
    <x v="0"/>
    <n v="62.1"/>
  </r>
  <r>
    <x v="24"/>
    <x v="3"/>
    <x v="2"/>
    <x v="3"/>
    <x v="2"/>
    <x v="2081"/>
    <n v="122.9"/>
    <n v="93.72"/>
    <n v="96.05"/>
    <n v="72.55"/>
    <s v="IP68"/>
    <n v="7.1"/>
    <n v="4.9000000000000004"/>
    <x v="2"/>
    <x v="12"/>
    <x v="0"/>
    <n v="58.1"/>
  </r>
  <r>
    <x v="24"/>
    <x v="14"/>
    <x v="9"/>
    <x v="14"/>
    <x v="2"/>
    <x v="2082"/>
    <n v="126.3"/>
    <n v="97.64"/>
    <n v="95.3"/>
    <n v="73.97"/>
    <s v="IPX8"/>
    <n v="6.4"/>
    <n v="4.5"/>
    <x v="2"/>
    <x v="1"/>
    <x v="0"/>
    <n v="58"/>
  </r>
  <r>
    <x v="24"/>
    <x v="9"/>
    <x v="6"/>
    <x v="9"/>
    <x v="3"/>
    <x v="9"/>
    <n v="167.5"/>
    <n v="90.25"/>
    <n v="96.35"/>
    <n v="76.739999999999995"/>
    <s v="IPX4"/>
    <n v="7.6"/>
    <m/>
    <x v="2"/>
    <x v="8"/>
    <x v="0"/>
    <n v="71.900000000000006"/>
  </r>
  <r>
    <x v="24"/>
    <x v="6"/>
    <x v="5"/>
    <x v="6"/>
    <x v="1"/>
    <x v="2083"/>
    <n v="39.700000000000003"/>
    <n v="93.64"/>
    <n v="93.77"/>
    <n v="76.459999999999994"/>
    <s v="5ATM"/>
    <n v="7.9"/>
    <n v="1.8"/>
    <x v="1"/>
    <x v="4"/>
    <x v="0"/>
    <n v="60.1"/>
  </r>
  <r>
    <x v="24"/>
    <x v="3"/>
    <x v="2"/>
    <x v="3"/>
    <x v="1"/>
    <x v="2084"/>
    <n v="61.8"/>
    <n v="93.53"/>
    <n v="94.98"/>
    <n v="84.35"/>
    <s v="IP68"/>
    <n v="7.9"/>
    <n v="2.5"/>
    <x v="3"/>
    <x v="5"/>
    <x v="0"/>
    <n v="61.5"/>
  </r>
  <r>
    <x v="24"/>
    <x v="23"/>
    <x v="8"/>
    <x v="23"/>
    <x v="1"/>
    <x v="2085"/>
    <n v="41.3"/>
    <n v="97.22"/>
    <n v="96.12"/>
    <n v="75.28"/>
    <s v="IP68"/>
    <n v="7.5"/>
    <n v="2.8"/>
    <x v="1"/>
    <x v="5"/>
    <x v="2"/>
    <n v="59.6"/>
  </r>
  <r>
    <x v="24"/>
    <x v="21"/>
    <x v="1"/>
    <x v="21"/>
    <x v="1"/>
    <x v="2086"/>
    <n v="41.1"/>
    <n v="92.88"/>
    <n v="97.64"/>
    <n v="77.260000000000005"/>
    <s v="IP68"/>
    <n v="7.6"/>
    <n v="4.5999999999999996"/>
    <x v="3"/>
    <x v="6"/>
    <x v="1"/>
    <n v="58.4"/>
  </r>
  <r>
    <x v="24"/>
    <x v="10"/>
    <x v="7"/>
    <x v="10"/>
    <x v="4"/>
    <x v="2087"/>
    <n v="172"/>
    <n v="88.77"/>
    <n v="94.39"/>
    <n v="86.88"/>
    <s v="IPX8"/>
    <n v="8.3000000000000007"/>
    <m/>
    <x v="2"/>
    <x v="0"/>
    <x v="2"/>
    <n v="74.599999999999994"/>
  </r>
  <r>
    <x v="24"/>
    <x v="10"/>
    <x v="7"/>
    <x v="10"/>
    <x v="4"/>
    <x v="2088"/>
    <n v="183.4"/>
    <n v="90.79"/>
    <n v="93.66"/>
    <n v="90.62"/>
    <s v="IPX8"/>
    <n v="7.3"/>
    <m/>
    <x v="2"/>
    <x v="8"/>
    <x v="2"/>
    <n v="73.599999999999994"/>
  </r>
  <r>
    <x v="24"/>
    <x v="21"/>
    <x v="1"/>
    <x v="21"/>
    <x v="1"/>
    <x v="2089"/>
    <n v="70.8"/>
    <n v="96.16"/>
    <n v="96.37"/>
    <n v="80.37"/>
    <s v="IPX8"/>
    <n v="7.3"/>
    <n v="1.7"/>
    <x v="3"/>
    <x v="5"/>
    <x v="1"/>
    <n v="61.3"/>
  </r>
  <r>
    <x v="24"/>
    <x v="9"/>
    <x v="6"/>
    <x v="9"/>
    <x v="3"/>
    <x v="9"/>
    <n v="129.1"/>
    <n v="87.41"/>
    <n v="95.44"/>
    <n v="75.900000000000006"/>
    <s v="3ATM"/>
    <n v="7.3"/>
    <m/>
    <x v="2"/>
    <x v="8"/>
    <x v="2"/>
    <n v="69.400000000000006"/>
  </r>
  <r>
    <x v="24"/>
    <x v="13"/>
    <x v="0"/>
    <x v="13"/>
    <x v="0"/>
    <x v="2090"/>
    <n v="173.1"/>
    <n v="91.69"/>
    <n v="93.41"/>
    <n v="72.78"/>
    <s v="3ATM"/>
    <n v="7.9"/>
    <m/>
    <x v="0"/>
    <x v="10"/>
    <x v="0"/>
    <n v="71.400000000000006"/>
  </r>
  <r>
    <x v="24"/>
    <x v="1"/>
    <x v="1"/>
    <x v="1"/>
    <x v="1"/>
    <x v="2091"/>
    <n v="36.5"/>
    <n v="95.67"/>
    <n v="97.08"/>
    <n v="79.55"/>
    <s v="IPX8"/>
    <n v="8.4"/>
    <n v="4.9000000000000004"/>
    <x v="1"/>
    <x v="10"/>
    <x v="1"/>
    <n v="60.2"/>
  </r>
  <r>
    <x v="24"/>
    <x v="24"/>
    <x v="2"/>
    <x v="24"/>
    <x v="1"/>
    <x v="2092"/>
    <n v="25.7"/>
    <n v="96.4"/>
    <n v="94.73"/>
    <n v="84.18"/>
    <s v="IPX8"/>
    <n v="8.3000000000000007"/>
    <n v="3.2"/>
    <x v="1"/>
    <x v="4"/>
    <x v="0"/>
    <n v="61.4"/>
  </r>
  <r>
    <x v="24"/>
    <x v="13"/>
    <x v="0"/>
    <x v="13"/>
    <x v="0"/>
    <x v="2093"/>
    <n v="111"/>
    <n v="90.81"/>
    <n v="96.78"/>
    <n v="78.55"/>
    <s v="IPX7"/>
    <n v="6.9"/>
    <m/>
    <x v="2"/>
    <x v="6"/>
    <x v="0"/>
    <n v="69.7"/>
  </r>
  <r>
    <x v="24"/>
    <x v="16"/>
    <x v="4"/>
    <x v="16"/>
    <x v="1"/>
    <x v="2094"/>
    <n v="612.79999999999995"/>
    <n v="97.67"/>
    <n v="99.32"/>
    <n v="77.38"/>
    <s v="5ATM"/>
    <n v="8.4"/>
    <n v="3.4"/>
    <x v="3"/>
    <x v="5"/>
    <x v="0"/>
    <n v="64.099999999999994"/>
  </r>
  <r>
    <x v="24"/>
    <x v="10"/>
    <x v="7"/>
    <x v="10"/>
    <x v="4"/>
    <x v="2095"/>
    <n v="185.2"/>
    <n v="91.43"/>
    <n v="93.48"/>
    <n v="91.22"/>
    <s v="IPX8"/>
    <n v="8.4"/>
    <m/>
    <x v="2"/>
    <x v="11"/>
    <x v="0"/>
    <n v="76"/>
  </r>
  <r>
    <x v="24"/>
    <x v="2"/>
    <x v="0"/>
    <x v="2"/>
    <x v="2"/>
    <x v="2096"/>
    <n v="149.69999999999999"/>
    <n v="95.12"/>
    <n v="93.47"/>
    <n v="77.23"/>
    <s v="IPX8"/>
    <n v="7.3"/>
    <n v="2.2000000000000002"/>
    <x v="0"/>
    <x v="2"/>
    <x v="0"/>
    <n v="61.3"/>
  </r>
  <r>
    <x v="24"/>
    <x v="20"/>
    <x v="0"/>
    <x v="20"/>
    <x v="2"/>
    <x v="2097"/>
    <n v="102.8"/>
    <n v="97.5"/>
    <n v="94.51"/>
    <n v="72.239999999999995"/>
    <s v="5ATM"/>
    <n v="8.3000000000000007"/>
    <n v="3"/>
    <x v="2"/>
    <x v="1"/>
    <x v="0"/>
    <n v="61.2"/>
  </r>
  <r>
    <x v="24"/>
    <x v="24"/>
    <x v="2"/>
    <x v="24"/>
    <x v="1"/>
    <x v="2098"/>
    <n v="62.7"/>
    <n v="92.36"/>
    <n v="96.25"/>
    <n v="83.28"/>
    <s v="IP68"/>
    <n v="8.1999999999999993"/>
    <n v="2.8"/>
    <x v="3"/>
    <x v="7"/>
    <x v="0"/>
    <n v="61.7"/>
  </r>
  <r>
    <x v="24"/>
    <x v="18"/>
    <x v="4"/>
    <x v="18"/>
    <x v="1"/>
    <x v="2099"/>
    <n v="640.29999999999995"/>
    <n v="97.98"/>
    <n v="98.67"/>
    <n v="79.290000000000006"/>
    <s v="5ATM"/>
    <n v="8"/>
    <n v="3.8"/>
    <x v="1"/>
    <x v="5"/>
    <x v="0"/>
    <n v="63.5"/>
  </r>
  <r>
    <x v="24"/>
    <x v="2"/>
    <x v="0"/>
    <x v="2"/>
    <x v="1"/>
    <x v="2100"/>
    <n v="33"/>
    <n v="96.67"/>
    <n v="96.16"/>
    <n v="81.5"/>
    <s v="IPX8"/>
    <n v="7"/>
    <n v="3.5"/>
    <x v="3"/>
    <x v="1"/>
    <x v="0"/>
    <n v="59"/>
  </r>
  <r>
    <x v="24"/>
    <x v="25"/>
    <x v="5"/>
    <x v="25"/>
    <x v="1"/>
    <x v="2101"/>
    <n v="22.9"/>
    <n v="92.02"/>
    <n v="93.07"/>
    <n v="76.180000000000007"/>
    <s v="IPX8"/>
    <n v="8.4"/>
    <n v="3"/>
    <x v="3"/>
    <x v="10"/>
    <x v="0"/>
    <n v="59.3"/>
  </r>
  <r>
    <x v="24"/>
    <x v="28"/>
    <x v="4"/>
    <x v="28"/>
    <x v="2"/>
    <x v="2102"/>
    <n v="2118.1"/>
    <n v="92.32"/>
    <n v="99.13"/>
    <n v="75.87"/>
    <s v="10ATM"/>
    <n v="8.9"/>
    <n v="3.4"/>
    <x v="0"/>
    <x v="10"/>
    <x v="0"/>
    <n v="63.8"/>
  </r>
  <r>
    <x v="24"/>
    <x v="20"/>
    <x v="0"/>
    <x v="20"/>
    <x v="1"/>
    <x v="2103"/>
    <n v="19.600000000000001"/>
    <n v="97.57"/>
    <n v="95.91"/>
    <n v="78.319999999999993"/>
    <s v="5ATM"/>
    <n v="8.4"/>
    <n v="3.5"/>
    <x v="3"/>
    <x v="4"/>
    <x v="0"/>
    <n v="60.7"/>
  </r>
  <r>
    <x v="24"/>
    <x v="6"/>
    <x v="5"/>
    <x v="6"/>
    <x v="1"/>
    <x v="2104"/>
    <n v="35.299999999999997"/>
    <n v="95.16"/>
    <n v="95.3"/>
    <n v="80.319999999999993"/>
    <s v="IPX8"/>
    <n v="8.1"/>
    <n v="3.8"/>
    <x v="1"/>
    <x v="10"/>
    <x v="0"/>
    <n v="60.1"/>
  </r>
  <r>
    <x v="24"/>
    <x v="21"/>
    <x v="1"/>
    <x v="21"/>
    <x v="1"/>
    <x v="2105"/>
    <n v="40.1"/>
    <n v="95.21"/>
    <n v="97.55"/>
    <n v="76.7"/>
    <s v="IPX8"/>
    <n v="8.6"/>
    <n v="2"/>
    <x v="1"/>
    <x v="5"/>
    <x v="1"/>
    <n v="62"/>
  </r>
  <r>
    <x v="24"/>
    <x v="21"/>
    <x v="1"/>
    <x v="21"/>
    <x v="1"/>
    <x v="2106"/>
    <n v="29.3"/>
    <n v="95.5"/>
    <n v="96.02"/>
    <n v="82.02"/>
    <s v="IP68"/>
    <n v="9.3000000000000007"/>
    <n v="3.3"/>
    <x v="3"/>
    <x v="4"/>
    <x v="1"/>
    <n v="62.8"/>
  </r>
  <r>
    <x v="24"/>
    <x v="13"/>
    <x v="0"/>
    <x v="13"/>
    <x v="0"/>
    <x v="2107"/>
    <n v="108.4"/>
    <n v="89.27"/>
    <n v="94.34"/>
    <n v="75"/>
    <s v="3ATM"/>
    <n v="6.8"/>
    <m/>
    <x v="2"/>
    <x v="1"/>
    <x v="0"/>
    <n v="67.900000000000006"/>
  </r>
  <r>
    <x v="24"/>
    <x v="1"/>
    <x v="1"/>
    <x v="1"/>
    <x v="1"/>
    <x v="2108"/>
    <n v="64.599999999999994"/>
    <n v="96.69"/>
    <n v="98.34"/>
    <n v="79.44"/>
    <s v="IP68"/>
    <n v="7.3"/>
    <n v="2.5"/>
    <x v="3"/>
    <x v="1"/>
    <x v="1"/>
    <n v="60.9"/>
  </r>
  <r>
    <x v="24"/>
    <x v="11"/>
    <x v="1"/>
    <x v="11"/>
    <x v="1"/>
    <x v="2109"/>
    <n v="42.6"/>
    <n v="95.46"/>
    <n v="97.09"/>
    <n v="78.989999999999995"/>
    <s v="5ATM"/>
    <n v="8.4"/>
    <n v="2.8"/>
    <x v="1"/>
    <x v="4"/>
    <x v="1"/>
    <n v="61.6"/>
  </r>
  <r>
    <x v="24"/>
    <x v="27"/>
    <x v="9"/>
    <x v="27"/>
    <x v="2"/>
    <x v="2110"/>
    <n v="102.4"/>
    <n v="93.96"/>
    <n v="96.17"/>
    <n v="75.64"/>
    <s v="IPX8"/>
    <n v="6.6"/>
    <n v="3.2"/>
    <x v="2"/>
    <x v="0"/>
    <x v="2"/>
    <n v="5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643673-C56A-472A-A5D9-4FD9024ED708}"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S157:T159" firstHeaderRow="1" firstDataRow="1" firstDataCol="1"/>
  <pivotFields count="17">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pivotField>
    <pivotField showAll="0">
      <items count="11">
        <item x="9"/>
        <item x="1"/>
        <item x="0"/>
        <item x="4"/>
        <item x="8"/>
        <item x="7"/>
        <item x="2"/>
        <item x="3"/>
        <item x="6"/>
        <item x="5"/>
        <item t="default"/>
      </items>
    </pivotField>
    <pivotField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v="7"/>
    </i>
    <i t="grand">
      <x/>
    </i>
  </rowItems>
  <colItems count="1">
    <i/>
  </colItems>
  <dataFields count="1">
    <dataField name="Count of Device_Name" fld="1" subtotal="count"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Equal" evalOrder="-1" id="52" name="Test_Date">
      <autoFilter ref="A1">
        <filterColumn colId="0">
          <customFilters>
            <customFilter val="4581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BF0357-2BF7-4CCF-9D19-32C0932579BA}" name="PivotTable12"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S72:U83" firstHeaderRow="1" firstDataRow="1" firstDataCol="2"/>
  <pivotFields count="17">
    <pivotField compact="0" numFmtId="14" outline="0" showAll="0"/>
    <pivotField axis="axisRow" compact="0" outline="0" showAll="0">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pivotField>
    <pivotField axis="axisRow" compact="0" outline="0" showAll="0">
      <items count="11">
        <item sd="0" x="9"/>
        <item sd="0" x="1"/>
        <item sd="0" x="0"/>
        <item sd="0" x="4"/>
        <item sd="0" x="8"/>
        <item sd="0" x="7"/>
        <item sd="0" x="2"/>
        <item sd="0" x="3"/>
        <item sd="0" x="6"/>
        <item sd="0" x="5"/>
        <item t="default"/>
      </items>
    </pivotField>
    <pivotField compact="0" outline="0"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compact="0" outline="0" showAll="0">
      <items count="6">
        <item x="3"/>
        <item x="0"/>
        <item x="4"/>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s>
  <rowFields count="2">
    <field x="2"/>
    <field x="1"/>
  </rowFields>
  <rowItems count="11">
    <i>
      <x/>
    </i>
    <i>
      <x v="1"/>
    </i>
    <i>
      <x v="2"/>
    </i>
    <i>
      <x v="3"/>
    </i>
    <i>
      <x v="4"/>
    </i>
    <i>
      <x v="5"/>
    </i>
    <i>
      <x v="6"/>
    </i>
    <i>
      <x v="7"/>
    </i>
    <i>
      <x v="8"/>
    </i>
    <i>
      <x v="9"/>
    </i>
    <i t="grand">
      <x/>
    </i>
  </rowItems>
  <colItems count="1">
    <i/>
  </colItems>
  <dataFields count="1">
    <dataField name="Average of User_Satisfaction_Rating" fld="11" subtotal="average" baseField="1" baseItem="0" numFmtId="164"/>
  </dataFields>
  <formats count="1">
    <format dxfId="1">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A839F9-FA25-4320-86FB-633C58D13625}"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Health_Sensor_count">
  <location ref="S51:T66" firstHeaderRow="1" firstDataRow="1" firstDataCol="1"/>
  <pivotFields count="17">
    <pivotField numFmtId="14" showAll="0"/>
    <pivotField showAll="0">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pivotField>
    <pivotField showAll="0">
      <items count="11">
        <item x="9"/>
        <item x="1"/>
        <item x="0"/>
        <item x="4"/>
        <item x="8"/>
        <item x="7"/>
        <item x="2"/>
        <item x="3"/>
        <item x="6"/>
        <item x="5"/>
        <item t="default"/>
      </items>
    </pivotField>
    <pivotField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showAll="0">
      <items count="6">
        <item x="3"/>
        <item x="0"/>
        <item x="4"/>
        <item x="1"/>
        <item x="2"/>
        <item t="default"/>
      </items>
    </pivotField>
    <pivotField showAll="0"/>
    <pivotField showAll="0"/>
    <pivotField dataField="1" showAll="0"/>
    <pivotField showAll="0"/>
    <pivotField showAll="0"/>
    <pivotField showAll="0"/>
    <pivotField showAll="0"/>
    <pivotField showAll="0"/>
    <pivotField showAll="0"/>
    <pivotField axis="axisRow" showAll="0">
      <items count="15">
        <item x="13"/>
        <item x="8"/>
        <item x="11"/>
        <item x="0"/>
        <item x="12"/>
        <item x="2"/>
        <item x="1"/>
        <item x="6"/>
        <item x="10"/>
        <item x="5"/>
        <item x="3"/>
        <item x="9"/>
        <item x="4"/>
        <item x="7"/>
        <item t="default"/>
      </items>
    </pivotField>
    <pivotField showAll="0"/>
    <pivotField showAll="0"/>
  </pivotFields>
  <rowFields count="1">
    <field x="14"/>
  </rowFields>
  <rowItems count="15">
    <i>
      <x/>
    </i>
    <i>
      <x v="1"/>
    </i>
    <i>
      <x v="2"/>
    </i>
    <i>
      <x v="3"/>
    </i>
    <i>
      <x v="4"/>
    </i>
    <i>
      <x v="5"/>
    </i>
    <i>
      <x v="6"/>
    </i>
    <i>
      <x v="7"/>
    </i>
    <i>
      <x v="8"/>
    </i>
    <i>
      <x v="9"/>
    </i>
    <i>
      <x v="10"/>
    </i>
    <i>
      <x v="11"/>
    </i>
    <i>
      <x v="12"/>
    </i>
    <i>
      <x v="13"/>
    </i>
    <i t="grand">
      <x/>
    </i>
  </rowItems>
  <colItems count="1">
    <i/>
  </colItems>
  <dataFields count="1">
    <dataField name="Average of Heart_Rate_Accuracy_Percent" fld="7" subtotal="average" baseField="14" baseItem="0" numFmtId="164"/>
  </dataFields>
  <formats count="1">
    <format dxfId="2">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753673-7B5A-490B-9BF8-BC1FDBD89CC0}"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ategory">
  <location ref="S116:W122" firstHeaderRow="0" firstDataRow="1" firstDataCol="1"/>
  <pivotFields count="17">
    <pivotField numFmtId="14" showAll="0"/>
    <pivotField showAll="0">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pivotField>
    <pivotField showAll="0">
      <items count="11">
        <item x="9"/>
        <item x="1"/>
        <item x="0"/>
        <item x="4"/>
        <item x="8"/>
        <item x="7"/>
        <item x="2"/>
        <item x="3"/>
        <item x="6"/>
        <item x="5"/>
        <item t="default"/>
      </items>
    </pivotField>
    <pivotField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axis="axisRow" showAll="0" sortType="descending">
      <items count="6">
        <item x="3"/>
        <item x="0"/>
        <item x="4"/>
        <item x="1"/>
        <item x="2"/>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showAll="0"/>
    <pivotField showAll="0"/>
    <pivotField dataField="1" showAll="0"/>
    <pivotField showAll="0"/>
    <pivotField showAll="0"/>
    <pivotField dataField="1" showAll="0"/>
    <pivotField showAll="0"/>
    <pivotField showAll="0"/>
  </pivotFields>
  <rowFields count="1">
    <field x="4"/>
  </rowFields>
  <rowItems count="6">
    <i>
      <x v="3"/>
    </i>
    <i>
      <x v="4"/>
    </i>
    <i>
      <x v="1"/>
    </i>
    <i>
      <x v="2"/>
    </i>
    <i>
      <x/>
    </i>
    <i t="grand">
      <x/>
    </i>
  </rowItems>
  <colFields count="1">
    <field x="-2"/>
  </colFields>
  <colItems count="4">
    <i>
      <x/>
    </i>
    <i i="1">
      <x v="1"/>
    </i>
    <i i="2">
      <x v="2"/>
    </i>
    <i i="3">
      <x v="3"/>
    </i>
  </colItems>
  <dataFields count="4">
    <dataField name="Average of Price_USD" fld="5" subtotal="average" baseField="4" baseItem="0" numFmtId="164"/>
    <dataField name="Average of Health_Sensors_Count" fld="14" subtotal="average" baseField="4" baseItem="0" numFmtId="164"/>
    <dataField name="Average of Heart_Rate_Accuracy_Percent" fld="7" subtotal="average" baseField="4" baseItem="0" numFmtId="164"/>
    <dataField name="Average of User_Satisfaction_Rating" fld="11" subtotal="average" baseField="4" baseItem="0" numFmtId="164"/>
  </dataFields>
  <formats count="4">
    <format dxfId="6">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DE308E-D078-43B2-8B53-79C615E7F28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S89:U95" firstHeaderRow="0" firstDataRow="1" firstDataCol="1"/>
  <pivotFields count="17">
    <pivotField numFmtId="14" showAll="0"/>
    <pivotField showAll="0">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pivotField>
    <pivotField showAll="0">
      <items count="11">
        <item x="9"/>
        <item x="1"/>
        <item x="0"/>
        <item x="4"/>
        <item x="8"/>
        <item x="7"/>
        <item x="2"/>
        <item x="3"/>
        <item x="6"/>
        <item x="5"/>
        <item t="default"/>
      </items>
    </pivotField>
    <pivotField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dataField="1" showAll="0"/>
    <pivotField showAll="0"/>
    <pivotField showAll="0"/>
    <pivotField showAll="0"/>
    <pivotField showAll="0"/>
    <pivotField showAll="0"/>
  </pivotFields>
  <rowFields count="1">
    <field x="4"/>
  </rowFields>
  <rowItems count="6">
    <i>
      <x v="3"/>
    </i>
    <i>
      <x v="2"/>
    </i>
    <i>
      <x v="4"/>
    </i>
    <i>
      <x v="1"/>
    </i>
    <i>
      <x/>
    </i>
    <i t="grand">
      <x/>
    </i>
  </rowItems>
  <colFields count="1">
    <field x="-2"/>
  </colFields>
  <colItems count="2">
    <i>
      <x/>
    </i>
    <i i="1">
      <x v="1"/>
    </i>
  </colItems>
  <dataFields count="2">
    <dataField name="Average of Price_USD" fld="5" subtotal="average" baseField="4" baseItem="0"/>
    <dataField name="Average of User_Satisfaction_Rating" fld="11" subtotal="average" baseField="4" baseItem="0" numFmtId="164"/>
  </dataFields>
  <formats count="1">
    <format dxfId="7">
      <pivotArea outline="0" collapsedLevelsAreSubtotals="1" fieldPosition="0">
        <references count="1">
          <reference field="4294967294" count="1" selected="0">
            <x v="1"/>
          </reference>
        </references>
      </pivotArea>
    </format>
  </formats>
  <conditionalFormats count="1">
    <conditionalFormat type="all" priority="2">
      <pivotAreas count="1">
        <pivotArea type="data" outline="0" collapsedLevelsAreSubtotals="1" fieldPosition="0">
          <references count="1">
            <reference field="4294967294" count="1" selected="0">
              <x v="0"/>
            </reference>
          </references>
        </pivotArea>
      </pivotAreas>
    </conditionalFormat>
  </conditional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B5FF2F-A6F3-41B8-A8FE-D8B640415E8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Device_Name">
  <location ref="S2:T32" firstHeaderRow="1" firstDataRow="1" firstDataCol="1"/>
  <pivotFields count="17">
    <pivotField numFmtId="14" showAll="0"/>
    <pivotField axis="axisRow" showAll="0" sortType="descending">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autoSortScope>
        <pivotArea dataOnly="0" outline="0" fieldPosition="0">
          <references count="1">
            <reference field="4294967294" count="1" selected="0">
              <x v="0"/>
            </reference>
          </references>
        </pivotArea>
      </autoSortScope>
    </pivotField>
    <pivotField showAll="0">
      <items count="11">
        <item x="9"/>
        <item x="1"/>
        <item x="0"/>
        <item x="4"/>
        <item x="8"/>
        <item x="7"/>
        <item x="2"/>
        <item x="3"/>
        <item x="6"/>
        <item x="5"/>
        <item t="default"/>
      </items>
    </pivotField>
    <pivotField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showAll="0">
      <items count="6">
        <item x="3"/>
        <item x="0"/>
        <item x="4"/>
        <item x="1"/>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30">
    <i>
      <x v="20"/>
    </i>
    <i>
      <x v="26"/>
    </i>
    <i>
      <x v="22"/>
    </i>
    <i>
      <x v="21"/>
    </i>
    <i>
      <x v="27"/>
    </i>
    <i>
      <x v="24"/>
    </i>
    <i>
      <x v="28"/>
    </i>
    <i>
      <x v="4"/>
    </i>
    <i>
      <x v="5"/>
    </i>
    <i>
      <x v="25"/>
    </i>
    <i>
      <x v="23"/>
    </i>
    <i>
      <x v="6"/>
    </i>
    <i>
      <x v="7"/>
    </i>
    <i>
      <x v="8"/>
    </i>
    <i>
      <x/>
    </i>
    <i>
      <x v="1"/>
    </i>
    <i>
      <x v="9"/>
    </i>
    <i>
      <x v="10"/>
    </i>
    <i>
      <x v="14"/>
    </i>
    <i>
      <x v="16"/>
    </i>
    <i>
      <x v="2"/>
    </i>
    <i>
      <x v="13"/>
    </i>
    <i>
      <x v="3"/>
    </i>
    <i>
      <x v="18"/>
    </i>
    <i>
      <x v="15"/>
    </i>
    <i>
      <x v="11"/>
    </i>
    <i>
      <x v="12"/>
    </i>
    <i>
      <x v="19"/>
    </i>
    <i>
      <x v="17"/>
    </i>
    <i t="grand">
      <x/>
    </i>
  </rowItems>
  <colItems count="1">
    <i/>
  </colItems>
  <dataFields count="1">
    <dataField name="Sum of Performance_Score" fld="16" baseField="1" baseItem="0"/>
  </dataFields>
  <conditionalFormats count="1">
    <conditionalFormat type="all" priority="7">
      <pivotAreas count="1">
        <pivotArea type="data" collapsedLevelsAreSubtotals="1" fieldPosition="0">
          <references count="2">
            <reference field="4294967294" count="1" selected="0">
              <x v="0"/>
            </reference>
            <reference field="1" count="29">
              <x v="0"/>
              <x v="1"/>
              <x v="2"/>
              <x v="3"/>
              <x v="4"/>
              <x v="5"/>
              <x v="6"/>
              <x v="7"/>
              <x v="8"/>
              <x v="9"/>
              <x v="10"/>
              <x v="11"/>
              <x v="12"/>
              <x v="13"/>
              <x v="14"/>
              <x v="15"/>
              <x v="16"/>
              <x v="17"/>
              <x v="18"/>
              <x v="19"/>
              <x v="20"/>
              <x v="21"/>
              <x v="22"/>
              <x v="23"/>
              <x v="24"/>
              <x v="25"/>
              <x v="26"/>
              <x v="27"/>
              <x v="28"/>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933BE0-F3D3-4DA6-91DF-2F21EE39EAC9}" name="PivotTable5"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ategory">
  <location ref="S37:T43" firstHeaderRow="1" firstDataRow="1" firstDataCol="1"/>
  <pivotFields count="17">
    <pivotField numFmtId="14" showAll="0"/>
    <pivotField showAll="0">
      <items count="30">
        <item x="19"/>
        <item x="14"/>
        <item x="27"/>
        <item x="26"/>
        <item x="1"/>
        <item x="21"/>
        <item x="11"/>
        <item x="13"/>
        <item x="0"/>
        <item x="20"/>
        <item x="2"/>
        <item x="28"/>
        <item x="7"/>
        <item x="5"/>
        <item x="18"/>
        <item x="16"/>
        <item x="23"/>
        <item x="22"/>
        <item x="15"/>
        <item x="12"/>
        <item x="10"/>
        <item x="24"/>
        <item x="3"/>
        <item x="17"/>
        <item x="4"/>
        <item x="8"/>
        <item x="9"/>
        <item x="6"/>
        <item x="25"/>
        <item t="default"/>
      </items>
    </pivotField>
    <pivotField showAll="0">
      <items count="11">
        <item x="9"/>
        <item x="1"/>
        <item x="0"/>
        <item x="4"/>
        <item x="8"/>
        <item x="7"/>
        <item x="2"/>
        <item x="3"/>
        <item x="6"/>
        <item x="5"/>
        <item t="default"/>
      </items>
    </pivotField>
    <pivotField showAll="0">
      <items count="30">
        <item x="9"/>
        <item x="19"/>
        <item x="23"/>
        <item x="13"/>
        <item x="28"/>
        <item x="7"/>
        <item x="5"/>
        <item x="17"/>
        <item x="4"/>
        <item x="8"/>
        <item x="14"/>
        <item x="27"/>
        <item x="0"/>
        <item x="18"/>
        <item x="24"/>
        <item x="10"/>
        <item x="6"/>
        <item x="20"/>
        <item x="25"/>
        <item x="26"/>
        <item x="3"/>
        <item x="16"/>
        <item x="2"/>
        <item x="22"/>
        <item x="15"/>
        <item x="1"/>
        <item x="21"/>
        <item x="12"/>
        <item x="11"/>
        <item t="default"/>
      </items>
    </pivotField>
    <pivotField axis="axisRow" showAll="0" sortType="descending">
      <items count="6">
        <item x="3"/>
        <item x="0"/>
        <item x="4"/>
        <item x="1"/>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items count="15">
        <item x="13"/>
        <item x="8"/>
        <item x="11"/>
        <item x="0"/>
        <item x="12"/>
        <item x="2"/>
        <item x="1"/>
        <item x="6"/>
        <item x="10"/>
        <item x="5"/>
        <item x="3"/>
        <item x="9"/>
        <item x="4"/>
        <item x="7"/>
        <item t="default"/>
      </items>
    </pivotField>
    <pivotField showAll="0"/>
    <pivotField showAll="0"/>
  </pivotFields>
  <rowFields count="1">
    <field x="4"/>
  </rowFields>
  <rowItems count="6">
    <i>
      <x v="4"/>
    </i>
    <i>
      <x v="2"/>
    </i>
    <i>
      <x v="1"/>
    </i>
    <i>
      <x/>
    </i>
    <i>
      <x v="3"/>
    </i>
    <i t="grand">
      <x/>
    </i>
  </rowItems>
  <colItems count="1">
    <i/>
  </colItems>
  <dataFields count="1">
    <dataField name="Average of Battery_Life_Hours" fld="6" subtotal="average" baseField="4" baseItem="1" numFmtId="164"/>
  </dataFields>
  <formats count="1">
    <format dxfId="8">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4" count="1" selected="0">
            <x v="4"/>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0" format="6">
      <pivotArea type="data" outline="0" fieldPosition="0">
        <references count="2">
          <reference field="4294967294" count="1" selected="0">
            <x v="0"/>
          </reference>
          <reference field="4" count="1" selected="0">
            <x v="3"/>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4" count="1" selected="0">
            <x v="4"/>
          </reference>
        </references>
      </pivotArea>
    </chartFormat>
    <chartFormat chart="4" format="15">
      <pivotArea type="data" outline="0" fieldPosition="0">
        <references count="2">
          <reference field="4294967294" count="1" selected="0">
            <x v="0"/>
          </reference>
          <reference field="4" count="1" selected="0">
            <x v="2"/>
          </reference>
        </references>
      </pivotArea>
    </chartFormat>
    <chartFormat chart="4" format="16">
      <pivotArea type="data" outline="0" fieldPosition="0">
        <references count="2">
          <reference field="4294967294" count="1" selected="0">
            <x v="0"/>
          </reference>
          <reference field="4" count="1" selected="0">
            <x v="1"/>
          </reference>
        </references>
      </pivotArea>
    </chartFormat>
    <chartFormat chart="4" format="17">
      <pivotArea type="data" outline="0" fieldPosition="0">
        <references count="2">
          <reference field="4294967294" count="1" selected="0">
            <x v="0"/>
          </reference>
          <reference field="4" count="1" selected="0">
            <x v="0"/>
          </reference>
        </references>
      </pivotArea>
    </chartFormat>
    <chartFormat chart="4" format="18">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Name" xr10:uid="{08027A10-4C10-44B0-A190-237048CBE786}" sourceName="Device_Name">
  <pivotTables>
    <pivotTable tabId="1" name="PivotTable1"/>
    <pivotTable tabId="1" name="PivotTable12"/>
    <pivotTable tabId="1" name="PivotTable16"/>
    <pivotTable tabId="1" name="PivotTable18"/>
    <pivotTable tabId="1" name="PivotTable4"/>
    <pivotTable tabId="1" name="PivotTable5"/>
    <pivotTable tabId="1" name="PivotTable6"/>
  </pivotTables>
  <data>
    <tabular pivotCacheId="1139425539">
      <items count="29">
        <i x="19" s="1"/>
        <i x="14" s="1"/>
        <i x="27" s="1"/>
        <i x="26" s="1"/>
        <i x="1" s="1"/>
        <i x="21" s="1"/>
        <i x="11" s="1"/>
        <i x="13" s="1"/>
        <i x="0" s="1"/>
        <i x="20" s="1"/>
        <i x="2" s="1"/>
        <i x="28" s="1"/>
        <i x="7" s="1"/>
        <i x="5" s="1"/>
        <i x="18" s="1"/>
        <i x="16" s="1"/>
        <i x="23" s="1"/>
        <i x="22" s="1"/>
        <i x="15" s="1"/>
        <i x="12" s="1"/>
        <i x="10" s="1"/>
        <i x="24" s="1"/>
        <i x="3" s="1"/>
        <i x="17" s="1"/>
        <i x="4" s="1"/>
        <i x="8" s="1"/>
        <i x="9" s="1"/>
        <i x="6" s="1"/>
        <i x="2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1" xr10:uid="{D4570A7A-56D4-481A-A032-8FD8701C68DB}" sourceName="Brand">
  <pivotTables>
    <pivotTable tabId="1" name="PivotTable1"/>
    <pivotTable tabId="1" name="PivotTable12"/>
    <pivotTable tabId="1" name="PivotTable16"/>
    <pivotTable tabId="1" name="PivotTable18"/>
    <pivotTable tabId="1" name="PivotTable4"/>
    <pivotTable tabId="1" name="PivotTable5"/>
    <pivotTable tabId="1" name="PivotTable6"/>
  </pivotTables>
  <data>
    <tabular pivotCacheId="1139425539">
      <items count="10">
        <i x="9" s="1"/>
        <i x="1" s="1"/>
        <i x="0" s="1"/>
        <i x="4" s="1"/>
        <i x="8" s="1"/>
        <i x="7" s="1"/>
        <i x="2" s="1"/>
        <i x="3"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9837294-2850-4897-9C82-AA600F6ABCBB}" sourceName="Model">
  <pivotTables>
    <pivotTable tabId="1" name="PivotTable1"/>
    <pivotTable tabId="1" name="PivotTable12"/>
    <pivotTable tabId="1" name="PivotTable16"/>
    <pivotTable tabId="1" name="PivotTable18"/>
    <pivotTable tabId="1" name="PivotTable4"/>
    <pivotTable tabId="1" name="PivotTable5"/>
    <pivotTable tabId="1" name="PivotTable6"/>
  </pivotTables>
  <data>
    <tabular pivotCacheId="1139425539">
      <items count="29">
        <i x="9" s="1"/>
        <i x="19" s="1"/>
        <i x="23" s="1"/>
        <i x="13" s="1"/>
        <i x="28" s="1"/>
        <i x="7" s="1"/>
        <i x="5" s="1"/>
        <i x="17" s="1"/>
        <i x="4" s="1"/>
        <i x="8" s="1"/>
        <i x="14" s="1"/>
        <i x="27" s="1"/>
        <i x="0" s="1"/>
        <i x="18" s="1"/>
        <i x="24" s="1"/>
        <i x="10" s="1"/>
        <i x="6" s="1"/>
        <i x="20" s="1"/>
        <i x="25" s="1"/>
        <i x="26" s="1"/>
        <i x="3" s="1"/>
        <i x="16" s="1"/>
        <i x="2" s="1"/>
        <i x="22" s="1"/>
        <i x="15" s="1"/>
        <i x="1" s="1"/>
        <i x="21" s="1"/>
        <i x="12"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3BE9F4C-5FDF-453D-8832-0EBEBFD0ABC9}" sourceName="Category">
  <pivotTables>
    <pivotTable tabId="1" name="PivotTable1"/>
    <pivotTable tabId="1" name="PivotTable12"/>
    <pivotTable tabId="1" name="PivotTable16"/>
    <pivotTable tabId="1" name="PivotTable18"/>
    <pivotTable tabId="1" name="PivotTable4"/>
    <pivotTable tabId="1" name="PivotTable5"/>
    <pivotTable tabId="1" name="PivotTable6"/>
  </pivotTables>
  <data>
    <tabular pivotCacheId="1139425539">
      <items count="5">
        <i x="3" s="1"/>
        <i x="0" s="1"/>
        <i x="4"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Name" xr10:uid="{76E34581-AF77-4533-91B5-04AD49B20745}" cache="Slicer_Device_Name" caption="Device_Name" rowHeight="241300"/>
  <slicer name="Brand 1" xr10:uid="{8FCAC1EC-D1C6-42D9-86F3-1262BFFB2461}" cache="Slicer_Brand1" caption="Brand" rowHeight="241300"/>
  <slicer name="Brand" xr10:uid="{DDBAD434-FCDF-4E4E-92A7-4EA94551859F}" cache="Slicer_Brand1" caption="Brand" startItem="2" rowHeight="241300"/>
  <slicer name="Model" xr10:uid="{D6374F61-769F-4815-8BA3-AF63687C7C47}" cache="Slicer_Model" caption="Model" rowHeight="241300"/>
  <slicer name="Category" xr10:uid="{9CD22D4F-3E51-4F0A-8138-C1FC0989A8AB}"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ice_Name 1" xr10:uid="{044B39CD-1A2B-4A15-88FD-64683D3CA607}" cache="Slicer_Device_Name" caption="Device_Name" startItem="18" columnCount="2" rowHeight="241300"/>
  <slicer name="Brand 2" xr10:uid="{C3A14FBD-A17B-463B-99D1-4931B6E0A391}" cache="Slicer_Brand1" caption="Brand" rowHeight="241300"/>
  <slicer name="Model 1" xr10:uid="{E227A11E-8B54-4CFC-BB7D-3B939FAC29A7}" cache="Slicer_Model" caption="Model" columnCount="2" rowHeight="241300"/>
  <slicer name="Category 1" xr10:uid="{6A596DBC-809B-4B1E-86F7-56AEB2FC7F19}"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4C51D32-C738-48D1-9EBD-859AEA5C1B26}" name="Table4" displayName="Table4" ref="S126:X131" totalsRowShown="0">
  <autoFilter ref="S126:X131" xr:uid="{E4C51D32-C738-48D1-9EBD-859AEA5C1B26}"/>
  <tableColumns count="6">
    <tableColumn id="1" xr3:uid="{2224D859-E47B-4AFF-B1F9-EC03CD967CA8}" name="Category"/>
    <tableColumn id="2" xr3:uid="{44B5363A-29FE-4BDD-A2FC-F144E347B8FE}" name="Price_USD"/>
    <tableColumn id="3" xr3:uid="{BC9C77D5-B2A1-4113-B88A-26E6D7E5D451}" name="Health_sensor count"/>
    <tableColumn id="4" xr3:uid="{041EDD63-C634-4267-AB78-A56D716C647C}" name="Heart_rate_accuracy_percent"/>
    <tableColumn id="5" xr3:uid="{47043B46-D995-4F71-840A-DFB360BB4AA4}" name="user_satisfaction_rating"/>
    <tableColumn id="6" xr3:uid="{32941D1E-5E2D-4ED7-8266-A0520C04841B}" name="Overall_Score" dataDxfId="0">
      <calculatedColumnFormula>(T127+U127+V127+W127)/5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est_Date" xr10:uid="{C258973A-F668-4E6F-AA39-F2F5DA37F2B7}" sourceName="Test_Date">
  <pivotTables>
    <pivotTable tabId="1" name="PivotTable1"/>
  </pivotTables>
  <state minimalRefreshVersion="6" lastRefreshVersion="6" pivotCacheId="1139425539" filterType="dateEqual">
    <selection startDate="2025-06-08T00:00:00" endDate="2025-06-08T00:00:00"/>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est_Date" xr10:uid="{13DA8C9E-E659-441B-8680-7A6ACF951B0A}" cache="NativeTimeline_Test_Date" caption="Test_Date" level="3" selectionLevel="3" scrollPosition="2025-06-03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est_Date 1" xr10:uid="{4EBCDD2C-9379-4A1F-9733-F1FC5C90FFAD}" cache="NativeTimeline_Test_Date" caption="Test_Date" level="3" selectionLevel="3" scrollPosition="2025-06-06T00:00:00"/>
</timelines>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11/relationships/timeline" Target="../timelines/timeline1.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56A8F-3A84-4C63-B637-5950906ED6DF}">
  <dimension ref="A1:X2375"/>
  <sheetViews>
    <sheetView topLeftCell="T156" zoomScale="77" zoomScaleNormal="100" workbookViewId="0">
      <selection activeCell="U207" sqref="U207"/>
    </sheetView>
  </sheetViews>
  <sheetFormatPr defaultRowHeight="14.5" x14ac:dyDescent="0.35"/>
  <cols>
    <col min="1" max="1" width="10.08984375" bestFit="1" customWidth="1"/>
    <col min="2" max="2" width="24.90625" bestFit="1" customWidth="1"/>
    <col min="3" max="3" width="8.26953125" bestFit="1" customWidth="1"/>
    <col min="4" max="4" width="16.81640625" bestFit="1" customWidth="1"/>
    <col min="5" max="5" width="13.26953125" bestFit="1" customWidth="1"/>
    <col min="6" max="6" width="9.26953125" bestFit="1" customWidth="1"/>
    <col min="7" max="7" width="16.81640625" bestFit="1" customWidth="1"/>
    <col min="8" max="8" width="26.1796875" bestFit="1" customWidth="1"/>
    <col min="9" max="9" width="26.453125" bestFit="1" customWidth="1"/>
    <col min="10" max="10" width="29.26953125" bestFit="1" customWidth="1"/>
    <col min="11" max="11" width="22.1796875" bestFit="1" customWidth="1"/>
    <col min="12" max="12" width="21.6328125" bestFit="1" customWidth="1"/>
    <col min="13" max="13" width="19.453125" bestFit="1" customWidth="1"/>
    <col min="14" max="14" width="21.7265625" bestFit="1" customWidth="1"/>
    <col min="15" max="15" width="19.90625" bestFit="1" customWidth="1"/>
    <col min="16" max="16" width="21.81640625" bestFit="1" customWidth="1"/>
    <col min="17" max="17" width="17.26953125" bestFit="1" customWidth="1"/>
    <col min="19" max="19" width="13.453125" bestFit="1" customWidth="1"/>
    <col min="20" max="20" width="20.36328125" bestFit="1" customWidth="1"/>
    <col min="21" max="21" width="29.81640625" bestFit="1" customWidth="1"/>
    <col min="22" max="22" width="36.453125" bestFit="1" customWidth="1"/>
    <col min="23" max="23" width="31.7265625" bestFit="1" customWidth="1"/>
    <col min="24" max="24" width="14.36328125" customWidth="1"/>
    <col min="25" max="25" width="5" bestFit="1" customWidth="1"/>
    <col min="26" max="26" width="5.1796875" bestFit="1" customWidth="1"/>
    <col min="27" max="27" width="8.26953125" bestFit="1" customWidth="1"/>
    <col min="28" max="28" width="7.7265625" bestFit="1" customWidth="1"/>
    <col min="29" max="29" width="8.1796875" bestFit="1" customWidth="1"/>
    <col min="30" max="30" width="10.7265625" bestFit="1" customWidth="1"/>
    <col min="31" max="32" width="6.08984375" bestFit="1" customWidth="1"/>
    <col min="33" max="41" width="7.1796875" bestFit="1" customWidth="1"/>
    <col min="42" max="42" width="6.08984375" bestFit="1" customWidth="1"/>
    <col min="43" max="55" width="7.1796875" bestFit="1" customWidth="1"/>
    <col min="56" max="56" width="6.08984375" bestFit="1" customWidth="1"/>
    <col min="57" max="60" width="7.1796875" bestFit="1" customWidth="1"/>
    <col min="61" max="61" width="6.08984375" bestFit="1" customWidth="1"/>
    <col min="62" max="82" width="7.1796875" bestFit="1" customWidth="1"/>
    <col min="83" max="84" width="6.08984375" bestFit="1" customWidth="1"/>
    <col min="85" max="85" width="7.1796875" bestFit="1" customWidth="1"/>
    <col min="86" max="86" width="6.08984375" bestFit="1" customWidth="1"/>
    <col min="87" max="89" width="7.1796875" bestFit="1" customWidth="1"/>
    <col min="90" max="90" width="6.08984375" bestFit="1" customWidth="1"/>
    <col min="91" max="95" width="7.1796875" bestFit="1" customWidth="1"/>
    <col min="96" max="96" width="6.08984375" bestFit="1" customWidth="1"/>
    <col min="97" max="99" width="7.1796875" bestFit="1" customWidth="1"/>
    <col min="100" max="100" width="6.08984375" bestFit="1" customWidth="1"/>
    <col min="101" max="106" width="7.1796875" bestFit="1" customWidth="1"/>
    <col min="107" max="107" width="6.08984375" bestFit="1" customWidth="1"/>
    <col min="108" max="127" width="7.1796875" bestFit="1" customWidth="1"/>
    <col min="128" max="128" width="6.08984375" bestFit="1" customWidth="1"/>
    <col min="129" max="138" width="7.1796875" bestFit="1" customWidth="1"/>
    <col min="139" max="139" width="6.08984375" bestFit="1" customWidth="1"/>
    <col min="140" max="181" width="7.1796875" bestFit="1" customWidth="1"/>
    <col min="182" max="182" width="6.08984375" bestFit="1" customWidth="1"/>
    <col min="183" max="186" width="7.1796875" bestFit="1" customWidth="1"/>
    <col min="187" max="187" width="6.08984375" bestFit="1" customWidth="1"/>
    <col min="188" max="198" width="7.1796875" bestFit="1" customWidth="1"/>
    <col min="199" max="199" width="4" bestFit="1" customWidth="1"/>
    <col min="200" max="233" width="7.1796875" bestFit="1" customWidth="1"/>
    <col min="234" max="234" width="6.08984375" bestFit="1" customWidth="1"/>
    <col min="235" max="239" width="7.1796875" bestFit="1" customWidth="1"/>
    <col min="240" max="240" width="6.08984375" bestFit="1" customWidth="1"/>
    <col min="241" max="273" width="7.1796875" bestFit="1" customWidth="1"/>
    <col min="274" max="274" width="6.08984375" bestFit="1" customWidth="1"/>
    <col min="275" max="280" width="7.1796875" bestFit="1" customWidth="1"/>
    <col min="281" max="281" width="6.08984375" bestFit="1" customWidth="1"/>
    <col min="282" max="299" width="7.1796875" bestFit="1" customWidth="1"/>
    <col min="300" max="300" width="6.08984375" bestFit="1" customWidth="1"/>
    <col min="301" max="305" width="7.1796875" bestFit="1" customWidth="1"/>
    <col min="306" max="306" width="6.08984375" bestFit="1" customWidth="1"/>
    <col min="307" max="320" width="7.1796875" bestFit="1" customWidth="1"/>
    <col min="321" max="321" width="6.08984375" bestFit="1" customWidth="1"/>
    <col min="322" max="328" width="7.1796875" bestFit="1" customWidth="1"/>
    <col min="329" max="330" width="6.08984375" bestFit="1" customWidth="1"/>
    <col min="331" max="346" width="7.1796875" bestFit="1" customWidth="1"/>
    <col min="347" max="347" width="6.08984375" bestFit="1" customWidth="1"/>
    <col min="348" max="357" width="7.1796875" bestFit="1" customWidth="1"/>
    <col min="358" max="358" width="6.08984375" bestFit="1" customWidth="1"/>
    <col min="359" max="372" width="7.1796875" bestFit="1" customWidth="1"/>
    <col min="373" max="373" width="6.08984375" bestFit="1" customWidth="1"/>
    <col min="374" max="389" width="7.1796875" bestFit="1" customWidth="1"/>
    <col min="390" max="390" width="6.08984375" bestFit="1" customWidth="1"/>
    <col min="391" max="400" width="7.1796875" bestFit="1" customWidth="1"/>
    <col min="401" max="401" width="6.08984375" bestFit="1" customWidth="1"/>
    <col min="402" max="418" width="7.1796875" bestFit="1" customWidth="1"/>
    <col min="419" max="420" width="6.08984375" bestFit="1" customWidth="1"/>
    <col min="421" max="428" width="7.1796875" bestFit="1" customWidth="1"/>
    <col min="429" max="429" width="6.08984375" bestFit="1" customWidth="1"/>
    <col min="430" max="446" width="7.1796875" bestFit="1" customWidth="1"/>
    <col min="447" max="447" width="6.08984375" bestFit="1" customWidth="1"/>
    <col min="448" max="457" width="7.1796875" bestFit="1" customWidth="1"/>
    <col min="458" max="458" width="6.08984375" bestFit="1" customWidth="1"/>
    <col min="459" max="459" width="7.1796875" bestFit="1" customWidth="1"/>
    <col min="460" max="460" width="6.08984375" bestFit="1" customWidth="1"/>
    <col min="461" max="461" width="7.1796875" bestFit="1" customWidth="1"/>
    <col min="462" max="462" width="6.08984375" bestFit="1" customWidth="1"/>
    <col min="463" max="466" width="7.1796875" bestFit="1" customWidth="1"/>
    <col min="467" max="468" width="6.08984375" bestFit="1" customWidth="1"/>
    <col min="469" max="473" width="7.1796875" bestFit="1" customWidth="1"/>
    <col min="474" max="474" width="6.08984375" bestFit="1" customWidth="1"/>
    <col min="475" max="501" width="7.1796875" bestFit="1" customWidth="1"/>
    <col min="502" max="502" width="4" bestFit="1" customWidth="1"/>
    <col min="503" max="509" width="7.1796875" bestFit="1" customWidth="1"/>
    <col min="510" max="510" width="6.08984375" bestFit="1" customWidth="1"/>
    <col min="511" max="517" width="7.1796875" bestFit="1" customWidth="1"/>
    <col min="518" max="518" width="6.08984375" bestFit="1" customWidth="1"/>
    <col min="519" max="528" width="7.1796875" bestFit="1" customWidth="1"/>
    <col min="529" max="529" width="6.08984375" bestFit="1" customWidth="1"/>
    <col min="530" max="539" width="7.1796875" bestFit="1" customWidth="1"/>
    <col min="540" max="540" width="6.08984375" bestFit="1" customWidth="1"/>
    <col min="541" max="542" width="7.1796875" bestFit="1" customWidth="1"/>
    <col min="543" max="543" width="6.08984375" bestFit="1" customWidth="1"/>
    <col min="544" max="550" width="7.1796875" bestFit="1" customWidth="1"/>
    <col min="551" max="551" width="6.08984375" bestFit="1" customWidth="1"/>
    <col min="552" max="553" width="7.1796875" bestFit="1" customWidth="1"/>
    <col min="554" max="554" width="6.08984375" bestFit="1" customWidth="1"/>
    <col min="555" max="564" width="7.1796875" bestFit="1" customWidth="1"/>
    <col min="565" max="565" width="6.08984375" bestFit="1" customWidth="1"/>
    <col min="566" max="599" width="7.1796875" bestFit="1" customWidth="1"/>
    <col min="600" max="600" width="6.08984375" bestFit="1" customWidth="1"/>
    <col min="601" max="603" width="7.1796875" bestFit="1" customWidth="1"/>
    <col min="604" max="604" width="6.08984375" bestFit="1" customWidth="1"/>
    <col min="605" max="626" width="7.1796875" bestFit="1" customWidth="1"/>
    <col min="627" max="627" width="6.08984375" bestFit="1" customWidth="1"/>
    <col min="628" max="629" width="7.1796875" bestFit="1" customWidth="1"/>
    <col min="630" max="630" width="6.08984375" bestFit="1" customWidth="1"/>
    <col min="631" max="631" width="7.1796875" bestFit="1" customWidth="1"/>
    <col min="632" max="632" width="6.08984375" bestFit="1" customWidth="1"/>
    <col min="633" max="634" width="7.1796875" bestFit="1" customWidth="1"/>
    <col min="635" max="635" width="10.726562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S1" s="6" t="s">
        <v>106</v>
      </c>
    </row>
    <row r="2" spans="1:20" x14ac:dyDescent="0.35">
      <c r="A2" s="1">
        <v>45809</v>
      </c>
      <c r="B2" t="s">
        <v>17</v>
      </c>
      <c r="C2" t="s">
        <v>18</v>
      </c>
      <c r="D2" t="s">
        <v>19</v>
      </c>
      <c r="E2" t="s">
        <v>20</v>
      </c>
      <c r="F2">
        <v>141.74</v>
      </c>
      <c r="G2">
        <v>129.9</v>
      </c>
      <c r="H2">
        <v>89.69</v>
      </c>
      <c r="I2">
        <v>93.03</v>
      </c>
      <c r="J2">
        <v>78.91</v>
      </c>
      <c r="K2" t="s">
        <v>21</v>
      </c>
      <c r="L2">
        <v>6.5</v>
      </c>
      <c r="N2" t="s">
        <v>22</v>
      </c>
      <c r="O2">
        <v>5</v>
      </c>
      <c r="P2" t="s">
        <v>23</v>
      </c>
      <c r="Q2">
        <v>68.400000000000006</v>
      </c>
      <c r="S2" s="2" t="s">
        <v>1</v>
      </c>
      <c r="T2" t="s">
        <v>105</v>
      </c>
    </row>
    <row r="3" spans="1:20" x14ac:dyDescent="0.35">
      <c r="A3" s="1">
        <v>45809</v>
      </c>
      <c r="B3" t="s">
        <v>24</v>
      </c>
      <c r="C3" t="s">
        <v>25</v>
      </c>
      <c r="D3" t="s">
        <v>26</v>
      </c>
      <c r="E3" t="s">
        <v>27</v>
      </c>
      <c r="F3">
        <v>834.64</v>
      </c>
      <c r="G3">
        <v>26.5</v>
      </c>
      <c r="H3">
        <v>95.92</v>
      </c>
      <c r="I3">
        <v>98.2</v>
      </c>
      <c r="J3">
        <v>79.760000000000005</v>
      </c>
      <c r="K3" t="s">
        <v>28</v>
      </c>
      <c r="L3">
        <v>8.3000000000000007</v>
      </c>
      <c r="M3">
        <v>4.9000000000000004</v>
      </c>
      <c r="N3" t="s">
        <v>29</v>
      </c>
      <c r="O3">
        <v>8</v>
      </c>
      <c r="P3" t="s">
        <v>30</v>
      </c>
      <c r="Q3">
        <v>60.1</v>
      </c>
      <c r="S3" s="4" t="s">
        <v>59</v>
      </c>
      <c r="T3">
        <v>17328.599999999999</v>
      </c>
    </row>
    <row r="4" spans="1:20" x14ac:dyDescent="0.35">
      <c r="A4" s="1">
        <v>45809</v>
      </c>
      <c r="B4" t="s">
        <v>31</v>
      </c>
      <c r="C4" t="s">
        <v>18</v>
      </c>
      <c r="D4" t="s">
        <v>32</v>
      </c>
      <c r="E4" t="s">
        <v>33</v>
      </c>
      <c r="F4">
        <v>145.34</v>
      </c>
      <c r="G4">
        <v>161.19999999999999</v>
      </c>
      <c r="H4">
        <v>92.24</v>
      </c>
      <c r="I4">
        <v>96.81</v>
      </c>
      <c r="J4">
        <v>74.489999999999995</v>
      </c>
      <c r="K4" t="s">
        <v>34</v>
      </c>
      <c r="L4">
        <v>6</v>
      </c>
      <c r="M4">
        <v>1.7</v>
      </c>
      <c r="N4" t="s">
        <v>35</v>
      </c>
      <c r="O4">
        <v>7</v>
      </c>
      <c r="P4" t="s">
        <v>23</v>
      </c>
      <c r="Q4">
        <v>59.3</v>
      </c>
      <c r="S4" s="4" t="s">
        <v>55</v>
      </c>
      <c r="T4">
        <v>15959.200000000004</v>
      </c>
    </row>
    <row r="5" spans="1:20" x14ac:dyDescent="0.35">
      <c r="A5" s="1">
        <v>45809</v>
      </c>
      <c r="B5" t="s">
        <v>36</v>
      </c>
      <c r="C5" t="s">
        <v>37</v>
      </c>
      <c r="D5" t="s">
        <v>38</v>
      </c>
      <c r="E5" t="s">
        <v>27</v>
      </c>
      <c r="F5">
        <v>349.53</v>
      </c>
      <c r="G5">
        <v>69.400000000000006</v>
      </c>
      <c r="H5">
        <v>96.77</v>
      </c>
      <c r="I5">
        <v>95.56</v>
      </c>
      <c r="J5">
        <v>78.06</v>
      </c>
      <c r="K5" t="s">
        <v>28</v>
      </c>
      <c r="L5">
        <v>8</v>
      </c>
      <c r="M5">
        <v>3.2</v>
      </c>
      <c r="N5" t="s">
        <v>39</v>
      </c>
      <c r="O5">
        <v>12</v>
      </c>
      <c r="P5" t="s">
        <v>23</v>
      </c>
      <c r="Q5">
        <v>61</v>
      </c>
      <c r="S5" s="4" t="s">
        <v>36</v>
      </c>
      <c r="T5">
        <v>7743.5999999999995</v>
      </c>
    </row>
    <row r="6" spans="1:20" x14ac:dyDescent="0.35">
      <c r="A6" s="1">
        <v>45809</v>
      </c>
      <c r="B6" t="s">
        <v>40</v>
      </c>
      <c r="C6" t="s">
        <v>41</v>
      </c>
      <c r="D6" t="s">
        <v>42</v>
      </c>
      <c r="E6" t="s">
        <v>27</v>
      </c>
      <c r="F6">
        <v>502.43</v>
      </c>
      <c r="G6">
        <v>39.700000000000003</v>
      </c>
      <c r="H6">
        <v>92.27</v>
      </c>
      <c r="I6">
        <v>98.15</v>
      </c>
      <c r="J6">
        <v>75.23</v>
      </c>
      <c r="K6" t="s">
        <v>34</v>
      </c>
      <c r="L6">
        <v>8.3000000000000007</v>
      </c>
      <c r="M6">
        <v>1.6</v>
      </c>
      <c r="N6" t="s">
        <v>39</v>
      </c>
      <c r="O6">
        <v>14</v>
      </c>
      <c r="P6" t="s">
        <v>43</v>
      </c>
      <c r="Q6">
        <v>61.2</v>
      </c>
      <c r="S6" s="4" t="s">
        <v>93</v>
      </c>
      <c r="T6">
        <v>7184.5999999999976</v>
      </c>
    </row>
    <row r="7" spans="1:20" x14ac:dyDescent="0.35">
      <c r="A7" s="1">
        <v>45809</v>
      </c>
      <c r="B7" t="s">
        <v>44</v>
      </c>
      <c r="C7" t="s">
        <v>45</v>
      </c>
      <c r="D7" t="s">
        <v>46</v>
      </c>
      <c r="E7" t="s">
        <v>27</v>
      </c>
      <c r="F7">
        <v>402.32</v>
      </c>
      <c r="G7">
        <v>287.39999999999998</v>
      </c>
      <c r="H7">
        <v>92.85</v>
      </c>
      <c r="I7">
        <v>99.34</v>
      </c>
      <c r="J7">
        <v>77.58</v>
      </c>
      <c r="K7" t="s">
        <v>47</v>
      </c>
      <c r="L7">
        <v>8.1</v>
      </c>
      <c r="M7">
        <v>2.2999999999999998</v>
      </c>
      <c r="N7" t="s">
        <v>39</v>
      </c>
      <c r="O7">
        <v>11</v>
      </c>
      <c r="P7" t="s">
        <v>23</v>
      </c>
      <c r="Q7">
        <v>63.6</v>
      </c>
      <c r="S7" s="4" t="s">
        <v>48</v>
      </c>
      <c r="T7">
        <v>6972.0000000000009</v>
      </c>
    </row>
    <row r="8" spans="1:20" x14ac:dyDescent="0.35">
      <c r="A8" s="1">
        <v>45809</v>
      </c>
      <c r="B8" t="s">
        <v>48</v>
      </c>
      <c r="C8" t="s">
        <v>49</v>
      </c>
      <c r="D8" t="s">
        <v>50</v>
      </c>
      <c r="E8" t="s">
        <v>33</v>
      </c>
      <c r="F8">
        <v>235.64</v>
      </c>
      <c r="G8">
        <v>219.2</v>
      </c>
      <c r="H8">
        <v>96.41</v>
      </c>
      <c r="I8">
        <v>94.22</v>
      </c>
      <c r="J8">
        <v>79.069999999999993</v>
      </c>
      <c r="K8" t="s">
        <v>47</v>
      </c>
      <c r="L8">
        <v>7.2</v>
      </c>
      <c r="M8">
        <v>3.4</v>
      </c>
      <c r="N8" t="s">
        <v>35</v>
      </c>
      <c r="O8">
        <v>9</v>
      </c>
      <c r="P8" t="s">
        <v>23</v>
      </c>
      <c r="Q8">
        <v>61.3</v>
      </c>
      <c r="S8" s="4" t="s">
        <v>40</v>
      </c>
      <c r="T8">
        <v>6010.1000000000013</v>
      </c>
    </row>
    <row r="9" spans="1:20" x14ac:dyDescent="0.35">
      <c r="A9" s="1">
        <v>45809</v>
      </c>
      <c r="B9" t="s">
        <v>51</v>
      </c>
      <c r="C9" t="s">
        <v>45</v>
      </c>
      <c r="D9" t="s">
        <v>52</v>
      </c>
      <c r="E9" t="s">
        <v>27</v>
      </c>
      <c r="F9">
        <v>897.85</v>
      </c>
      <c r="G9">
        <v>589.9</v>
      </c>
      <c r="H9">
        <v>93.65</v>
      </c>
      <c r="I9">
        <v>99.27</v>
      </c>
      <c r="J9">
        <v>75.23</v>
      </c>
      <c r="K9" t="s">
        <v>47</v>
      </c>
      <c r="L9">
        <v>9</v>
      </c>
      <c r="M9">
        <v>4.5999999999999996</v>
      </c>
      <c r="N9" t="s">
        <v>29</v>
      </c>
      <c r="O9">
        <v>14</v>
      </c>
      <c r="P9" t="s">
        <v>23</v>
      </c>
      <c r="Q9">
        <v>63.3</v>
      </c>
      <c r="S9" s="4" t="s">
        <v>95</v>
      </c>
      <c r="T9">
        <v>5976.0000000000018</v>
      </c>
    </row>
    <row r="10" spans="1:20" x14ac:dyDescent="0.35">
      <c r="A10" s="1">
        <v>45809</v>
      </c>
      <c r="B10" t="s">
        <v>53</v>
      </c>
      <c r="C10" t="s">
        <v>41</v>
      </c>
      <c r="D10" t="s">
        <v>54</v>
      </c>
      <c r="E10" t="s">
        <v>27</v>
      </c>
      <c r="F10">
        <v>318.18</v>
      </c>
      <c r="G10">
        <v>36.4</v>
      </c>
      <c r="H10">
        <v>92.33</v>
      </c>
      <c r="I10">
        <v>96.83</v>
      </c>
      <c r="J10">
        <v>82.94</v>
      </c>
      <c r="K10" t="s">
        <v>47</v>
      </c>
      <c r="L10">
        <v>8.1999999999999993</v>
      </c>
      <c r="M10">
        <v>3.7</v>
      </c>
      <c r="N10" t="s">
        <v>39</v>
      </c>
      <c r="O10">
        <v>15</v>
      </c>
      <c r="P10" t="s">
        <v>43</v>
      </c>
      <c r="Q10">
        <v>60.6</v>
      </c>
      <c r="S10" s="4" t="s">
        <v>24</v>
      </c>
      <c r="T10">
        <v>5644.2000000000007</v>
      </c>
    </row>
    <row r="11" spans="1:20" x14ac:dyDescent="0.35">
      <c r="A11" s="1">
        <v>45809</v>
      </c>
      <c r="B11" t="s">
        <v>55</v>
      </c>
      <c r="C11" t="s">
        <v>56</v>
      </c>
      <c r="D11">
        <v>4</v>
      </c>
      <c r="E11" t="s">
        <v>57</v>
      </c>
      <c r="F11">
        <v>30</v>
      </c>
      <c r="G11">
        <v>120.7</v>
      </c>
      <c r="H11">
        <v>91.48</v>
      </c>
      <c r="I11">
        <v>94.79</v>
      </c>
      <c r="J11">
        <v>73.709999999999994</v>
      </c>
      <c r="K11" t="s">
        <v>58</v>
      </c>
      <c r="L11">
        <v>6.1</v>
      </c>
      <c r="N11" t="s">
        <v>35</v>
      </c>
      <c r="O11">
        <v>3</v>
      </c>
      <c r="P11" t="s">
        <v>43</v>
      </c>
      <c r="Q11">
        <v>67.099999999999994</v>
      </c>
      <c r="S11" s="4" t="s">
        <v>86</v>
      </c>
      <c r="T11">
        <v>5633.800000000002</v>
      </c>
    </row>
    <row r="12" spans="1:20" x14ac:dyDescent="0.35">
      <c r="A12" s="1">
        <v>45809</v>
      </c>
      <c r="B12" t="s">
        <v>59</v>
      </c>
      <c r="C12" t="s">
        <v>60</v>
      </c>
      <c r="D12" t="s">
        <v>61</v>
      </c>
      <c r="E12" t="s">
        <v>62</v>
      </c>
      <c r="F12">
        <v>415.05</v>
      </c>
      <c r="G12">
        <v>178.3</v>
      </c>
      <c r="H12">
        <v>89.34</v>
      </c>
      <c r="I12">
        <v>93.41</v>
      </c>
      <c r="J12">
        <v>89.56</v>
      </c>
      <c r="K12" t="s">
        <v>63</v>
      </c>
      <c r="L12">
        <v>8.6999999999999993</v>
      </c>
      <c r="N12" t="s">
        <v>35</v>
      </c>
      <c r="O12">
        <v>5</v>
      </c>
      <c r="P12" t="s">
        <v>43</v>
      </c>
      <c r="Q12">
        <v>75.900000000000006</v>
      </c>
      <c r="S12" s="4" t="s">
        <v>53</v>
      </c>
      <c r="T12">
        <v>5582.9000000000015</v>
      </c>
    </row>
    <row r="13" spans="1:20" x14ac:dyDescent="0.35">
      <c r="A13" s="1">
        <v>45809</v>
      </c>
      <c r="B13" t="s">
        <v>31</v>
      </c>
      <c r="C13" t="s">
        <v>18</v>
      </c>
      <c r="D13" t="s">
        <v>32</v>
      </c>
      <c r="E13" t="s">
        <v>27</v>
      </c>
      <c r="F13">
        <v>298.29000000000002</v>
      </c>
      <c r="G13">
        <v>52.5</v>
      </c>
      <c r="H13">
        <v>93.18</v>
      </c>
      <c r="I13">
        <v>94.83</v>
      </c>
      <c r="J13">
        <v>83.07</v>
      </c>
      <c r="K13" t="s">
        <v>28</v>
      </c>
      <c r="L13">
        <v>7.2</v>
      </c>
      <c r="M13">
        <v>3</v>
      </c>
      <c r="N13" t="s">
        <v>39</v>
      </c>
      <c r="O13">
        <v>8</v>
      </c>
      <c r="P13" t="s">
        <v>23</v>
      </c>
      <c r="Q13">
        <v>59.6</v>
      </c>
      <c r="S13" s="4" t="s">
        <v>78</v>
      </c>
      <c r="T13">
        <v>4548.5999999999976</v>
      </c>
    </row>
    <row r="14" spans="1:20" x14ac:dyDescent="0.35">
      <c r="A14" s="1">
        <v>45809</v>
      </c>
      <c r="B14" t="s">
        <v>64</v>
      </c>
      <c r="C14" t="s">
        <v>25</v>
      </c>
      <c r="D14" t="s">
        <v>65</v>
      </c>
      <c r="E14" t="s">
        <v>27</v>
      </c>
      <c r="F14">
        <v>756.15</v>
      </c>
      <c r="G14">
        <v>26.1</v>
      </c>
      <c r="H14">
        <v>92.68</v>
      </c>
      <c r="I14">
        <v>96.44</v>
      </c>
      <c r="J14">
        <v>81.790000000000006</v>
      </c>
      <c r="K14" t="s">
        <v>28</v>
      </c>
      <c r="L14">
        <v>9.1999999999999993</v>
      </c>
      <c r="M14">
        <v>3.6</v>
      </c>
      <c r="N14" t="s">
        <v>39</v>
      </c>
      <c r="O14">
        <v>11</v>
      </c>
      <c r="P14" t="s">
        <v>30</v>
      </c>
      <c r="Q14">
        <v>61.9</v>
      </c>
      <c r="S14" s="4" t="s">
        <v>64</v>
      </c>
      <c r="T14">
        <v>4493.2999999999984</v>
      </c>
    </row>
    <row r="15" spans="1:20" x14ac:dyDescent="0.35">
      <c r="A15" s="1">
        <v>45809</v>
      </c>
      <c r="B15" t="s">
        <v>66</v>
      </c>
      <c r="C15" t="s">
        <v>67</v>
      </c>
      <c r="D15" t="s">
        <v>68</v>
      </c>
      <c r="E15" t="s">
        <v>27</v>
      </c>
      <c r="F15">
        <v>715.35</v>
      </c>
      <c r="G15">
        <v>27.2</v>
      </c>
      <c r="H15">
        <v>93.9</v>
      </c>
      <c r="I15">
        <v>94.6</v>
      </c>
      <c r="J15">
        <v>82.61</v>
      </c>
      <c r="K15" t="s">
        <v>47</v>
      </c>
      <c r="L15">
        <v>8.4</v>
      </c>
      <c r="M15">
        <v>4.2</v>
      </c>
      <c r="N15" t="s">
        <v>29</v>
      </c>
      <c r="O15">
        <v>11</v>
      </c>
      <c r="P15" t="s">
        <v>23</v>
      </c>
      <c r="Q15">
        <v>60.3</v>
      </c>
      <c r="S15" s="4" t="s">
        <v>69</v>
      </c>
      <c r="T15">
        <v>4239.7999999999975</v>
      </c>
    </row>
    <row r="16" spans="1:20" x14ac:dyDescent="0.35">
      <c r="A16" s="1">
        <v>45809</v>
      </c>
      <c r="B16" t="s">
        <v>69</v>
      </c>
      <c r="C16" t="s">
        <v>18</v>
      </c>
      <c r="D16" t="s">
        <v>70</v>
      </c>
      <c r="E16" t="s">
        <v>20</v>
      </c>
      <c r="F16">
        <v>185.56</v>
      </c>
      <c r="G16">
        <v>150.5</v>
      </c>
      <c r="H16">
        <v>89.15</v>
      </c>
      <c r="I16">
        <v>93.79</v>
      </c>
      <c r="J16">
        <v>74.239999999999995</v>
      </c>
      <c r="K16" t="s">
        <v>21</v>
      </c>
      <c r="L16">
        <v>6.5</v>
      </c>
      <c r="N16" t="s">
        <v>35</v>
      </c>
      <c r="O16">
        <v>8</v>
      </c>
      <c r="P16" t="s">
        <v>23</v>
      </c>
      <c r="Q16">
        <v>68</v>
      </c>
      <c r="S16" s="4" t="s">
        <v>17</v>
      </c>
      <c r="T16">
        <v>3953.7999999999993</v>
      </c>
    </row>
    <row r="17" spans="1:21" x14ac:dyDescent="0.35">
      <c r="A17" s="1">
        <v>45809</v>
      </c>
      <c r="B17" t="s">
        <v>71</v>
      </c>
      <c r="C17" t="s">
        <v>72</v>
      </c>
      <c r="D17" t="s">
        <v>73</v>
      </c>
      <c r="E17" t="s">
        <v>33</v>
      </c>
      <c r="F17">
        <v>87.52</v>
      </c>
      <c r="G17">
        <v>185.8</v>
      </c>
      <c r="H17">
        <v>95.77</v>
      </c>
      <c r="I17">
        <v>94.36</v>
      </c>
      <c r="J17">
        <v>78.72</v>
      </c>
      <c r="K17" t="s">
        <v>47</v>
      </c>
      <c r="L17">
        <v>6.4</v>
      </c>
      <c r="M17">
        <v>2.6</v>
      </c>
      <c r="N17" t="s">
        <v>35</v>
      </c>
      <c r="O17">
        <v>9</v>
      </c>
      <c r="P17" t="s">
        <v>23</v>
      </c>
      <c r="Q17">
        <v>60.4</v>
      </c>
      <c r="S17" s="4" t="s">
        <v>82</v>
      </c>
      <c r="T17">
        <v>3794.3000000000006</v>
      </c>
    </row>
    <row r="18" spans="1:21" x14ac:dyDescent="0.35">
      <c r="A18" s="1">
        <v>45809</v>
      </c>
      <c r="B18" t="s">
        <v>64</v>
      </c>
      <c r="C18" t="s">
        <v>25</v>
      </c>
      <c r="D18" t="s">
        <v>65</v>
      </c>
      <c r="E18" t="s">
        <v>27</v>
      </c>
      <c r="F18">
        <v>755.34</v>
      </c>
      <c r="G18">
        <v>25.7</v>
      </c>
      <c r="H18">
        <v>94.87</v>
      </c>
      <c r="I18">
        <v>97.52</v>
      </c>
      <c r="J18">
        <v>82.51</v>
      </c>
      <c r="K18" t="s">
        <v>34</v>
      </c>
      <c r="L18">
        <v>8.4</v>
      </c>
      <c r="M18">
        <v>4.0999999999999996</v>
      </c>
      <c r="N18" t="s">
        <v>29</v>
      </c>
      <c r="O18">
        <v>13</v>
      </c>
      <c r="P18" t="s">
        <v>30</v>
      </c>
      <c r="Q18">
        <v>60.9</v>
      </c>
      <c r="S18" s="4" t="s">
        <v>71</v>
      </c>
      <c r="T18">
        <v>3759.8999999999996</v>
      </c>
    </row>
    <row r="19" spans="1:21" x14ac:dyDescent="0.35">
      <c r="A19" s="1">
        <v>45809</v>
      </c>
      <c r="B19" t="s">
        <v>44</v>
      </c>
      <c r="C19" t="s">
        <v>45</v>
      </c>
      <c r="D19" t="s">
        <v>46</v>
      </c>
      <c r="E19" t="s">
        <v>27</v>
      </c>
      <c r="F19">
        <v>314.67</v>
      </c>
      <c r="G19">
        <v>459.6</v>
      </c>
      <c r="H19">
        <v>93.1</v>
      </c>
      <c r="I19">
        <v>98.61</v>
      </c>
      <c r="J19">
        <v>81.56</v>
      </c>
      <c r="K19" t="s">
        <v>47</v>
      </c>
      <c r="L19">
        <v>7.5</v>
      </c>
      <c r="M19">
        <v>3.8</v>
      </c>
      <c r="N19" t="s">
        <v>39</v>
      </c>
      <c r="O19">
        <v>14</v>
      </c>
      <c r="P19" t="s">
        <v>23</v>
      </c>
      <c r="Q19">
        <v>62.2</v>
      </c>
      <c r="S19" s="4" t="s">
        <v>84</v>
      </c>
      <c r="T19">
        <v>3647.3999999999996</v>
      </c>
    </row>
    <row r="20" spans="1:21" x14ac:dyDescent="0.35">
      <c r="A20" s="1">
        <v>45809</v>
      </c>
      <c r="B20" t="s">
        <v>74</v>
      </c>
      <c r="C20" t="s">
        <v>67</v>
      </c>
      <c r="D20" t="s">
        <v>75</v>
      </c>
      <c r="E20" t="s">
        <v>27</v>
      </c>
      <c r="F20">
        <v>703.92</v>
      </c>
      <c r="G20">
        <v>71.7</v>
      </c>
      <c r="H20">
        <v>93.48</v>
      </c>
      <c r="I20">
        <v>96.28</v>
      </c>
      <c r="J20">
        <v>76.98</v>
      </c>
      <c r="K20" t="s">
        <v>28</v>
      </c>
      <c r="L20">
        <v>9.1999999999999993</v>
      </c>
      <c r="M20">
        <v>1.9</v>
      </c>
      <c r="N20" t="s">
        <v>39</v>
      </c>
      <c r="O20">
        <v>10</v>
      </c>
      <c r="P20" t="s">
        <v>43</v>
      </c>
      <c r="Q20">
        <v>63.3</v>
      </c>
      <c r="S20" s="4" t="s">
        <v>31</v>
      </c>
      <c r="T20">
        <v>3595.3000000000006</v>
      </c>
    </row>
    <row r="21" spans="1:21" x14ac:dyDescent="0.35">
      <c r="A21" s="1">
        <v>45809</v>
      </c>
      <c r="B21" t="s">
        <v>48</v>
      </c>
      <c r="C21" t="s">
        <v>49</v>
      </c>
      <c r="D21" t="s">
        <v>50</v>
      </c>
      <c r="E21" t="s">
        <v>33</v>
      </c>
      <c r="F21">
        <v>363.27</v>
      </c>
      <c r="G21">
        <v>82</v>
      </c>
      <c r="H21">
        <v>93.27</v>
      </c>
      <c r="I21">
        <v>95.67</v>
      </c>
      <c r="J21">
        <v>71.92</v>
      </c>
      <c r="K21" t="s">
        <v>28</v>
      </c>
      <c r="L21">
        <v>7.4</v>
      </c>
      <c r="M21">
        <v>2</v>
      </c>
      <c r="N21" t="s">
        <v>22</v>
      </c>
      <c r="O21">
        <v>8</v>
      </c>
      <c r="P21" t="s">
        <v>23</v>
      </c>
      <c r="Q21">
        <v>59.4</v>
      </c>
      <c r="S21" s="4" t="s">
        <v>80</v>
      </c>
      <c r="T21">
        <v>3566.1000000000008</v>
      </c>
    </row>
    <row r="22" spans="1:21" x14ac:dyDescent="0.35">
      <c r="A22" s="1">
        <v>45809</v>
      </c>
      <c r="B22" t="s">
        <v>31</v>
      </c>
      <c r="C22" t="s">
        <v>18</v>
      </c>
      <c r="D22" t="s">
        <v>32</v>
      </c>
      <c r="E22" t="s">
        <v>33</v>
      </c>
      <c r="F22">
        <v>129.97999999999999</v>
      </c>
      <c r="G22">
        <v>177.8</v>
      </c>
      <c r="H22">
        <v>97.15</v>
      </c>
      <c r="I22">
        <v>94.58</v>
      </c>
      <c r="J22">
        <v>74.459999999999994</v>
      </c>
      <c r="K22" t="s">
        <v>28</v>
      </c>
      <c r="L22">
        <v>7.5</v>
      </c>
      <c r="M22">
        <v>2.8</v>
      </c>
      <c r="N22" t="s">
        <v>22</v>
      </c>
      <c r="O22">
        <v>5</v>
      </c>
      <c r="P22" t="s">
        <v>23</v>
      </c>
      <c r="Q22">
        <v>61.7</v>
      </c>
      <c r="S22" s="4" t="s">
        <v>91</v>
      </c>
      <c r="T22">
        <v>3528.2000000000007</v>
      </c>
    </row>
    <row r="23" spans="1:21" x14ac:dyDescent="0.35">
      <c r="A23" s="1">
        <v>45809</v>
      </c>
      <c r="B23" t="s">
        <v>76</v>
      </c>
      <c r="C23" t="s">
        <v>45</v>
      </c>
      <c r="D23" t="s">
        <v>77</v>
      </c>
      <c r="E23" t="s">
        <v>27</v>
      </c>
      <c r="F23">
        <v>611</v>
      </c>
      <c r="G23">
        <v>368.4</v>
      </c>
      <c r="H23">
        <v>95.26</v>
      </c>
      <c r="I23">
        <v>98.03</v>
      </c>
      <c r="J23">
        <v>75.45</v>
      </c>
      <c r="K23" t="s">
        <v>28</v>
      </c>
      <c r="L23">
        <v>8.4</v>
      </c>
      <c r="M23">
        <v>3.3</v>
      </c>
      <c r="N23" t="s">
        <v>39</v>
      </c>
      <c r="O23">
        <v>10</v>
      </c>
      <c r="P23" t="s">
        <v>23</v>
      </c>
      <c r="Q23">
        <v>63.3</v>
      </c>
      <c r="S23" s="4" t="s">
        <v>99</v>
      </c>
      <c r="T23">
        <v>3471.0000000000009</v>
      </c>
    </row>
    <row r="24" spans="1:21" x14ac:dyDescent="0.35">
      <c r="A24" s="1">
        <v>45809</v>
      </c>
      <c r="B24" t="s">
        <v>55</v>
      </c>
      <c r="C24" t="s">
        <v>56</v>
      </c>
      <c r="D24">
        <v>4</v>
      </c>
      <c r="E24" t="s">
        <v>57</v>
      </c>
      <c r="F24">
        <v>30</v>
      </c>
      <c r="G24">
        <v>145.9</v>
      </c>
      <c r="H24">
        <v>88.45</v>
      </c>
      <c r="I24">
        <v>95.14</v>
      </c>
      <c r="J24">
        <v>72.3</v>
      </c>
      <c r="K24" t="s">
        <v>58</v>
      </c>
      <c r="L24">
        <v>7.2</v>
      </c>
      <c r="N24" t="s">
        <v>35</v>
      </c>
      <c r="O24">
        <v>5</v>
      </c>
      <c r="P24" t="s">
        <v>43</v>
      </c>
      <c r="Q24">
        <v>69.099999999999994</v>
      </c>
      <c r="S24" s="4" t="s">
        <v>44</v>
      </c>
      <c r="T24">
        <v>3450.2</v>
      </c>
    </row>
    <row r="25" spans="1:21" x14ac:dyDescent="0.35">
      <c r="A25" s="1">
        <v>45809</v>
      </c>
      <c r="B25" t="s">
        <v>78</v>
      </c>
      <c r="C25" t="s">
        <v>41</v>
      </c>
      <c r="D25" t="s">
        <v>79</v>
      </c>
      <c r="E25" t="s">
        <v>27</v>
      </c>
      <c r="F25">
        <v>379.85</v>
      </c>
      <c r="G25">
        <v>29</v>
      </c>
      <c r="H25">
        <v>97.1</v>
      </c>
      <c r="I25">
        <v>96.91</v>
      </c>
      <c r="J25">
        <v>79.739999999999995</v>
      </c>
      <c r="K25" t="s">
        <v>47</v>
      </c>
      <c r="L25">
        <v>8.4</v>
      </c>
      <c r="M25">
        <v>1.7</v>
      </c>
      <c r="N25" t="s">
        <v>29</v>
      </c>
      <c r="O25">
        <v>10</v>
      </c>
      <c r="P25" t="s">
        <v>43</v>
      </c>
      <c r="Q25">
        <v>62.4</v>
      </c>
      <c r="S25" s="4" t="s">
        <v>97</v>
      </c>
      <c r="T25">
        <v>3404.6999999999985</v>
      </c>
    </row>
    <row r="26" spans="1:21" x14ac:dyDescent="0.35">
      <c r="A26" s="1">
        <v>45809</v>
      </c>
      <c r="B26" t="s">
        <v>59</v>
      </c>
      <c r="C26" t="s">
        <v>60</v>
      </c>
      <c r="D26" t="s">
        <v>61</v>
      </c>
      <c r="E26" t="s">
        <v>62</v>
      </c>
      <c r="F26">
        <v>458.01</v>
      </c>
      <c r="G26">
        <v>189.4</v>
      </c>
      <c r="H26">
        <v>87.3</v>
      </c>
      <c r="I26">
        <v>96.78</v>
      </c>
      <c r="J26">
        <v>91.48</v>
      </c>
      <c r="K26" t="s">
        <v>34</v>
      </c>
      <c r="L26">
        <v>8.6</v>
      </c>
      <c r="N26" t="s">
        <v>35</v>
      </c>
      <c r="O26">
        <v>3</v>
      </c>
      <c r="P26" t="s">
        <v>43</v>
      </c>
      <c r="Q26">
        <v>76.3</v>
      </c>
      <c r="S26" s="4" t="s">
        <v>74</v>
      </c>
      <c r="T26">
        <v>3402.2999999999993</v>
      </c>
    </row>
    <row r="27" spans="1:21" x14ac:dyDescent="0.35">
      <c r="A27" s="1">
        <v>45809</v>
      </c>
      <c r="B27" t="s">
        <v>80</v>
      </c>
      <c r="C27" t="s">
        <v>45</v>
      </c>
      <c r="D27" t="s">
        <v>81</v>
      </c>
      <c r="E27" t="s">
        <v>27</v>
      </c>
      <c r="F27">
        <v>345.3</v>
      </c>
      <c r="G27">
        <v>644.70000000000005</v>
      </c>
      <c r="H27">
        <v>94.51</v>
      </c>
      <c r="I27">
        <v>99.21</v>
      </c>
      <c r="J27">
        <v>76.790000000000006</v>
      </c>
      <c r="K27" t="s">
        <v>47</v>
      </c>
      <c r="L27">
        <v>8.3000000000000007</v>
      </c>
      <c r="M27">
        <v>2</v>
      </c>
      <c r="N27" t="s">
        <v>29</v>
      </c>
      <c r="O27">
        <v>10</v>
      </c>
      <c r="P27" t="s">
        <v>23</v>
      </c>
      <c r="Q27">
        <v>64.3</v>
      </c>
      <c r="S27" s="4" t="s">
        <v>76</v>
      </c>
      <c r="T27">
        <v>3373.4999999999995</v>
      </c>
    </row>
    <row r="28" spans="1:21" x14ac:dyDescent="0.35">
      <c r="A28" s="1">
        <v>45809</v>
      </c>
      <c r="B28" t="s">
        <v>55</v>
      </c>
      <c r="C28" t="s">
        <v>56</v>
      </c>
      <c r="D28">
        <v>4</v>
      </c>
      <c r="E28" t="s">
        <v>57</v>
      </c>
      <c r="F28">
        <v>30</v>
      </c>
      <c r="G28">
        <v>167.4</v>
      </c>
      <c r="H28">
        <v>88.86</v>
      </c>
      <c r="I28">
        <v>95.57</v>
      </c>
      <c r="J28">
        <v>71.45</v>
      </c>
      <c r="K28" t="s">
        <v>63</v>
      </c>
      <c r="L28">
        <v>7.4</v>
      </c>
      <c r="N28" t="s">
        <v>35</v>
      </c>
      <c r="O28">
        <v>4</v>
      </c>
      <c r="P28" t="s">
        <v>43</v>
      </c>
      <c r="Q28">
        <v>70</v>
      </c>
      <c r="S28" s="4" t="s">
        <v>101</v>
      </c>
      <c r="T28">
        <v>3202.7</v>
      </c>
      <c r="U28">
        <f>COUNTA(S3:S31)</f>
        <v>29</v>
      </c>
    </row>
    <row r="29" spans="1:21" x14ac:dyDescent="0.35">
      <c r="A29" s="1">
        <v>45809</v>
      </c>
      <c r="B29" t="s">
        <v>40</v>
      </c>
      <c r="C29" t="s">
        <v>41</v>
      </c>
      <c r="D29" t="s">
        <v>42</v>
      </c>
      <c r="E29" t="s">
        <v>27</v>
      </c>
      <c r="F29">
        <v>476.23</v>
      </c>
      <c r="G29">
        <v>36.299999999999997</v>
      </c>
      <c r="H29">
        <v>94.19</v>
      </c>
      <c r="I29">
        <v>96.6</v>
      </c>
      <c r="J29">
        <v>83.18</v>
      </c>
      <c r="K29" t="s">
        <v>47</v>
      </c>
      <c r="L29">
        <v>9.1999999999999993</v>
      </c>
      <c r="M29">
        <v>1.6</v>
      </c>
      <c r="N29" t="s">
        <v>29</v>
      </c>
      <c r="O29">
        <v>15</v>
      </c>
      <c r="P29" t="s">
        <v>43</v>
      </c>
      <c r="Q29">
        <v>64</v>
      </c>
      <c r="S29" s="4" t="s">
        <v>51</v>
      </c>
      <c r="T29">
        <v>3107.8</v>
      </c>
    </row>
    <row r="30" spans="1:21" x14ac:dyDescent="0.35">
      <c r="A30" s="1">
        <v>45809</v>
      </c>
      <c r="B30" t="s">
        <v>82</v>
      </c>
      <c r="C30" t="s">
        <v>72</v>
      </c>
      <c r="D30" t="s">
        <v>83</v>
      </c>
      <c r="E30" t="s">
        <v>20</v>
      </c>
      <c r="F30">
        <v>70.61</v>
      </c>
      <c r="G30">
        <v>114.5</v>
      </c>
      <c r="H30">
        <v>88.96</v>
      </c>
      <c r="I30">
        <v>96.7</v>
      </c>
      <c r="J30">
        <v>76.45</v>
      </c>
      <c r="K30" t="s">
        <v>63</v>
      </c>
      <c r="L30">
        <v>7.5</v>
      </c>
      <c r="N30" t="s">
        <v>22</v>
      </c>
      <c r="O30">
        <v>6</v>
      </c>
      <c r="P30" t="s">
        <v>43</v>
      </c>
      <c r="Q30">
        <v>70.099999999999994</v>
      </c>
      <c r="S30" s="4" t="s">
        <v>66</v>
      </c>
      <c r="T30">
        <v>2792.2</v>
      </c>
    </row>
    <row r="31" spans="1:21" x14ac:dyDescent="0.35">
      <c r="A31" s="1">
        <v>45809</v>
      </c>
      <c r="B31" t="s">
        <v>44</v>
      </c>
      <c r="C31" t="s">
        <v>45</v>
      </c>
      <c r="D31" t="s">
        <v>46</v>
      </c>
      <c r="E31" t="s">
        <v>33</v>
      </c>
      <c r="F31">
        <v>821.15</v>
      </c>
      <c r="G31">
        <v>512.5</v>
      </c>
      <c r="H31">
        <v>96.54</v>
      </c>
      <c r="I31">
        <v>98.26</v>
      </c>
      <c r="J31">
        <v>78.56</v>
      </c>
      <c r="K31" t="s">
        <v>34</v>
      </c>
      <c r="L31">
        <v>9.1999999999999993</v>
      </c>
      <c r="M31">
        <v>3.3</v>
      </c>
      <c r="N31" t="s">
        <v>35</v>
      </c>
      <c r="O31">
        <v>10</v>
      </c>
      <c r="P31" t="s">
        <v>23</v>
      </c>
      <c r="Q31">
        <v>65.400000000000006</v>
      </c>
      <c r="S31" s="4" t="s">
        <v>89</v>
      </c>
      <c r="T31">
        <v>2747.0000000000005</v>
      </c>
    </row>
    <row r="32" spans="1:21" x14ac:dyDescent="0.35">
      <c r="A32" s="1">
        <v>45809</v>
      </c>
      <c r="B32" t="s">
        <v>31</v>
      </c>
      <c r="C32" t="s">
        <v>18</v>
      </c>
      <c r="D32" t="s">
        <v>32</v>
      </c>
      <c r="E32" t="s">
        <v>33</v>
      </c>
      <c r="F32">
        <v>322.69</v>
      </c>
      <c r="G32">
        <v>223.1</v>
      </c>
      <c r="H32">
        <v>92.67</v>
      </c>
      <c r="I32">
        <v>94.77</v>
      </c>
      <c r="J32">
        <v>75.42</v>
      </c>
      <c r="K32" t="s">
        <v>34</v>
      </c>
      <c r="L32">
        <v>7</v>
      </c>
      <c r="M32">
        <v>1.5</v>
      </c>
      <c r="N32" t="s">
        <v>35</v>
      </c>
      <c r="O32">
        <v>8</v>
      </c>
      <c r="P32" t="s">
        <v>23</v>
      </c>
      <c r="Q32">
        <v>61.1</v>
      </c>
      <c r="S32" s="4" t="s">
        <v>104</v>
      </c>
      <c r="T32">
        <v>152113.1</v>
      </c>
    </row>
    <row r="33" spans="1:20" x14ac:dyDescent="0.35">
      <c r="A33" s="1">
        <v>45809</v>
      </c>
      <c r="B33" t="s">
        <v>71</v>
      </c>
      <c r="C33" t="s">
        <v>72</v>
      </c>
      <c r="D33" t="s">
        <v>73</v>
      </c>
      <c r="E33" t="s">
        <v>33</v>
      </c>
      <c r="F33">
        <v>181.53</v>
      </c>
      <c r="G33">
        <v>190.6</v>
      </c>
      <c r="H33">
        <v>92.14</v>
      </c>
      <c r="I33">
        <v>96.69</v>
      </c>
      <c r="J33">
        <v>75.58</v>
      </c>
      <c r="K33" t="s">
        <v>28</v>
      </c>
      <c r="L33">
        <v>7.7</v>
      </c>
      <c r="M33">
        <v>3.1</v>
      </c>
      <c r="N33" t="s">
        <v>22</v>
      </c>
      <c r="O33">
        <v>8</v>
      </c>
      <c r="P33" t="s">
        <v>43</v>
      </c>
      <c r="Q33">
        <v>61.5</v>
      </c>
    </row>
    <row r="34" spans="1:20" x14ac:dyDescent="0.35">
      <c r="A34" s="1">
        <v>45809</v>
      </c>
      <c r="B34" t="s">
        <v>55</v>
      </c>
      <c r="C34" t="s">
        <v>56</v>
      </c>
      <c r="D34">
        <v>4</v>
      </c>
      <c r="E34" t="s">
        <v>57</v>
      </c>
      <c r="F34">
        <v>30</v>
      </c>
      <c r="G34">
        <v>138.4</v>
      </c>
      <c r="H34">
        <v>88.4</v>
      </c>
      <c r="I34">
        <v>95.44</v>
      </c>
      <c r="J34">
        <v>70.37</v>
      </c>
      <c r="K34" t="s">
        <v>63</v>
      </c>
      <c r="L34">
        <v>6.8</v>
      </c>
      <c r="N34" t="s">
        <v>35</v>
      </c>
      <c r="O34">
        <v>5</v>
      </c>
      <c r="P34" t="s">
        <v>43</v>
      </c>
      <c r="Q34">
        <v>67.7</v>
      </c>
      <c r="S34" s="7" t="s">
        <v>108</v>
      </c>
    </row>
    <row r="35" spans="1:20" x14ac:dyDescent="0.35">
      <c r="A35" s="1">
        <v>45809</v>
      </c>
      <c r="B35" t="s">
        <v>44</v>
      </c>
      <c r="C35" t="s">
        <v>45</v>
      </c>
      <c r="D35" t="s">
        <v>46</v>
      </c>
      <c r="E35" t="s">
        <v>27</v>
      </c>
      <c r="F35">
        <v>849.32</v>
      </c>
      <c r="G35">
        <v>537.9</v>
      </c>
      <c r="H35">
        <v>97.43</v>
      </c>
      <c r="I35">
        <v>98.67</v>
      </c>
      <c r="J35">
        <v>84.31</v>
      </c>
      <c r="K35" t="s">
        <v>47</v>
      </c>
      <c r="L35">
        <v>9.1999999999999993</v>
      </c>
      <c r="M35">
        <v>2.9</v>
      </c>
      <c r="N35" t="s">
        <v>39</v>
      </c>
      <c r="O35">
        <v>13</v>
      </c>
      <c r="P35" t="s">
        <v>23</v>
      </c>
      <c r="Q35">
        <v>66.8</v>
      </c>
      <c r="S35" s="7" t="s">
        <v>109</v>
      </c>
    </row>
    <row r="36" spans="1:20" x14ac:dyDescent="0.35">
      <c r="A36" s="1">
        <v>45809</v>
      </c>
      <c r="B36" t="s">
        <v>84</v>
      </c>
      <c r="C36" t="s">
        <v>18</v>
      </c>
      <c r="D36" t="s">
        <v>85</v>
      </c>
      <c r="E36" t="s">
        <v>33</v>
      </c>
      <c r="F36">
        <v>268.04000000000002</v>
      </c>
      <c r="G36">
        <v>134.4</v>
      </c>
      <c r="H36">
        <v>97.36</v>
      </c>
      <c r="I36">
        <v>93.33</v>
      </c>
      <c r="J36">
        <v>73.180000000000007</v>
      </c>
      <c r="K36" t="s">
        <v>34</v>
      </c>
      <c r="L36">
        <v>7.6</v>
      </c>
      <c r="M36">
        <v>4.7</v>
      </c>
      <c r="N36" t="s">
        <v>35</v>
      </c>
      <c r="O36">
        <v>9</v>
      </c>
      <c r="P36" t="s">
        <v>23</v>
      </c>
      <c r="Q36">
        <v>59.5</v>
      </c>
    </row>
    <row r="37" spans="1:20" x14ac:dyDescent="0.35">
      <c r="A37" s="1">
        <v>45809</v>
      </c>
      <c r="B37" t="s">
        <v>36</v>
      </c>
      <c r="C37" t="s">
        <v>37</v>
      </c>
      <c r="D37" t="s">
        <v>38</v>
      </c>
      <c r="E37" t="s">
        <v>27</v>
      </c>
      <c r="F37">
        <v>433.15</v>
      </c>
      <c r="G37">
        <v>46.3</v>
      </c>
      <c r="H37">
        <v>95.41</v>
      </c>
      <c r="I37">
        <v>93.69</v>
      </c>
      <c r="J37">
        <v>83.75</v>
      </c>
      <c r="K37" t="s">
        <v>47</v>
      </c>
      <c r="L37">
        <v>9.3000000000000007</v>
      </c>
      <c r="M37">
        <v>2.4</v>
      </c>
      <c r="N37" t="s">
        <v>29</v>
      </c>
      <c r="O37">
        <v>13</v>
      </c>
      <c r="P37" t="s">
        <v>23</v>
      </c>
      <c r="Q37">
        <v>63.6</v>
      </c>
      <c r="S37" s="2" t="s">
        <v>4</v>
      </c>
      <c r="T37" t="s">
        <v>107</v>
      </c>
    </row>
    <row r="38" spans="1:20" x14ac:dyDescent="0.35">
      <c r="A38" s="1">
        <v>45809</v>
      </c>
      <c r="B38" t="s">
        <v>17</v>
      </c>
      <c r="C38" t="s">
        <v>18</v>
      </c>
      <c r="D38" t="s">
        <v>19</v>
      </c>
      <c r="E38" t="s">
        <v>20</v>
      </c>
      <c r="F38">
        <v>293.02</v>
      </c>
      <c r="G38">
        <v>229.7</v>
      </c>
      <c r="H38">
        <v>94.79</v>
      </c>
      <c r="I38">
        <v>95.9</v>
      </c>
      <c r="J38">
        <v>70.7</v>
      </c>
      <c r="K38" t="s">
        <v>58</v>
      </c>
      <c r="L38">
        <v>7.2</v>
      </c>
      <c r="N38" t="s">
        <v>35</v>
      </c>
      <c r="O38">
        <v>9</v>
      </c>
      <c r="P38" t="s">
        <v>23</v>
      </c>
      <c r="Q38">
        <v>70.7</v>
      </c>
      <c r="S38" s="4" t="s">
        <v>33</v>
      </c>
      <c r="T38" s="5">
        <v>297.05614035087751</v>
      </c>
    </row>
    <row r="39" spans="1:20" x14ac:dyDescent="0.35">
      <c r="A39" s="1">
        <v>45809</v>
      </c>
      <c r="B39" t="s">
        <v>17</v>
      </c>
      <c r="C39" t="s">
        <v>18</v>
      </c>
      <c r="D39" t="s">
        <v>19</v>
      </c>
      <c r="E39" t="s">
        <v>20</v>
      </c>
      <c r="F39">
        <v>161.99</v>
      </c>
      <c r="G39">
        <v>200.9</v>
      </c>
      <c r="H39">
        <v>92.2</v>
      </c>
      <c r="I39">
        <v>95.87</v>
      </c>
      <c r="J39">
        <v>73.63</v>
      </c>
      <c r="K39" t="s">
        <v>63</v>
      </c>
      <c r="L39">
        <v>6.2</v>
      </c>
      <c r="N39" t="s">
        <v>22</v>
      </c>
      <c r="O39">
        <v>6</v>
      </c>
      <c r="P39" t="s">
        <v>23</v>
      </c>
      <c r="Q39">
        <v>68.7</v>
      </c>
      <c r="S39" s="4" t="s">
        <v>62</v>
      </c>
      <c r="T39" s="5">
        <v>179.98701298701295</v>
      </c>
    </row>
    <row r="40" spans="1:20" x14ac:dyDescent="0.35">
      <c r="A40" s="1">
        <v>45809</v>
      </c>
      <c r="B40" t="s">
        <v>53</v>
      </c>
      <c r="C40" t="s">
        <v>41</v>
      </c>
      <c r="D40" t="s">
        <v>54</v>
      </c>
      <c r="E40" t="s">
        <v>27</v>
      </c>
      <c r="F40">
        <v>626.27</v>
      </c>
      <c r="G40">
        <v>57.8</v>
      </c>
      <c r="H40">
        <v>92.41</v>
      </c>
      <c r="I40">
        <v>96.87</v>
      </c>
      <c r="J40">
        <v>82.39</v>
      </c>
      <c r="K40" t="s">
        <v>28</v>
      </c>
      <c r="L40">
        <v>8.4</v>
      </c>
      <c r="M40">
        <v>3</v>
      </c>
      <c r="N40" t="s">
        <v>29</v>
      </c>
      <c r="O40">
        <v>15</v>
      </c>
      <c r="P40" t="s">
        <v>43</v>
      </c>
      <c r="Q40">
        <v>61.8</v>
      </c>
      <c r="S40" s="4" t="s">
        <v>20</v>
      </c>
      <c r="T40" s="5">
        <v>155.67117647058825</v>
      </c>
    </row>
    <row r="41" spans="1:20" x14ac:dyDescent="0.35">
      <c r="A41" s="1">
        <v>45809</v>
      </c>
      <c r="B41" t="s">
        <v>86</v>
      </c>
      <c r="C41" t="s">
        <v>25</v>
      </c>
      <c r="D41" t="s">
        <v>87</v>
      </c>
      <c r="E41" t="s">
        <v>27</v>
      </c>
      <c r="F41">
        <v>636.17999999999995</v>
      </c>
      <c r="G41">
        <v>48</v>
      </c>
      <c r="H41">
        <v>92.84</v>
      </c>
      <c r="I41">
        <v>97.91</v>
      </c>
      <c r="J41">
        <v>80.31</v>
      </c>
      <c r="K41" t="s">
        <v>34</v>
      </c>
      <c r="L41">
        <v>9</v>
      </c>
      <c r="M41">
        <v>2.8</v>
      </c>
      <c r="N41" t="s">
        <v>39</v>
      </c>
      <c r="O41">
        <v>8</v>
      </c>
      <c r="P41" t="s">
        <v>30</v>
      </c>
      <c r="Q41">
        <v>62.6</v>
      </c>
      <c r="S41" s="4" t="s">
        <v>57</v>
      </c>
      <c r="T41" s="5">
        <v>143.7562770562771</v>
      </c>
    </row>
    <row r="42" spans="1:20" x14ac:dyDescent="0.35">
      <c r="A42" s="1">
        <v>45809</v>
      </c>
      <c r="B42" t="s">
        <v>51</v>
      </c>
      <c r="C42" t="s">
        <v>45</v>
      </c>
      <c r="D42" t="s">
        <v>52</v>
      </c>
      <c r="E42" t="s">
        <v>33</v>
      </c>
      <c r="F42">
        <v>338.81</v>
      </c>
      <c r="G42">
        <v>610.6</v>
      </c>
      <c r="H42">
        <v>96.4</v>
      </c>
      <c r="I42">
        <v>98.44</v>
      </c>
      <c r="J42">
        <v>74.650000000000006</v>
      </c>
      <c r="K42" t="s">
        <v>88</v>
      </c>
      <c r="L42">
        <v>7.6</v>
      </c>
      <c r="M42">
        <v>3.3</v>
      </c>
      <c r="N42" t="s">
        <v>35</v>
      </c>
      <c r="O42">
        <v>9</v>
      </c>
      <c r="P42" t="s">
        <v>23</v>
      </c>
      <c r="Q42">
        <v>62</v>
      </c>
      <c r="S42" s="4" t="s">
        <v>27</v>
      </c>
      <c r="T42" s="5">
        <v>103.86138211382111</v>
      </c>
    </row>
    <row r="43" spans="1:20" x14ac:dyDescent="0.35">
      <c r="A43" s="1">
        <v>45809</v>
      </c>
      <c r="B43" t="s">
        <v>80</v>
      </c>
      <c r="C43" t="s">
        <v>45</v>
      </c>
      <c r="D43" t="s">
        <v>81</v>
      </c>
      <c r="E43" t="s">
        <v>27</v>
      </c>
      <c r="F43">
        <v>343.6</v>
      </c>
      <c r="G43">
        <v>282.89999999999998</v>
      </c>
      <c r="H43">
        <v>96.84</v>
      </c>
      <c r="I43">
        <v>98.15</v>
      </c>
      <c r="J43">
        <v>78.680000000000007</v>
      </c>
      <c r="K43" t="s">
        <v>34</v>
      </c>
      <c r="L43">
        <v>7.2</v>
      </c>
      <c r="M43">
        <v>4.2</v>
      </c>
      <c r="N43" t="s">
        <v>39</v>
      </c>
      <c r="O43">
        <v>10</v>
      </c>
      <c r="P43" t="s">
        <v>23</v>
      </c>
      <c r="Q43">
        <v>61.5</v>
      </c>
      <c r="S43" s="4" t="s">
        <v>104</v>
      </c>
      <c r="T43" s="5">
        <v>160.58446315789453</v>
      </c>
    </row>
    <row r="44" spans="1:20" x14ac:dyDescent="0.35">
      <c r="A44" s="1">
        <v>45809</v>
      </c>
      <c r="B44" t="s">
        <v>89</v>
      </c>
      <c r="C44" t="s">
        <v>67</v>
      </c>
      <c r="D44" t="s">
        <v>90</v>
      </c>
      <c r="E44" t="s">
        <v>27</v>
      </c>
      <c r="F44">
        <v>523.45000000000005</v>
      </c>
      <c r="G44">
        <v>28.5</v>
      </c>
      <c r="H44">
        <v>97.58</v>
      </c>
      <c r="I44">
        <v>95.3</v>
      </c>
      <c r="J44">
        <v>77.61</v>
      </c>
      <c r="K44" t="s">
        <v>34</v>
      </c>
      <c r="L44">
        <v>8.8000000000000007</v>
      </c>
      <c r="M44">
        <v>3.5</v>
      </c>
      <c r="N44" t="s">
        <v>39</v>
      </c>
      <c r="O44">
        <v>13</v>
      </c>
      <c r="P44" t="s">
        <v>43</v>
      </c>
      <c r="Q44">
        <v>61.3</v>
      </c>
    </row>
    <row r="45" spans="1:20" x14ac:dyDescent="0.35">
      <c r="A45" s="1">
        <v>45809</v>
      </c>
      <c r="B45" t="s">
        <v>74</v>
      </c>
      <c r="C45" t="s">
        <v>67</v>
      </c>
      <c r="D45" t="s">
        <v>75</v>
      </c>
      <c r="E45" t="s">
        <v>27</v>
      </c>
      <c r="F45">
        <v>642.69000000000005</v>
      </c>
      <c r="G45">
        <v>40.200000000000003</v>
      </c>
      <c r="H45">
        <v>93.43</v>
      </c>
      <c r="I45">
        <v>95.97</v>
      </c>
      <c r="J45">
        <v>81.55</v>
      </c>
      <c r="K45" t="s">
        <v>28</v>
      </c>
      <c r="L45">
        <v>8.5</v>
      </c>
      <c r="M45">
        <v>1.5</v>
      </c>
      <c r="N45" t="s">
        <v>29</v>
      </c>
      <c r="O45">
        <v>9</v>
      </c>
      <c r="P45" t="s">
        <v>23</v>
      </c>
      <c r="Q45">
        <v>62.5</v>
      </c>
    </row>
    <row r="46" spans="1:20" x14ac:dyDescent="0.35">
      <c r="A46" s="1">
        <v>45809</v>
      </c>
      <c r="B46" t="s">
        <v>91</v>
      </c>
      <c r="C46" t="s">
        <v>67</v>
      </c>
      <c r="D46" t="s">
        <v>92</v>
      </c>
      <c r="E46" t="s">
        <v>27</v>
      </c>
      <c r="F46">
        <v>645.67999999999995</v>
      </c>
      <c r="G46">
        <v>68.7</v>
      </c>
      <c r="H46">
        <v>96.49</v>
      </c>
      <c r="I46">
        <v>95.08</v>
      </c>
      <c r="J46">
        <v>79.5</v>
      </c>
      <c r="K46" t="s">
        <v>47</v>
      </c>
      <c r="L46">
        <v>8.3000000000000007</v>
      </c>
      <c r="M46">
        <v>1.6</v>
      </c>
      <c r="N46" t="s">
        <v>39</v>
      </c>
      <c r="O46">
        <v>12</v>
      </c>
      <c r="P46" t="s">
        <v>43</v>
      </c>
      <c r="Q46">
        <v>62.6</v>
      </c>
    </row>
    <row r="47" spans="1:20" x14ac:dyDescent="0.35">
      <c r="A47" s="1">
        <v>45809</v>
      </c>
      <c r="B47" t="s">
        <v>51</v>
      </c>
      <c r="C47" t="s">
        <v>45</v>
      </c>
      <c r="D47" t="s">
        <v>52</v>
      </c>
      <c r="E47" t="s">
        <v>33</v>
      </c>
      <c r="F47">
        <v>433.83</v>
      </c>
      <c r="G47">
        <v>700.4</v>
      </c>
      <c r="H47">
        <v>97.96</v>
      </c>
      <c r="I47">
        <v>98.36</v>
      </c>
      <c r="J47">
        <v>79.73</v>
      </c>
      <c r="K47" t="s">
        <v>88</v>
      </c>
      <c r="L47">
        <v>8.9</v>
      </c>
      <c r="M47">
        <v>2.9</v>
      </c>
      <c r="N47" t="s">
        <v>35</v>
      </c>
      <c r="O47">
        <v>9</v>
      </c>
      <c r="P47" t="s">
        <v>23</v>
      </c>
      <c r="Q47">
        <v>65.599999999999994</v>
      </c>
    </row>
    <row r="48" spans="1:20" x14ac:dyDescent="0.35">
      <c r="A48" s="1">
        <v>45809</v>
      </c>
      <c r="B48" t="s">
        <v>31</v>
      </c>
      <c r="C48" t="s">
        <v>18</v>
      </c>
      <c r="D48" t="s">
        <v>32</v>
      </c>
      <c r="E48" t="s">
        <v>27</v>
      </c>
      <c r="F48">
        <v>124.76</v>
      </c>
      <c r="G48">
        <v>55.4</v>
      </c>
      <c r="H48">
        <v>95.06</v>
      </c>
      <c r="I48">
        <v>94.67</v>
      </c>
      <c r="J48">
        <v>76.38</v>
      </c>
      <c r="K48" t="s">
        <v>34</v>
      </c>
      <c r="L48">
        <v>6.8</v>
      </c>
      <c r="M48">
        <v>3.2</v>
      </c>
      <c r="N48" t="s">
        <v>39</v>
      </c>
      <c r="O48">
        <v>10</v>
      </c>
      <c r="P48" t="s">
        <v>23</v>
      </c>
      <c r="Q48">
        <v>58</v>
      </c>
      <c r="S48" s="6" t="s">
        <v>112</v>
      </c>
    </row>
    <row r="49" spans="1:23" x14ac:dyDescent="0.35">
      <c r="A49" s="1">
        <v>45809</v>
      </c>
      <c r="B49" t="s">
        <v>93</v>
      </c>
      <c r="C49" t="s">
        <v>37</v>
      </c>
      <c r="D49" t="s">
        <v>94</v>
      </c>
      <c r="E49" t="s">
        <v>33</v>
      </c>
      <c r="F49">
        <v>247.9</v>
      </c>
      <c r="G49">
        <v>139.1</v>
      </c>
      <c r="H49">
        <v>93.12</v>
      </c>
      <c r="I49">
        <v>93.48</v>
      </c>
      <c r="J49">
        <v>75.94</v>
      </c>
      <c r="K49" t="s">
        <v>34</v>
      </c>
      <c r="L49">
        <v>7</v>
      </c>
      <c r="M49">
        <v>5</v>
      </c>
      <c r="N49" t="s">
        <v>22</v>
      </c>
      <c r="O49">
        <v>10</v>
      </c>
      <c r="P49" t="s">
        <v>23</v>
      </c>
      <c r="Q49">
        <v>58.2</v>
      </c>
    </row>
    <row r="50" spans="1:23" x14ac:dyDescent="0.35">
      <c r="A50" s="1">
        <v>45809</v>
      </c>
      <c r="B50" t="s">
        <v>40</v>
      </c>
      <c r="C50" t="s">
        <v>41</v>
      </c>
      <c r="D50" t="s">
        <v>42</v>
      </c>
      <c r="E50" t="s">
        <v>27</v>
      </c>
      <c r="F50">
        <v>390.1</v>
      </c>
      <c r="G50">
        <v>69.900000000000006</v>
      </c>
      <c r="H50">
        <v>95.67</v>
      </c>
      <c r="I50">
        <v>97.56</v>
      </c>
      <c r="J50">
        <v>77.27</v>
      </c>
      <c r="K50" t="s">
        <v>47</v>
      </c>
      <c r="L50">
        <v>7.9</v>
      </c>
      <c r="M50">
        <v>3</v>
      </c>
      <c r="N50" t="s">
        <v>29</v>
      </c>
      <c r="O50">
        <v>13</v>
      </c>
      <c r="P50" t="s">
        <v>43</v>
      </c>
      <c r="Q50">
        <v>61</v>
      </c>
    </row>
    <row r="51" spans="1:23" x14ac:dyDescent="0.35">
      <c r="A51" s="1">
        <v>45809</v>
      </c>
      <c r="B51" t="s">
        <v>31</v>
      </c>
      <c r="C51" t="s">
        <v>18</v>
      </c>
      <c r="D51" t="s">
        <v>32</v>
      </c>
      <c r="E51" t="s">
        <v>33</v>
      </c>
      <c r="F51">
        <v>295.29000000000002</v>
      </c>
      <c r="G51">
        <v>139.19999999999999</v>
      </c>
      <c r="H51">
        <v>95.09</v>
      </c>
      <c r="I51">
        <v>95.84</v>
      </c>
      <c r="J51">
        <v>74.510000000000005</v>
      </c>
      <c r="K51" t="s">
        <v>47</v>
      </c>
      <c r="L51">
        <v>7.6</v>
      </c>
      <c r="M51">
        <v>4.2</v>
      </c>
      <c r="N51" t="s">
        <v>35</v>
      </c>
      <c r="O51">
        <v>5</v>
      </c>
      <c r="P51" t="s">
        <v>23</v>
      </c>
      <c r="Q51">
        <v>60.2</v>
      </c>
      <c r="S51" s="2" t="s">
        <v>111</v>
      </c>
      <c r="T51" t="s">
        <v>110</v>
      </c>
    </row>
    <row r="52" spans="1:23" x14ac:dyDescent="0.35">
      <c r="A52" s="1">
        <v>45809</v>
      </c>
      <c r="B52" t="s">
        <v>89</v>
      </c>
      <c r="C52" t="s">
        <v>67</v>
      </c>
      <c r="D52" t="s">
        <v>90</v>
      </c>
      <c r="E52" t="s">
        <v>27</v>
      </c>
      <c r="F52">
        <v>120.14</v>
      </c>
      <c r="G52">
        <v>56.8</v>
      </c>
      <c r="H52">
        <v>95.55</v>
      </c>
      <c r="I52">
        <v>95.75</v>
      </c>
      <c r="J52">
        <v>81.650000000000006</v>
      </c>
      <c r="K52" t="s">
        <v>47</v>
      </c>
      <c r="L52">
        <v>7.3</v>
      </c>
      <c r="M52">
        <v>2.2999999999999998</v>
      </c>
      <c r="N52" t="s">
        <v>29</v>
      </c>
      <c r="O52">
        <v>8</v>
      </c>
      <c r="P52" t="s">
        <v>43</v>
      </c>
      <c r="Q52">
        <v>60.6</v>
      </c>
      <c r="S52" s="4">
        <v>2</v>
      </c>
      <c r="T52" s="5">
        <v>88.515438596491265</v>
      </c>
    </row>
    <row r="53" spans="1:23" x14ac:dyDescent="0.35">
      <c r="A53" s="1">
        <v>45809</v>
      </c>
      <c r="B53" t="s">
        <v>53</v>
      </c>
      <c r="C53" t="s">
        <v>41</v>
      </c>
      <c r="D53" t="s">
        <v>54</v>
      </c>
      <c r="E53" t="s">
        <v>27</v>
      </c>
      <c r="F53">
        <v>477.07</v>
      </c>
      <c r="G53">
        <v>21.8</v>
      </c>
      <c r="H53">
        <v>93.81</v>
      </c>
      <c r="I53">
        <v>97.15</v>
      </c>
      <c r="J53">
        <v>80.91</v>
      </c>
      <c r="K53" t="s">
        <v>47</v>
      </c>
      <c r="L53">
        <v>8.9</v>
      </c>
      <c r="M53">
        <v>3.4</v>
      </c>
      <c r="N53" t="s">
        <v>39</v>
      </c>
      <c r="O53">
        <v>14</v>
      </c>
      <c r="P53" t="s">
        <v>43</v>
      </c>
      <c r="Q53">
        <v>61.6</v>
      </c>
      <c r="S53" s="4">
        <v>3</v>
      </c>
      <c r="T53" s="5">
        <v>88.351221374045764</v>
      </c>
    </row>
    <row r="54" spans="1:23" x14ac:dyDescent="0.35">
      <c r="A54" s="1">
        <v>45809</v>
      </c>
      <c r="B54" t="s">
        <v>36</v>
      </c>
      <c r="C54" t="s">
        <v>37</v>
      </c>
      <c r="D54" t="s">
        <v>38</v>
      </c>
      <c r="E54" t="s">
        <v>33</v>
      </c>
      <c r="F54">
        <v>354.08</v>
      </c>
      <c r="G54">
        <v>159.9</v>
      </c>
      <c r="H54">
        <v>95.66</v>
      </c>
      <c r="I54">
        <v>93.98</v>
      </c>
      <c r="J54">
        <v>76.31</v>
      </c>
      <c r="K54" t="s">
        <v>28</v>
      </c>
      <c r="L54">
        <v>8.4</v>
      </c>
      <c r="M54">
        <v>1.8</v>
      </c>
      <c r="N54" t="s">
        <v>35</v>
      </c>
      <c r="O54">
        <v>9</v>
      </c>
      <c r="P54" t="s">
        <v>23</v>
      </c>
      <c r="Q54">
        <v>63.6</v>
      </c>
      <c r="S54" s="4">
        <v>4</v>
      </c>
      <c r="T54" s="5">
        <v>88.610625000000013</v>
      </c>
    </row>
    <row r="55" spans="1:23" x14ac:dyDescent="0.35">
      <c r="A55" s="1">
        <v>45809</v>
      </c>
      <c r="B55" t="s">
        <v>95</v>
      </c>
      <c r="C55" t="s">
        <v>49</v>
      </c>
      <c r="D55" t="s">
        <v>96</v>
      </c>
      <c r="E55" t="s">
        <v>33</v>
      </c>
      <c r="F55">
        <v>204.63</v>
      </c>
      <c r="G55">
        <v>155.6</v>
      </c>
      <c r="H55">
        <v>95.92</v>
      </c>
      <c r="I55">
        <v>93</v>
      </c>
      <c r="J55">
        <v>70.38</v>
      </c>
      <c r="K55" t="s">
        <v>34</v>
      </c>
      <c r="L55">
        <v>7.4</v>
      </c>
      <c r="M55">
        <v>4</v>
      </c>
      <c r="N55" t="s">
        <v>22</v>
      </c>
      <c r="O55">
        <v>9</v>
      </c>
      <c r="P55" t="s">
        <v>43</v>
      </c>
      <c r="Q55">
        <v>59.3</v>
      </c>
      <c r="S55" s="4">
        <v>5</v>
      </c>
      <c r="T55" s="5">
        <v>91.432000000000031</v>
      </c>
    </row>
    <row r="56" spans="1:23" x14ac:dyDescent="0.35">
      <c r="A56" s="1">
        <v>45809</v>
      </c>
      <c r="B56" t="s">
        <v>36</v>
      </c>
      <c r="C56" t="s">
        <v>37</v>
      </c>
      <c r="D56" t="s">
        <v>38</v>
      </c>
      <c r="E56" t="s">
        <v>33</v>
      </c>
      <c r="F56">
        <v>329.82</v>
      </c>
      <c r="G56">
        <v>213.8</v>
      </c>
      <c r="H56">
        <v>96.69</v>
      </c>
      <c r="I56">
        <v>96.14</v>
      </c>
      <c r="J56">
        <v>75.400000000000006</v>
      </c>
      <c r="K56" t="s">
        <v>47</v>
      </c>
      <c r="L56">
        <v>7.6</v>
      </c>
      <c r="M56">
        <v>3.9</v>
      </c>
      <c r="N56" t="s">
        <v>22</v>
      </c>
      <c r="O56">
        <v>5</v>
      </c>
      <c r="P56" t="s">
        <v>23</v>
      </c>
      <c r="Q56">
        <v>61.4</v>
      </c>
      <c r="S56" s="4">
        <v>6</v>
      </c>
      <c r="T56" s="5">
        <v>92.178152173913091</v>
      </c>
    </row>
    <row r="57" spans="1:23" x14ac:dyDescent="0.35">
      <c r="A57" s="1">
        <v>45809</v>
      </c>
      <c r="B57" t="s">
        <v>59</v>
      </c>
      <c r="C57" t="s">
        <v>60</v>
      </c>
      <c r="D57" t="s">
        <v>61</v>
      </c>
      <c r="E57" t="s">
        <v>62</v>
      </c>
      <c r="F57">
        <v>446.11</v>
      </c>
      <c r="G57">
        <v>177.7</v>
      </c>
      <c r="H57">
        <v>90.95</v>
      </c>
      <c r="I57">
        <v>94.15</v>
      </c>
      <c r="J57">
        <v>89.27</v>
      </c>
      <c r="K57" t="s">
        <v>63</v>
      </c>
      <c r="L57">
        <v>8.5</v>
      </c>
      <c r="N57" t="s">
        <v>35</v>
      </c>
      <c r="O57">
        <v>5</v>
      </c>
      <c r="P57" t="s">
        <v>23</v>
      </c>
      <c r="Q57">
        <v>75.900000000000006</v>
      </c>
      <c r="S57" s="4">
        <v>7</v>
      </c>
      <c r="T57" s="5">
        <v>94.10595959595959</v>
      </c>
      <c r="W57" s="3"/>
    </row>
    <row r="58" spans="1:23" x14ac:dyDescent="0.35">
      <c r="A58" s="1">
        <v>45809</v>
      </c>
      <c r="B58" t="s">
        <v>59</v>
      </c>
      <c r="C58" t="s">
        <v>60</v>
      </c>
      <c r="D58" t="s">
        <v>61</v>
      </c>
      <c r="E58" t="s">
        <v>62</v>
      </c>
      <c r="F58">
        <v>498.98</v>
      </c>
      <c r="G58">
        <v>190.7</v>
      </c>
      <c r="H58">
        <v>90.66</v>
      </c>
      <c r="I58">
        <v>96.76</v>
      </c>
      <c r="J58">
        <v>85.46</v>
      </c>
      <c r="K58" t="s">
        <v>34</v>
      </c>
      <c r="L58">
        <v>8.1</v>
      </c>
      <c r="N58" t="s">
        <v>35</v>
      </c>
      <c r="O58">
        <v>6</v>
      </c>
      <c r="P58" t="s">
        <v>43</v>
      </c>
      <c r="Q58">
        <v>74.8</v>
      </c>
      <c r="S58" s="4">
        <v>8</v>
      </c>
      <c r="T58" s="5">
        <v>94.352392156862763</v>
      </c>
    </row>
    <row r="59" spans="1:23" x14ac:dyDescent="0.35">
      <c r="A59" s="1">
        <v>45809</v>
      </c>
      <c r="B59" t="s">
        <v>71</v>
      </c>
      <c r="C59" t="s">
        <v>72</v>
      </c>
      <c r="D59" t="s">
        <v>73</v>
      </c>
      <c r="E59" t="s">
        <v>33</v>
      </c>
      <c r="F59">
        <v>161.11000000000001</v>
      </c>
      <c r="G59">
        <v>235.9</v>
      </c>
      <c r="H59">
        <v>95.2</v>
      </c>
      <c r="I59">
        <v>93.49</v>
      </c>
      <c r="J59">
        <v>70.25</v>
      </c>
      <c r="K59" t="s">
        <v>34</v>
      </c>
      <c r="L59">
        <v>7.5</v>
      </c>
      <c r="M59">
        <v>4.8</v>
      </c>
      <c r="N59" t="s">
        <v>22</v>
      </c>
      <c r="O59">
        <v>6</v>
      </c>
      <c r="P59" t="s">
        <v>43</v>
      </c>
      <c r="Q59">
        <v>59.1</v>
      </c>
      <c r="S59" s="4">
        <v>9</v>
      </c>
      <c r="T59" s="5">
        <v>94.648686131386839</v>
      </c>
    </row>
    <row r="60" spans="1:23" x14ac:dyDescent="0.35">
      <c r="A60" s="1">
        <v>45809</v>
      </c>
      <c r="B60" t="s">
        <v>59</v>
      </c>
      <c r="C60" t="s">
        <v>60</v>
      </c>
      <c r="D60" t="s">
        <v>61</v>
      </c>
      <c r="E60" t="s">
        <v>62</v>
      </c>
      <c r="F60">
        <v>539.39</v>
      </c>
      <c r="G60">
        <v>188.1</v>
      </c>
      <c r="H60">
        <v>86.2</v>
      </c>
      <c r="I60">
        <v>93.44</v>
      </c>
      <c r="J60">
        <v>91.22</v>
      </c>
      <c r="K60" t="s">
        <v>63</v>
      </c>
      <c r="L60">
        <v>8.1</v>
      </c>
      <c r="N60" t="s">
        <v>35</v>
      </c>
      <c r="O60">
        <v>6</v>
      </c>
      <c r="P60" t="s">
        <v>43</v>
      </c>
      <c r="Q60">
        <v>74.400000000000006</v>
      </c>
      <c r="S60" s="4">
        <v>10</v>
      </c>
      <c r="T60" s="5">
        <v>94.754000000000062</v>
      </c>
    </row>
    <row r="61" spans="1:23" x14ac:dyDescent="0.35">
      <c r="A61" s="1">
        <v>45809</v>
      </c>
      <c r="B61" t="s">
        <v>80</v>
      </c>
      <c r="C61" t="s">
        <v>45</v>
      </c>
      <c r="D61" t="s">
        <v>81</v>
      </c>
      <c r="E61" t="s">
        <v>27</v>
      </c>
      <c r="F61">
        <v>445.47</v>
      </c>
      <c r="G61">
        <v>712.4</v>
      </c>
      <c r="H61">
        <v>96.57</v>
      </c>
      <c r="I61">
        <v>98.45</v>
      </c>
      <c r="J61">
        <v>79.59</v>
      </c>
      <c r="K61" t="s">
        <v>28</v>
      </c>
      <c r="L61">
        <v>9.5</v>
      </c>
      <c r="M61">
        <v>4.2</v>
      </c>
      <c r="N61" t="s">
        <v>39</v>
      </c>
      <c r="O61">
        <v>13</v>
      </c>
      <c r="P61" t="s">
        <v>23</v>
      </c>
      <c r="Q61">
        <v>65.5</v>
      </c>
      <c r="S61" s="4">
        <v>11</v>
      </c>
      <c r="T61" s="5">
        <v>95.008853503184682</v>
      </c>
    </row>
    <row r="62" spans="1:23" x14ac:dyDescent="0.35">
      <c r="A62" s="1">
        <v>45809</v>
      </c>
      <c r="B62" t="s">
        <v>69</v>
      </c>
      <c r="C62" t="s">
        <v>18</v>
      </c>
      <c r="D62" t="s">
        <v>70</v>
      </c>
      <c r="E62" t="s">
        <v>20</v>
      </c>
      <c r="F62">
        <v>251.31</v>
      </c>
      <c r="G62">
        <v>132.19999999999999</v>
      </c>
      <c r="H62">
        <v>88.94</v>
      </c>
      <c r="I62">
        <v>96.59</v>
      </c>
      <c r="J62">
        <v>74.849999999999994</v>
      </c>
      <c r="K62" t="s">
        <v>63</v>
      </c>
      <c r="L62">
        <v>7.8</v>
      </c>
      <c r="N62" t="s">
        <v>35</v>
      </c>
      <c r="O62">
        <v>8</v>
      </c>
      <c r="P62" t="s">
        <v>23</v>
      </c>
      <c r="Q62">
        <v>70.8</v>
      </c>
      <c r="S62" s="4">
        <v>12</v>
      </c>
      <c r="T62" s="5">
        <v>94.93547297297296</v>
      </c>
    </row>
    <row r="63" spans="1:23" x14ac:dyDescent="0.35">
      <c r="A63" s="1">
        <v>45809</v>
      </c>
      <c r="B63" t="s">
        <v>59</v>
      </c>
      <c r="C63" t="s">
        <v>60</v>
      </c>
      <c r="D63" t="s">
        <v>61</v>
      </c>
      <c r="E63" t="s">
        <v>62</v>
      </c>
      <c r="F63">
        <v>402.35</v>
      </c>
      <c r="G63">
        <v>185.6</v>
      </c>
      <c r="H63">
        <v>91.72</v>
      </c>
      <c r="I63">
        <v>96.17</v>
      </c>
      <c r="J63">
        <v>88.6</v>
      </c>
      <c r="K63" t="s">
        <v>63</v>
      </c>
      <c r="L63">
        <v>9.5</v>
      </c>
      <c r="N63" t="s">
        <v>35</v>
      </c>
      <c r="O63">
        <v>4</v>
      </c>
      <c r="P63" t="s">
        <v>23</v>
      </c>
      <c r="Q63">
        <v>78.3</v>
      </c>
      <c r="S63" s="4">
        <v>13</v>
      </c>
      <c r="T63" s="5">
        <v>95.085704225352089</v>
      </c>
    </row>
    <row r="64" spans="1:23" x14ac:dyDescent="0.35">
      <c r="A64" s="1">
        <v>45809</v>
      </c>
      <c r="B64" t="s">
        <v>31</v>
      </c>
      <c r="C64" t="s">
        <v>18</v>
      </c>
      <c r="D64" t="s">
        <v>32</v>
      </c>
      <c r="E64" t="s">
        <v>27</v>
      </c>
      <c r="F64">
        <v>163.95</v>
      </c>
      <c r="G64">
        <v>47.9</v>
      </c>
      <c r="H64">
        <v>93.07</v>
      </c>
      <c r="I64">
        <v>93.09</v>
      </c>
      <c r="J64">
        <v>83.43</v>
      </c>
      <c r="K64" t="s">
        <v>47</v>
      </c>
      <c r="L64">
        <v>6</v>
      </c>
      <c r="M64">
        <v>3.9</v>
      </c>
      <c r="N64" t="s">
        <v>29</v>
      </c>
      <c r="O64">
        <v>9</v>
      </c>
      <c r="P64" t="s">
        <v>23</v>
      </c>
      <c r="Q64">
        <v>56.6</v>
      </c>
      <c r="S64" s="4">
        <v>14</v>
      </c>
      <c r="T64" s="5">
        <v>95.036363636363603</v>
      </c>
    </row>
    <row r="65" spans="1:21" x14ac:dyDescent="0.35">
      <c r="A65" s="1">
        <v>45809</v>
      </c>
      <c r="B65" t="s">
        <v>80</v>
      </c>
      <c r="C65" t="s">
        <v>45</v>
      </c>
      <c r="D65" t="s">
        <v>81</v>
      </c>
      <c r="E65" t="s">
        <v>33</v>
      </c>
      <c r="F65">
        <v>908.41</v>
      </c>
      <c r="G65">
        <v>241</v>
      </c>
      <c r="H65">
        <v>95.8</v>
      </c>
      <c r="I65">
        <v>98.42</v>
      </c>
      <c r="J65">
        <v>77.209999999999994</v>
      </c>
      <c r="K65" t="s">
        <v>47</v>
      </c>
      <c r="L65">
        <v>9.4</v>
      </c>
      <c r="M65">
        <v>3.1</v>
      </c>
      <c r="N65" t="s">
        <v>35</v>
      </c>
      <c r="O65">
        <v>10</v>
      </c>
      <c r="P65" t="s">
        <v>23</v>
      </c>
      <c r="Q65">
        <v>65.5</v>
      </c>
      <c r="S65" s="4">
        <v>15</v>
      </c>
      <c r="T65" s="5">
        <v>95.117469135802466</v>
      </c>
    </row>
    <row r="66" spans="1:21" x14ac:dyDescent="0.35">
      <c r="A66" s="1">
        <v>45809</v>
      </c>
      <c r="B66" t="s">
        <v>17</v>
      </c>
      <c r="C66" t="s">
        <v>18</v>
      </c>
      <c r="D66" t="s">
        <v>19</v>
      </c>
      <c r="E66" t="s">
        <v>20</v>
      </c>
      <c r="F66">
        <v>240.97</v>
      </c>
      <c r="G66">
        <v>108.3</v>
      </c>
      <c r="H66">
        <v>88.09</v>
      </c>
      <c r="I66">
        <v>93.97</v>
      </c>
      <c r="J66">
        <v>70.209999999999994</v>
      </c>
      <c r="K66" t="s">
        <v>21</v>
      </c>
      <c r="L66">
        <v>7.7</v>
      </c>
      <c r="N66" t="s">
        <v>35</v>
      </c>
      <c r="O66">
        <v>9</v>
      </c>
      <c r="P66" t="s">
        <v>23</v>
      </c>
      <c r="Q66">
        <v>68.400000000000006</v>
      </c>
      <c r="S66" s="4" t="s">
        <v>104</v>
      </c>
      <c r="T66" s="5">
        <v>93.483907368420901</v>
      </c>
    </row>
    <row r="67" spans="1:21" x14ac:dyDescent="0.35">
      <c r="A67" s="1">
        <v>45809</v>
      </c>
      <c r="B67" t="s">
        <v>55</v>
      </c>
      <c r="C67" t="s">
        <v>56</v>
      </c>
      <c r="D67">
        <v>4</v>
      </c>
      <c r="E67" t="s">
        <v>57</v>
      </c>
      <c r="F67">
        <v>30</v>
      </c>
      <c r="G67">
        <v>137.5</v>
      </c>
      <c r="H67">
        <v>91.48</v>
      </c>
      <c r="I67">
        <v>93.94</v>
      </c>
      <c r="J67">
        <v>75.400000000000006</v>
      </c>
      <c r="K67" t="s">
        <v>58</v>
      </c>
      <c r="L67">
        <v>7.9</v>
      </c>
      <c r="N67" t="s">
        <v>35</v>
      </c>
      <c r="O67">
        <v>3</v>
      </c>
      <c r="P67" t="s">
        <v>23</v>
      </c>
      <c r="Q67">
        <v>71.2</v>
      </c>
    </row>
    <row r="68" spans="1:21" x14ac:dyDescent="0.35">
      <c r="A68" s="1">
        <v>45809</v>
      </c>
      <c r="B68" t="s">
        <v>64</v>
      </c>
      <c r="C68" t="s">
        <v>25</v>
      </c>
      <c r="D68" t="s">
        <v>65</v>
      </c>
      <c r="E68" t="s">
        <v>27</v>
      </c>
      <c r="F68">
        <v>262.36</v>
      </c>
      <c r="G68">
        <v>47.4</v>
      </c>
      <c r="H68">
        <v>97.9</v>
      </c>
      <c r="I68">
        <v>96.49</v>
      </c>
      <c r="J68">
        <v>81.14</v>
      </c>
      <c r="K68" t="s">
        <v>47</v>
      </c>
      <c r="L68">
        <v>7.5</v>
      </c>
      <c r="M68">
        <v>3.9</v>
      </c>
      <c r="N68" t="s">
        <v>39</v>
      </c>
      <c r="O68">
        <v>10</v>
      </c>
      <c r="P68" t="s">
        <v>30</v>
      </c>
      <c r="Q68">
        <v>60.1</v>
      </c>
    </row>
    <row r="69" spans="1:21" x14ac:dyDescent="0.35">
      <c r="A69" s="1">
        <v>45809</v>
      </c>
      <c r="B69" t="s">
        <v>97</v>
      </c>
      <c r="C69" t="s">
        <v>72</v>
      </c>
      <c r="D69" t="s">
        <v>98</v>
      </c>
      <c r="E69" t="s">
        <v>33</v>
      </c>
      <c r="F69">
        <v>74.11</v>
      </c>
      <c r="G69">
        <v>190.5</v>
      </c>
      <c r="H69">
        <v>95.13</v>
      </c>
      <c r="I69">
        <v>93.76</v>
      </c>
      <c r="J69">
        <v>75.58</v>
      </c>
      <c r="K69" t="s">
        <v>28</v>
      </c>
      <c r="L69">
        <v>6.1</v>
      </c>
      <c r="M69">
        <v>3.7</v>
      </c>
      <c r="N69" t="s">
        <v>35</v>
      </c>
      <c r="O69">
        <v>6</v>
      </c>
      <c r="P69" t="s">
        <v>23</v>
      </c>
      <c r="Q69">
        <v>58.4</v>
      </c>
    </row>
    <row r="70" spans="1:21" x14ac:dyDescent="0.35">
      <c r="A70" s="1">
        <v>45809</v>
      </c>
      <c r="B70" t="s">
        <v>99</v>
      </c>
      <c r="C70" t="s">
        <v>72</v>
      </c>
      <c r="D70" t="s">
        <v>100</v>
      </c>
      <c r="E70" t="s">
        <v>33</v>
      </c>
      <c r="F70">
        <v>292.77</v>
      </c>
      <c r="G70">
        <v>222.8</v>
      </c>
      <c r="H70">
        <v>94.25</v>
      </c>
      <c r="I70">
        <v>96.77</v>
      </c>
      <c r="J70">
        <v>72.94</v>
      </c>
      <c r="K70" t="s">
        <v>47</v>
      </c>
      <c r="L70">
        <v>7.2</v>
      </c>
      <c r="M70">
        <v>1.7</v>
      </c>
      <c r="N70" t="s">
        <v>22</v>
      </c>
      <c r="O70">
        <v>9</v>
      </c>
      <c r="P70" t="s">
        <v>43</v>
      </c>
      <c r="Q70">
        <v>61.5</v>
      </c>
      <c r="S70" s="6" t="s">
        <v>114</v>
      </c>
    </row>
    <row r="71" spans="1:21" x14ac:dyDescent="0.35">
      <c r="A71" s="1">
        <v>45809</v>
      </c>
      <c r="B71" t="s">
        <v>89</v>
      </c>
      <c r="C71" t="s">
        <v>67</v>
      </c>
      <c r="D71" t="s">
        <v>90</v>
      </c>
      <c r="E71" t="s">
        <v>27</v>
      </c>
      <c r="F71">
        <v>114.77</v>
      </c>
      <c r="G71">
        <v>64.8</v>
      </c>
      <c r="H71">
        <v>94.53</v>
      </c>
      <c r="I71">
        <v>94.42</v>
      </c>
      <c r="J71">
        <v>78.08</v>
      </c>
      <c r="K71" t="s">
        <v>34</v>
      </c>
      <c r="L71">
        <v>6.7</v>
      </c>
      <c r="M71">
        <v>2.5</v>
      </c>
      <c r="N71" t="s">
        <v>29</v>
      </c>
      <c r="O71">
        <v>15</v>
      </c>
      <c r="P71" t="s">
        <v>43</v>
      </c>
      <c r="Q71">
        <v>58.6</v>
      </c>
    </row>
    <row r="72" spans="1:21" x14ac:dyDescent="0.35">
      <c r="A72" s="1">
        <v>45809</v>
      </c>
      <c r="B72" t="s">
        <v>36</v>
      </c>
      <c r="C72" t="s">
        <v>37</v>
      </c>
      <c r="D72" t="s">
        <v>38</v>
      </c>
      <c r="E72" t="s">
        <v>33</v>
      </c>
      <c r="F72">
        <v>289.07</v>
      </c>
      <c r="G72">
        <v>206.6</v>
      </c>
      <c r="H72">
        <v>93.05</v>
      </c>
      <c r="I72">
        <v>95.82</v>
      </c>
      <c r="J72">
        <v>70.25</v>
      </c>
      <c r="K72" t="s">
        <v>28</v>
      </c>
      <c r="L72">
        <v>7.7</v>
      </c>
      <c r="M72">
        <v>2.7</v>
      </c>
      <c r="N72" t="s">
        <v>22</v>
      </c>
      <c r="O72">
        <v>10</v>
      </c>
      <c r="P72" t="s">
        <v>23</v>
      </c>
      <c r="Q72">
        <v>60.9</v>
      </c>
      <c r="S72" s="2" t="s">
        <v>2</v>
      </c>
      <c r="T72" s="2" t="s">
        <v>1</v>
      </c>
      <c r="U72" t="s">
        <v>113</v>
      </c>
    </row>
    <row r="73" spans="1:21" x14ac:dyDescent="0.35">
      <c r="A73" s="1">
        <v>45809</v>
      </c>
      <c r="B73" t="s">
        <v>80</v>
      </c>
      <c r="C73" t="s">
        <v>45</v>
      </c>
      <c r="D73" t="s">
        <v>81</v>
      </c>
      <c r="E73" t="s">
        <v>33</v>
      </c>
      <c r="F73">
        <v>861.58</v>
      </c>
      <c r="G73">
        <v>667</v>
      </c>
      <c r="H73">
        <v>94.62</v>
      </c>
      <c r="I73">
        <v>98.22</v>
      </c>
      <c r="J73">
        <v>73.53</v>
      </c>
      <c r="K73" t="s">
        <v>47</v>
      </c>
      <c r="L73">
        <v>8.8000000000000007</v>
      </c>
      <c r="M73">
        <v>4.4000000000000004</v>
      </c>
      <c r="N73" t="s">
        <v>35</v>
      </c>
      <c r="O73">
        <v>8</v>
      </c>
      <c r="P73" t="s">
        <v>23</v>
      </c>
      <c r="Q73">
        <v>62.8</v>
      </c>
      <c r="S73" t="s">
        <v>72</v>
      </c>
      <c r="U73" s="5">
        <v>7.3306034482758582</v>
      </c>
    </row>
    <row r="74" spans="1:21" x14ac:dyDescent="0.35">
      <c r="A74" s="1">
        <v>45809</v>
      </c>
      <c r="B74" t="s">
        <v>82</v>
      </c>
      <c r="C74" t="s">
        <v>72</v>
      </c>
      <c r="D74" t="s">
        <v>83</v>
      </c>
      <c r="E74" t="s">
        <v>20</v>
      </c>
      <c r="F74">
        <v>105.27</v>
      </c>
      <c r="G74">
        <v>139.9</v>
      </c>
      <c r="H74">
        <v>93.3</v>
      </c>
      <c r="I74">
        <v>94.15</v>
      </c>
      <c r="J74">
        <v>79.25</v>
      </c>
      <c r="K74" t="s">
        <v>58</v>
      </c>
      <c r="L74">
        <v>7.8</v>
      </c>
      <c r="N74" t="s">
        <v>35</v>
      </c>
      <c r="O74">
        <v>7</v>
      </c>
      <c r="P74" t="s">
        <v>43</v>
      </c>
      <c r="Q74">
        <v>72.3</v>
      </c>
      <c r="S74" t="s">
        <v>25</v>
      </c>
      <c r="U74" s="5">
        <v>8.4062256809338542</v>
      </c>
    </row>
    <row r="75" spans="1:21" x14ac:dyDescent="0.35">
      <c r="A75" s="1">
        <v>45809</v>
      </c>
      <c r="B75" t="s">
        <v>78</v>
      </c>
      <c r="C75" t="s">
        <v>41</v>
      </c>
      <c r="D75" t="s">
        <v>79</v>
      </c>
      <c r="E75" t="s">
        <v>27</v>
      </c>
      <c r="F75">
        <v>347.12</v>
      </c>
      <c r="G75">
        <v>37.5</v>
      </c>
      <c r="H75">
        <v>93.81</v>
      </c>
      <c r="I75">
        <v>97.77</v>
      </c>
      <c r="J75">
        <v>76.27</v>
      </c>
      <c r="K75" t="s">
        <v>47</v>
      </c>
      <c r="L75">
        <v>8.5</v>
      </c>
      <c r="M75">
        <v>3.4</v>
      </c>
      <c r="N75" t="s">
        <v>39</v>
      </c>
      <c r="O75">
        <v>10</v>
      </c>
      <c r="P75" t="s">
        <v>43</v>
      </c>
      <c r="Q75">
        <v>60.6</v>
      </c>
      <c r="S75" t="s">
        <v>18</v>
      </c>
      <c r="U75" s="5">
        <v>7.3881856540084385</v>
      </c>
    </row>
    <row r="76" spans="1:21" x14ac:dyDescent="0.35">
      <c r="A76" s="1">
        <v>45809</v>
      </c>
      <c r="B76" t="s">
        <v>40</v>
      </c>
      <c r="C76" t="s">
        <v>41</v>
      </c>
      <c r="D76" t="s">
        <v>42</v>
      </c>
      <c r="E76" t="s">
        <v>27</v>
      </c>
      <c r="F76">
        <v>211.12</v>
      </c>
      <c r="G76">
        <v>69.8</v>
      </c>
      <c r="H76">
        <v>92.58</v>
      </c>
      <c r="I76">
        <v>96.08</v>
      </c>
      <c r="J76">
        <v>76.41</v>
      </c>
      <c r="K76" t="s">
        <v>47</v>
      </c>
      <c r="L76">
        <v>7.5</v>
      </c>
      <c r="M76">
        <v>2.9</v>
      </c>
      <c r="N76" t="s">
        <v>39</v>
      </c>
      <c r="O76">
        <v>9</v>
      </c>
      <c r="P76" t="s">
        <v>43</v>
      </c>
      <c r="Q76">
        <v>59.5</v>
      </c>
      <c r="S76" t="s">
        <v>45</v>
      </c>
      <c r="U76" s="5">
        <v>8.4374045801526663</v>
      </c>
    </row>
    <row r="77" spans="1:21" x14ac:dyDescent="0.35">
      <c r="A77" s="1">
        <v>45809</v>
      </c>
      <c r="B77" t="s">
        <v>95</v>
      </c>
      <c r="C77" t="s">
        <v>49</v>
      </c>
      <c r="D77" t="s">
        <v>96</v>
      </c>
      <c r="E77" t="s">
        <v>33</v>
      </c>
      <c r="F77">
        <v>462.18</v>
      </c>
      <c r="G77">
        <v>123.4</v>
      </c>
      <c r="H77">
        <v>96.12</v>
      </c>
      <c r="I77">
        <v>95.77</v>
      </c>
      <c r="J77">
        <v>74.22</v>
      </c>
      <c r="K77" t="s">
        <v>28</v>
      </c>
      <c r="L77">
        <v>8.1</v>
      </c>
      <c r="M77">
        <v>4.2</v>
      </c>
      <c r="N77" t="s">
        <v>35</v>
      </c>
      <c r="O77">
        <v>5</v>
      </c>
      <c r="P77" t="s">
        <v>43</v>
      </c>
      <c r="Q77">
        <v>60.8</v>
      </c>
      <c r="S77" t="s">
        <v>67</v>
      </c>
      <c r="U77" s="5">
        <v>8.2643902439024437</v>
      </c>
    </row>
    <row r="78" spans="1:21" x14ac:dyDescent="0.35">
      <c r="A78" s="1">
        <v>45809</v>
      </c>
      <c r="B78" t="s">
        <v>82</v>
      </c>
      <c r="C78" t="s">
        <v>72</v>
      </c>
      <c r="D78" t="s">
        <v>83</v>
      </c>
      <c r="E78" t="s">
        <v>20</v>
      </c>
      <c r="F78">
        <v>100.81</v>
      </c>
      <c r="G78">
        <v>123</v>
      </c>
      <c r="H78">
        <v>94.48</v>
      </c>
      <c r="I78">
        <v>93.36</v>
      </c>
      <c r="J78">
        <v>70.489999999999995</v>
      </c>
      <c r="K78" t="s">
        <v>21</v>
      </c>
      <c r="L78">
        <v>7.3</v>
      </c>
      <c r="N78" t="s">
        <v>35</v>
      </c>
      <c r="O78">
        <v>6</v>
      </c>
      <c r="P78" t="s">
        <v>43</v>
      </c>
      <c r="Q78">
        <v>69.2</v>
      </c>
      <c r="S78" t="s">
        <v>60</v>
      </c>
      <c r="U78" s="5">
        <v>8.3000000000000025</v>
      </c>
    </row>
    <row r="79" spans="1:21" x14ac:dyDescent="0.35">
      <c r="A79" s="1">
        <v>45809</v>
      </c>
      <c r="B79" t="s">
        <v>36</v>
      </c>
      <c r="C79" t="s">
        <v>37</v>
      </c>
      <c r="D79" t="s">
        <v>38</v>
      </c>
      <c r="E79" t="s">
        <v>27</v>
      </c>
      <c r="F79">
        <v>282.52999999999997</v>
      </c>
      <c r="G79">
        <v>69.8</v>
      </c>
      <c r="H79">
        <v>97.69</v>
      </c>
      <c r="I79">
        <v>94.19</v>
      </c>
      <c r="J79">
        <v>84.01</v>
      </c>
      <c r="K79" t="s">
        <v>34</v>
      </c>
      <c r="L79">
        <v>8.3000000000000007</v>
      </c>
      <c r="M79">
        <v>3.1</v>
      </c>
      <c r="N79" t="s">
        <v>29</v>
      </c>
      <c r="O79">
        <v>12</v>
      </c>
      <c r="P79" t="s">
        <v>23</v>
      </c>
      <c r="Q79">
        <v>62.5</v>
      </c>
      <c r="S79" t="s">
        <v>37</v>
      </c>
      <c r="U79" s="5">
        <v>8.0236734693877523</v>
      </c>
    </row>
    <row r="80" spans="1:21" x14ac:dyDescent="0.35">
      <c r="A80" s="1">
        <v>45809</v>
      </c>
      <c r="B80" t="s">
        <v>84</v>
      </c>
      <c r="C80" t="s">
        <v>18</v>
      </c>
      <c r="D80" t="s">
        <v>85</v>
      </c>
      <c r="E80" t="s">
        <v>33</v>
      </c>
      <c r="F80">
        <v>203.46</v>
      </c>
      <c r="G80">
        <v>113.1</v>
      </c>
      <c r="H80">
        <v>96.45</v>
      </c>
      <c r="I80">
        <v>96.89</v>
      </c>
      <c r="J80">
        <v>73.59</v>
      </c>
      <c r="K80" t="s">
        <v>28</v>
      </c>
      <c r="L80">
        <v>7.1</v>
      </c>
      <c r="M80">
        <v>4.7</v>
      </c>
      <c r="N80" t="s">
        <v>35</v>
      </c>
      <c r="O80">
        <v>5</v>
      </c>
      <c r="P80" t="s">
        <v>23</v>
      </c>
      <c r="Q80">
        <v>58.8</v>
      </c>
      <c r="S80" t="s">
        <v>41</v>
      </c>
      <c r="U80" s="5">
        <v>8.3399239543726225</v>
      </c>
    </row>
    <row r="81" spans="1:21" x14ac:dyDescent="0.35">
      <c r="A81" s="1">
        <v>45809</v>
      </c>
      <c r="B81" t="s">
        <v>69</v>
      </c>
      <c r="C81" t="s">
        <v>18</v>
      </c>
      <c r="D81" t="s">
        <v>70</v>
      </c>
      <c r="E81" t="s">
        <v>20</v>
      </c>
      <c r="F81">
        <v>219.31</v>
      </c>
      <c r="G81">
        <v>192.3</v>
      </c>
      <c r="H81">
        <v>92.91</v>
      </c>
      <c r="I81">
        <v>94.68</v>
      </c>
      <c r="J81">
        <v>74.489999999999995</v>
      </c>
      <c r="K81" t="s">
        <v>63</v>
      </c>
      <c r="L81">
        <v>8.1999999999999993</v>
      </c>
      <c r="N81" t="s">
        <v>35</v>
      </c>
      <c r="O81">
        <v>6</v>
      </c>
      <c r="P81" t="s">
        <v>23</v>
      </c>
      <c r="Q81">
        <v>72.8</v>
      </c>
      <c r="S81" t="s">
        <v>56</v>
      </c>
      <c r="U81" s="5">
        <v>7.0164502164502194</v>
      </c>
    </row>
    <row r="82" spans="1:21" x14ac:dyDescent="0.35">
      <c r="A82" s="1">
        <v>45810</v>
      </c>
      <c r="B82" t="s">
        <v>53</v>
      </c>
      <c r="C82" t="s">
        <v>41</v>
      </c>
      <c r="D82" t="s">
        <v>54</v>
      </c>
      <c r="E82" t="s">
        <v>27</v>
      </c>
      <c r="F82">
        <v>291.19</v>
      </c>
      <c r="G82">
        <v>39.5</v>
      </c>
      <c r="H82">
        <v>94.97</v>
      </c>
      <c r="I82">
        <v>96.19</v>
      </c>
      <c r="J82">
        <v>79.22</v>
      </c>
      <c r="K82" t="s">
        <v>47</v>
      </c>
      <c r="L82">
        <v>8.3000000000000007</v>
      </c>
      <c r="M82">
        <v>3.1</v>
      </c>
      <c r="N82" t="s">
        <v>39</v>
      </c>
      <c r="O82">
        <v>8</v>
      </c>
      <c r="P82" t="s">
        <v>43</v>
      </c>
      <c r="Q82">
        <v>60.9</v>
      </c>
      <c r="S82" t="s">
        <v>49</v>
      </c>
      <c r="U82" s="5">
        <v>8.0481132075471731</v>
      </c>
    </row>
    <row r="83" spans="1:21" x14ac:dyDescent="0.35">
      <c r="A83" s="1">
        <v>45810</v>
      </c>
      <c r="B83" t="s">
        <v>74</v>
      </c>
      <c r="C83" t="s">
        <v>67</v>
      </c>
      <c r="D83" t="s">
        <v>75</v>
      </c>
      <c r="E83" t="s">
        <v>27</v>
      </c>
      <c r="F83">
        <v>778.54</v>
      </c>
      <c r="G83">
        <v>65.400000000000006</v>
      </c>
      <c r="H83">
        <v>96.58</v>
      </c>
      <c r="I83">
        <v>96.6</v>
      </c>
      <c r="J83">
        <v>80.069999999999993</v>
      </c>
      <c r="K83" t="s">
        <v>34</v>
      </c>
      <c r="L83">
        <v>8.6</v>
      </c>
      <c r="M83">
        <v>2.4</v>
      </c>
      <c r="N83" t="s">
        <v>39</v>
      </c>
      <c r="O83">
        <v>8</v>
      </c>
      <c r="P83" t="s">
        <v>43</v>
      </c>
      <c r="Q83">
        <v>62.9</v>
      </c>
      <c r="S83" t="s">
        <v>104</v>
      </c>
      <c r="U83" s="5">
        <v>7.9664842105263212</v>
      </c>
    </row>
    <row r="84" spans="1:21" x14ac:dyDescent="0.35">
      <c r="A84" s="1">
        <v>45810</v>
      </c>
      <c r="B84" t="s">
        <v>76</v>
      </c>
      <c r="C84" t="s">
        <v>45</v>
      </c>
      <c r="D84" t="s">
        <v>77</v>
      </c>
      <c r="E84" t="s">
        <v>33</v>
      </c>
      <c r="F84">
        <v>344.52</v>
      </c>
      <c r="G84">
        <v>513.5</v>
      </c>
      <c r="H84">
        <v>93.47</v>
      </c>
      <c r="I84">
        <v>98.83</v>
      </c>
      <c r="J84">
        <v>79.430000000000007</v>
      </c>
      <c r="K84" t="s">
        <v>34</v>
      </c>
      <c r="L84">
        <v>7.4</v>
      </c>
      <c r="M84">
        <v>4.4000000000000004</v>
      </c>
      <c r="N84" t="s">
        <v>22</v>
      </c>
      <c r="O84">
        <v>10</v>
      </c>
      <c r="P84" t="s">
        <v>23</v>
      </c>
      <c r="Q84">
        <v>61.4</v>
      </c>
    </row>
    <row r="85" spans="1:21" x14ac:dyDescent="0.35">
      <c r="A85" s="1">
        <v>45810</v>
      </c>
      <c r="B85" t="s">
        <v>76</v>
      </c>
      <c r="C85" t="s">
        <v>45</v>
      </c>
      <c r="D85" t="s">
        <v>77</v>
      </c>
      <c r="E85" t="s">
        <v>27</v>
      </c>
      <c r="F85">
        <v>317</v>
      </c>
      <c r="G85">
        <v>381.6</v>
      </c>
      <c r="H85">
        <v>92.37</v>
      </c>
      <c r="I85">
        <v>98.67</v>
      </c>
      <c r="J85">
        <v>81.19</v>
      </c>
      <c r="K85" t="s">
        <v>47</v>
      </c>
      <c r="L85">
        <v>7.2</v>
      </c>
      <c r="M85">
        <v>4.7</v>
      </c>
      <c r="N85" t="s">
        <v>29</v>
      </c>
      <c r="O85">
        <v>12</v>
      </c>
      <c r="P85" t="s">
        <v>23</v>
      </c>
      <c r="Q85">
        <v>60.9</v>
      </c>
    </row>
    <row r="86" spans="1:21" x14ac:dyDescent="0.35">
      <c r="A86" s="1">
        <v>45810</v>
      </c>
      <c r="B86" t="s">
        <v>97</v>
      </c>
      <c r="C86" t="s">
        <v>72</v>
      </c>
      <c r="D86" t="s">
        <v>98</v>
      </c>
      <c r="E86" t="s">
        <v>33</v>
      </c>
      <c r="F86">
        <v>155.47999999999999</v>
      </c>
      <c r="G86">
        <v>117.3</v>
      </c>
      <c r="H86">
        <v>97.68</v>
      </c>
      <c r="I86">
        <v>95.17</v>
      </c>
      <c r="J86">
        <v>77.94</v>
      </c>
      <c r="K86" t="s">
        <v>28</v>
      </c>
      <c r="L86">
        <v>6.2</v>
      </c>
      <c r="M86">
        <v>4.5999999999999996</v>
      </c>
      <c r="N86" t="s">
        <v>22</v>
      </c>
      <c r="O86">
        <v>5</v>
      </c>
      <c r="P86" t="s">
        <v>23</v>
      </c>
      <c r="Q86">
        <v>58.1</v>
      </c>
    </row>
    <row r="87" spans="1:21" x14ac:dyDescent="0.35">
      <c r="A87" s="1">
        <v>45810</v>
      </c>
      <c r="B87" t="s">
        <v>64</v>
      </c>
      <c r="C87" t="s">
        <v>25</v>
      </c>
      <c r="D87" t="s">
        <v>65</v>
      </c>
      <c r="E87" t="s">
        <v>27</v>
      </c>
      <c r="F87">
        <v>288.37</v>
      </c>
      <c r="G87">
        <v>52.1</v>
      </c>
      <c r="H87">
        <v>92.41</v>
      </c>
      <c r="I87">
        <v>96.38</v>
      </c>
      <c r="J87">
        <v>77.19</v>
      </c>
      <c r="K87" t="s">
        <v>34</v>
      </c>
      <c r="L87">
        <v>7.6</v>
      </c>
      <c r="M87">
        <v>3.7</v>
      </c>
      <c r="N87" t="s">
        <v>39</v>
      </c>
      <c r="O87">
        <v>15</v>
      </c>
      <c r="P87" t="s">
        <v>30</v>
      </c>
      <c r="Q87">
        <v>58.9</v>
      </c>
      <c r="S87" s="6" t="s">
        <v>116</v>
      </c>
    </row>
    <row r="88" spans="1:21" x14ac:dyDescent="0.35">
      <c r="A88" s="1">
        <v>45810</v>
      </c>
      <c r="B88" t="s">
        <v>99</v>
      </c>
      <c r="C88" t="s">
        <v>72</v>
      </c>
      <c r="D88" t="s">
        <v>100</v>
      </c>
      <c r="E88" t="s">
        <v>27</v>
      </c>
      <c r="F88">
        <v>244.18</v>
      </c>
      <c r="G88">
        <v>33</v>
      </c>
      <c r="H88">
        <v>92.37</v>
      </c>
      <c r="I88">
        <v>94.55</v>
      </c>
      <c r="J88">
        <v>84.96</v>
      </c>
      <c r="K88" t="s">
        <v>34</v>
      </c>
      <c r="L88">
        <v>8.4</v>
      </c>
      <c r="M88">
        <v>2.4</v>
      </c>
      <c r="N88" t="s">
        <v>29</v>
      </c>
      <c r="O88">
        <v>15</v>
      </c>
      <c r="P88" t="s">
        <v>43</v>
      </c>
      <c r="Q88">
        <v>61.7</v>
      </c>
    </row>
    <row r="89" spans="1:21" x14ac:dyDescent="0.35">
      <c r="A89" s="1">
        <v>45810</v>
      </c>
      <c r="B89" t="s">
        <v>24</v>
      </c>
      <c r="C89" t="s">
        <v>25</v>
      </c>
      <c r="D89" t="s">
        <v>26</v>
      </c>
      <c r="E89" t="s">
        <v>27</v>
      </c>
      <c r="F89">
        <v>258.76</v>
      </c>
      <c r="G89">
        <v>68.7</v>
      </c>
      <c r="H89">
        <v>95.94</v>
      </c>
      <c r="I89">
        <v>98.09</v>
      </c>
      <c r="J89">
        <v>84.5</v>
      </c>
      <c r="K89" t="s">
        <v>28</v>
      </c>
      <c r="L89">
        <v>7.2</v>
      </c>
      <c r="M89">
        <v>4.9000000000000004</v>
      </c>
      <c r="N89" t="s">
        <v>29</v>
      </c>
      <c r="O89">
        <v>10</v>
      </c>
      <c r="P89" t="s">
        <v>30</v>
      </c>
      <c r="Q89">
        <v>59.9</v>
      </c>
      <c r="S89" s="2" t="s">
        <v>103</v>
      </c>
      <c r="T89" t="s">
        <v>115</v>
      </c>
      <c r="U89" t="s">
        <v>113</v>
      </c>
    </row>
    <row r="90" spans="1:21" x14ac:dyDescent="0.35">
      <c r="A90" s="1">
        <v>45810</v>
      </c>
      <c r="B90" t="s">
        <v>48</v>
      </c>
      <c r="C90" t="s">
        <v>49</v>
      </c>
      <c r="D90" t="s">
        <v>50</v>
      </c>
      <c r="E90" t="s">
        <v>33</v>
      </c>
      <c r="F90">
        <v>396.21</v>
      </c>
      <c r="G90">
        <v>167</v>
      </c>
      <c r="H90">
        <v>93.9</v>
      </c>
      <c r="I90">
        <v>94.04</v>
      </c>
      <c r="J90">
        <v>76.7</v>
      </c>
      <c r="K90" t="s">
        <v>34</v>
      </c>
      <c r="L90">
        <v>7.4</v>
      </c>
      <c r="M90">
        <v>2.9</v>
      </c>
      <c r="N90" t="s">
        <v>35</v>
      </c>
      <c r="O90">
        <v>7</v>
      </c>
      <c r="P90" t="s">
        <v>23</v>
      </c>
      <c r="Q90">
        <v>61.2</v>
      </c>
      <c r="S90" s="4" t="s">
        <v>27</v>
      </c>
      <c r="T90">
        <v>429.94414634146352</v>
      </c>
      <c r="U90" s="5">
        <v>8.1877235772357615</v>
      </c>
    </row>
    <row r="91" spans="1:21" x14ac:dyDescent="0.35">
      <c r="A91" s="1">
        <v>45810</v>
      </c>
      <c r="B91" t="s">
        <v>99</v>
      </c>
      <c r="C91" t="s">
        <v>72</v>
      </c>
      <c r="D91" t="s">
        <v>100</v>
      </c>
      <c r="E91" t="s">
        <v>33</v>
      </c>
      <c r="F91">
        <v>78.790000000000006</v>
      </c>
      <c r="G91">
        <v>119.9</v>
      </c>
      <c r="H91">
        <v>92.17</v>
      </c>
      <c r="I91">
        <v>95.41</v>
      </c>
      <c r="J91">
        <v>76.510000000000005</v>
      </c>
      <c r="K91" t="s">
        <v>28</v>
      </c>
      <c r="L91">
        <v>7.5</v>
      </c>
      <c r="M91">
        <v>2.2000000000000002</v>
      </c>
      <c r="N91" t="s">
        <v>35</v>
      </c>
      <c r="O91">
        <v>8</v>
      </c>
      <c r="P91" t="s">
        <v>43</v>
      </c>
      <c r="Q91">
        <v>60.8</v>
      </c>
      <c r="S91" s="4" t="s">
        <v>62</v>
      </c>
      <c r="T91">
        <v>426.07298701298674</v>
      </c>
      <c r="U91" s="5">
        <v>8.3000000000000025</v>
      </c>
    </row>
    <row r="92" spans="1:21" x14ac:dyDescent="0.35">
      <c r="A92" s="1">
        <v>45810</v>
      </c>
      <c r="B92" t="s">
        <v>55</v>
      </c>
      <c r="C92" t="s">
        <v>56</v>
      </c>
      <c r="D92">
        <v>4</v>
      </c>
      <c r="E92" t="s">
        <v>57</v>
      </c>
      <c r="F92">
        <v>30</v>
      </c>
      <c r="G92">
        <v>130.30000000000001</v>
      </c>
      <c r="H92">
        <v>85.39</v>
      </c>
      <c r="I92">
        <v>95.26</v>
      </c>
      <c r="J92">
        <v>77.290000000000006</v>
      </c>
      <c r="K92" t="s">
        <v>58</v>
      </c>
      <c r="L92">
        <v>7.3</v>
      </c>
      <c r="N92" t="s">
        <v>35</v>
      </c>
      <c r="O92">
        <v>5</v>
      </c>
      <c r="P92" t="s">
        <v>23</v>
      </c>
      <c r="Q92">
        <v>69.3</v>
      </c>
      <c r="S92" s="4" t="s">
        <v>33</v>
      </c>
      <c r="T92">
        <v>362.41664717348914</v>
      </c>
      <c r="U92" s="5">
        <v>7.8988304093567256</v>
      </c>
    </row>
    <row r="93" spans="1:21" x14ac:dyDescent="0.35">
      <c r="A93" s="1">
        <v>45810</v>
      </c>
      <c r="B93" t="s">
        <v>80</v>
      </c>
      <c r="C93" t="s">
        <v>45</v>
      </c>
      <c r="D93" t="s">
        <v>81</v>
      </c>
      <c r="E93" t="s">
        <v>33</v>
      </c>
      <c r="F93">
        <v>903.67</v>
      </c>
      <c r="G93">
        <v>468.2</v>
      </c>
      <c r="H93">
        <v>95.45</v>
      </c>
      <c r="I93">
        <v>98.42</v>
      </c>
      <c r="J93">
        <v>70.81</v>
      </c>
      <c r="K93" t="s">
        <v>47</v>
      </c>
      <c r="L93">
        <v>9.1999999999999993</v>
      </c>
      <c r="M93">
        <v>3.1</v>
      </c>
      <c r="N93" t="s">
        <v>35</v>
      </c>
      <c r="O93">
        <v>8</v>
      </c>
      <c r="P93" t="s">
        <v>23</v>
      </c>
      <c r="Q93">
        <v>64</v>
      </c>
      <c r="S93" s="4" t="s">
        <v>20</v>
      </c>
      <c r="T93">
        <v>197.51029411764711</v>
      </c>
      <c r="U93" s="5">
        <v>7.4076470588235335</v>
      </c>
    </row>
    <row r="94" spans="1:21" x14ac:dyDescent="0.35">
      <c r="A94" s="1">
        <v>45810</v>
      </c>
      <c r="B94" t="s">
        <v>59</v>
      </c>
      <c r="C94" t="s">
        <v>60</v>
      </c>
      <c r="D94" t="s">
        <v>61</v>
      </c>
      <c r="E94" t="s">
        <v>62</v>
      </c>
      <c r="F94">
        <v>484.36</v>
      </c>
      <c r="G94">
        <v>185</v>
      </c>
      <c r="H94">
        <v>86.66</v>
      </c>
      <c r="I94">
        <v>96.2</v>
      </c>
      <c r="J94">
        <v>87.28</v>
      </c>
      <c r="K94" t="s">
        <v>34</v>
      </c>
      <c r="L94">
        <v>8.1999999999999993</v>
      </c>
      <c r="N94" t="s">
        <v>35</v>
      </c>
      <c r="O94">
        <v>4</v>
      </c>
      <c r="P94" t="s">
        <v>43</v>
      </c>
      <c r="Q94">
        <v>74.400000000000006</v>
      </c>
      <c r="S94" s="4" t="s">
        <v>57</v>
      </c>
      <c r="T94">
        <v>30</v>
      </c>
      <c r="U94" s="5">
        <v>7.0164502164502194</v>
      </c>
    </row>
    <row r="95" spans="1:21" x14ac:dyDescent="0.35">
      <c r="A95" s="1">
        <v>45810</v>
      </c>
      <c r="B95" t="s">
        <v>78</v>
      </c>
      <c r="C95" t="s">
        <v>41</v>
      </c>
      <c r="D95" t="s">
        <v>79</v>
      </c>
      <c r="E95" t="s">
        <v>27</v>
      </c>
      <c r="F95">
        <v>671.53</v>
      </c>
      <c r="G95">
        <v>55.3</v>
      </c>
      <c r="H95">
        <v>92.89</v>
      </c>
      <c r="I95">
        <v>96.09</v>
      </c>
      <c r="J95">
        <v>78.69</v>
      </c>
      <c r="K95" t="s">
        <v>28</v>
      </c>
      <c r="L95">
        <v>8.1999999999999993</v>
      </c>
      <c r="M95">
        <v>1.9</v>
      </c>
      <c r="N95" t="s">
        <v>29</v>
      </c>
      <c r="O95">
        <v>8</v>
      </c>
      <c r="P95" t="s">
        <v>43</v>
      </c>
      <c r="Q95">
        <v>61.4</v>
      </c>
      <c r="S95" s="4" t="s">
        <v>104</v>
      </c>
      <c r="T95">
        <v>359.44448421052681</v>
      </c>
      <c r="U95" s="5">
        <v>7.9664842105263176</v>
      </c>
    </row>
    <row r="96" spans="1:21" x14ac:dyDescent="0.35">
      <c r="A96" s="1">
        <v>45810</v>
      </c>
      <c r="B96" t="s">
        <v>66</v>
      </c>
      <c r="C96" t="s">
        <v>67</v>
      </c>
      <c r="D96" t="s">
        <v>68</v>
      </c>
      <c r="E96" t="s">
        <v>27</v>
      </c>
      <c r="F96">
        <v>159.47</v>
      </c>
      <c r="G96">
        <v>42.7</v>
      </c>
      <c r="H96">
        <v>94.21</v>
      </c>
      <c r="I96">
        <v>94.17</v>
      </c>
      <c r="J96">
        <v>82.85</v>
      </c>
      <c r="K96" t="s">
        <v>28</v>
      </c>
      <c r="L96">
        <v>7.2</v>
      </c>
      <c r="M96">
        <v>3.1</v>
      </c>
      <c r="N96" t="s">
        <v>39</v>
      </c>
      <c r="O96">
        <v>15</v>
      </c>
      <c r="P96" t="s">
        <v>43</v>
      </c>
      <c r="Q96">
        <v>59.3</v>
      </c>
    </row>
    <row r="97" spans="1:23" x14ac:dyDescent="0.35">
      <c r="A97" s="1">
        <v>45810</v>
      </c>
      <c r="B97" t="s">
        <v>80</v>
      </c>
      <c r="C97" t="s">
        <v>45</v>
      </c>
      <c r="D97" t="s">
        <v>81</v>
      </c>
      <c r="E97" t="s">
        <v>27</v>
      </c>
      <c r="F97">
        <v>173.18</v>
      </c>
      <c r="G97">
        <v>607.1</v>
      </c>
      <c r="H97">
        <v>94.96</v>
      </c>
      <c r="I97">
        <v>99.46</v>
      </c>
      <c r="J97">
        <v>80.989999999999995</v>
      </c>
      <c r="K97" t="s">
        <v>34</v>
      </c>
      <c r="L97">
        <v>7.2</v>
      </c>
      <c r="M97">
        <v>3.5</v>
      </c>
      <c r="N97" t="s">
        <v>39</v>
      </c>
      <c r="O97">
        <v>15</v>
      </c>
      <c r="P97" t="s">
        <v>23</v>
      </c>
      <c r="Q97">
        <v>62.2</v>
      </c>
    </row>
    <row r="98" spans="1:23" x14ac:dyDescent="0.35">
      <c r="A98" s="1">
        <v>45810</v>
      </c>
      <c r="B98" t="s">
        <v>36</v>
      </c>
      <c r="C98" t="s">
        <v>37</v>
      </c>
      <c r="D98" t="s">
        <v>38</v>
      </c>
      <c r="E98" t="s">
        <v>33</v>
      </c>
      <c r="F98">
        <v>472.8</v>
      </c>
      <c r="G98">
        <v>156.4</v>
      </c>
      <c r="H98">
        <v>94.33</v>
      </c>
      <c r="I98">
        <v>93.72</v>
      </c>
      <c r="J98">
        <v>73.19</v>
      </c>
      <c r="K98" t="s">
        <v>47</v>
      </c>
      <c r="L98">
        <v>8</v>
      </c>
      <c r="M98">
        <v>4.3</v>
      </c>
      <c r="N98" t="s">
        <v>35</v>
      </c>
      <c r="O98">
        <v>8</v>
      </c>
      <c r="P98" t="s">
        <v>23</v>
      </c>
      <c r="Q98">
        <v>60.4</v>
      </c>
    </row>
    <row r="99" spans="1:23" x14ac:dyDescent="0.35">
      <c r="A99" s="1">
        <v>45810</v>
      </c>
      <c r="B99" t="s">
        <v>86</v>
      </c>
      <c r="C99" t="s">
        <v>25</v>
      </c>
      <c r="D99" t="s">
        <v>87</v>
      </c>
      <c r="E99" t="s">
        <v>27</v>
      </c>
      <c r="F99">
        <v>677.77</v>
      </c>
      <c r="G99">
        <v>35.9</v>
      </c>
      <c r="H99">
        <v>97.58</v>
      </c>
      <c r="I99">
        <v>98.01</v>
      </c>
      <c r="J99">
        <v>83.64</v>
      </c>
      <c r="K99" t="s">
        <v>47</v>
      </c>
      <c r="L99">
        <v>8.4</v>
      </c>
      <c r="M99">
        <v>4.3</v>
      </c>
      <c r="N99" t="s">
        <v>29</v>
      </c>
      <c r="O99">
        <v>8</v>
      </c>
      <c r="P99" t="s">
        <v>30</v>
      </c>
      <c r="Q99">
        <v>61.7</v>
      </c>
    </row>
    <row r="100" spans="1:23" x14ac:dyDescent="0.35">
      <c r="A100" s="1">
        <v>45810</v>
      </c>
      <c r="B100" t="s">
        <v>97</v>
      </c>
      <c r="C100" t="s">
        <v>72</v>
      </c>
      <c r="D100" t="s">
        <v>98</v>
      </c>
      <c r="E100" t="s">
        <v>27</v>
      </c>
      <c r="F100">
        <v>107.55</v>
      </c>
      <c r="G100">
        <v>38.1</v>
      </c>
      <c r="H100">
        <v>95.38</v>
      </c>
      <c r="I100">
        <v>95.03</v>
      </c>
      <c r="J100">
        <v>78.41</v>
      </c>
      <c r="K100" t="s">
        <v>34</v>
      </c>
      <c r="L100">
        <v>6.3</v>
      </c>
      <c r="M100">
        <v>4.5</v>
      </c>
      <c r="N100" t="s">
        <v>39</v>
      </c>
      <c r="O100">
        <v>15</v>
      </c>
      <c r="P100" t="s">
        <v>43</v>
      </c>
      <c r="Q100">
        <v>56.4</v>
      </c>
    </row>
    <row r="101" spans="1:23" x14ac:dyDescent="0.35">
      <c r="A101" s="1">
        <v>45810</v>
      </c>
      <c r="B101" t="s">
        <v>59</v>
      </c>
      <c r="C101" t="s">
        <v>60</v>
      </c>
      <c r="D101" t="s">
        <v>61</v>
      </c>
      <c r="E101" t="s">
        <v>62</v>
      </c>
      <c r="F101">
        <v>348.89</v>
      </c>
      <c r="G101">
        <v>190</v>
      </c>
      <c r="H101">
        <v>87.45</v>
      </c>
      <c r="I101">
        <v>96.28</v>
      </c>
      <c r="J101">
        <v>91.1</v>
      </c>
      <c r="K101" t="s">
        <v>63</v>
      </c>
      <c r="L101">
        <v>7</v>
      </c>
      <c r="N101" t="s">
        <v>35</v>
      </c>
      <c r="O101">
        <v>4</v>
      </c>
      <c r="P101" t="s">
        <v>23</v>
      </c>
      <c r="Q101">
        <v>73</v>
      </c>
    </row>
    <row r="102" spans="1:23" x14ac:dyDescent="0.35">
      <c r="A102" s="1">
        <v>45810</v>
      </c>
      <c r="B102" t="s">
        <v>55</v>
      </c>
      <c r="C102" t="s">
        <v>56</v>
      </c>
      <c r="D102">
        <v>4</v>
      </c>
      <c r="E102" t="s">
        <v>57</v>
      </c>
      <c r="F102">
        <v>30</v>
      </c>
      <c r="G102">
        <v>160.9</v>
      </c>
      <c r="H102">
        <v>85.32</v>
      </c>
      <c r="I102">
        <v>96.84</v>
      </c>
      <c r="J102">
        <v>72.66</v>
      </c>
      <c r="K102" t="s">
        <v>58</v>
      </c>
      <c r="L102">
        <v>7.4</v>
      </c>
      <c r="N102" t="s">
        <v>35</v>
      </c>
      <c r="O102">
        <v>2</v>
      </c>
      <c r="P102" t="s">
        <v>23</v>
      </c>
      <c r="Q102">
        <v>69.599999999999994</v>
      </c>
    </row>
    <row r="103" spans="1:23" x14ac:dyDescent="0.35">
      <c r="A103" s="1">
        <v>45810</v>
      </c>
      <c r="B103" t="s">
        <v>71</v>
      </c>
      <c r="C103" t="s">
        <v>72</v>
      </c>
      <c r="D103" t="s">
        <v>73</v>
      </c>
      <c r="E103" t="s">
        <v>27</v>
      </c>
      <c r="F103">
        <v>108.14</v>
      </c>
      <c r="G103">
        <v>35.200000000000003</v>
      </c>
      <c r="H103">
        <v>96.43</v>
      </c>
      <c r="I103">
        <v>94.44</v>
      </c>
      <c r="J103">
        <v>80.92</v>
      </c>
      <c r="K103" t="s">
        <v>28</v>
      </c>
      <c r="L103">
        <v>7.4</v>
      </c>
      <c r="M103">
        <v>4.8</v>
      </c>
      <c r="N103" t="s">
        <v>39</v>
      </c>
      <c r="O103">
        <v>11</v>
      </c>
      <c r="P103" t="s">
        <v>23</v>
      </c>
      <c r="Q103">
        <v>58.5</v>
      </c>
    </row>
    <row r="104" spans="1:23" x14ac:dyDescent="0.35">
      <c r="A104" s="1">
        <v>45810</v>
      </c>
      <c r="B104" t="s">
        <v>24</v>
      </c>
      <c r="C104" t="s">
        <v>25</v>
      </c>
      <c r="D104" t="s">
        <v>26</v>
      </c>
      <c r="E104" t="s">
        <v>27</v>
      </c>
      <c r="F104">
        <v>424.32</v>
      </c>
      <c r="G104">
        <v>65.900000000000006</v>
      </c>
      <c r="H104">
        <v>94.98</v>
      </c>
      <c r="I104">
        <v>97.72</v>
      </c>
      <c r="J104">
        <v>84.05</v>
      </c>
      <c r="K104" t="s">
        <v>34</v>
      </c>
      <c r="L104">
        <v>8.3000000000000007</v>
      </c>
      <c r="M104">
        <v>4.7</v>
      </c>
      <c r="N104" t="s">
        <v>39</v>
      </c>
      <c r="O104">
        <v>11</v>
      </c>
      <c r="P104" t="s">
        <v>30</v>
      </c>
      <c r="Q104">
        <v>61.5</v>
      </c>
    </row>
    <row r="105" spans="1:23" x14ac:dyDescent="0.35">
      <c r="A105" s="1">
        <v>45810</v>
      </c>
      <c r="B105" t="s">
        <v>101</v>
      </c>
      <c r="C105" t="s">
        <v>45</v>
      </c>
      <c r="D105" t="s">
        <v>102</v>
      </c>
      <c r="E105" t="s">
        <v>27</v>
      </c>
      <c r="F105">
        <v>407.86</v>
      </c>
      <c r="G105">
        <v>1604.7</v>
      </c>
      <c r="H105">
        <v>92.71</v>
      </c>
      <c r="I105">
        <v>98.12</v>
      </c>
      <c r="J105">
        <v>81.93</v>
      </c>
      <c r="K105" t="s">
        <v>47</v>
      </c>
      <c r="L105">
        <v>8</v>
      </c>
      <c r="M105">
        <v>4.8</v>
      </c>
      <c r="N105" t="s">
        <v>29</v>
      </c>
      <c r="O105">
        <v>8</v>
      </c>
      <c r="P105" t="s">
        <v>23</v>
      </c>
      <c r="Q105">
        <v>62.3</v>
      </c>
      <c r="S105" s="9" t="s">
        <v>125</v>
      </c>
      <c r="T105" s="10"/>
      <c r="U105" s="10"/>
      <c r="V105" s="10"/>
      <c r="W105" s="10"/>
    </row>
    <row r="106" spans="1:23" x14ac:dyDescent="0.35">
      <c r="A106" s="1">
        <v>45810</v>
      </c>
      <c r="B106" t="s">
        <v>91</v>
      </c>
      <c r="C106" t="s">
        <v>67</v>
      </c>
      <c r="D106" t="s">
        <v>92</v>
      </c>
      <c r="E106" t="s">
        <v>27</v>
      </c>
      <c r="F106">
        <v>557.70000000000005</v>
      </c>
      <c r="G106">
        <v>63.8</v>
      </c>
      <c r="H106">
        <v>92.63</v>
      </c>
      <c r="I106">
        <v>93.52</v>
      </c>
      <c r="J106">
        <v>84.17</v>
      </c>
      <c r="K106" t="s">
        <v>34</v>
      </c>
      <c r="L106">
        <v>9.5</v>
      </c>
      <c r="M106">
        <v>4.5</v>
      </c>
      <c r="N106" t="s">
        <v>39</v>
      </c>
      <c r="O106">
        <v>14</v>
      </c>
      <c r="P106" t="s">
        <v>43</v>
      </c>
      <c r="Q106">
        <v>62.5</v>
      </c>
      <c r="S106" s="10"/>
      <c r="T106" s="10"/>
      <c r="U106" s="10"/>
      <c r="V106" s="10"/>
      <c r="W106" s="10"/>
    </row>
    <row r="107" spans="1:23" x14ac:dyDescent="0.35">
      <c r="A107" s="1">
        <v>45810</v>
      </c>
      <c r="B107" t="s">
        <v>95</v>
      </c>
      <c r="C107" t="s">
        <v>49</v>
      </c>
      <c r="D107" t="s">
        <v>96</v>
      </c>
      <c r="E107" t="s">
        <v>27</v>
      </c>
      <c r="F107">
        <v>366.9</v>
      </c>
      <c r="G107">
        <v>30.5</v>
      </c>
      <c r="H107">
        <v>92.88</v>
      </c>
      <c r="I107">
        <v>93.53</v>
      </c>
      <c r="J107">
        <v>82.01</v>
      </c>
      <c r="K107" t="s">
        <v>47</v>
      </c>
      <c r="L107">
        <v>7.6</v>
      </c>
      <c r="M107">
        <v>3.3</v>
      </c>
      <c r="N107" t="s">
        <v>29</v>
      </c>
      <c r="O107">
        <v>12</v>
      </c>
      <c r="P107" t="s">
        <v>43</v>
      </c>
      <c r="Q107">
        <v>59.1</v>
      </c>
    </row>
    <row r="108" spans="1:23" x14ac:dyDescent="0.35">
      <c r="A108" s="1">
        <v>45810</v>
      </c>
      <c r="B108" t="s">
        <v>55</v>
      </c>
      <c r="C108" t="s">
        <v>56</v>
      </c>
      <c r="D108">
        <v>4</v>
      </c>
      <c r="E108" t="s">
        <v>57</v>
      </c>
      <c r="F108">
        <v>30</v>
      </c>
      <c r="G108">
        <v>163.30000000000001</v>
      </c>
      <c r="H108">
        <v>86.84</v>
      </c>
      <c r="I108">
        <v>96.32</v>
      </c>
      <c r="J108">
        <v>79.27</v>
      </c>
      <c r="K108" t="s">
        <v>21</v>
      </c>
      <c r="L108">
        <v>6.6</v>
      </c>
      <c r="N108" t="s">
        <v>35</v>
      </c>
      <c r="O108">
        <v>3</v>
      </c>
      <c r="P108" t="s">
        <v>23</v>
      </c>
      <c r="Q108">
        <v>69.599999999999994</v>
      </c>
    </row>
    <row r="109" spans="1:23" x14ac:dyDescent="0.35">
      <c r="A109" s="1">
        <v>45810</v>
      </c>
      <c r="B109" t="s">
        <v>80</v>
      </c>
      <c r="C109" t="s">
        <v>45</v>
      </c>
      <c r="D109" t="s">
        <v>81</v>
      </c>
      <c r="E109" t="s">
        <v>27</v>
      </c>
      <c r="F109">
        <v>882.33</v>
      </c>
      <c r="G109">
        <v>692.2</v>
      </c>
      <c r="H109">
        <v>93.95</v>
      </c>
      <c r="I109">
        <v>98.93</v>
      </c>
      <c r="J109">
        <v>80.11</v>
      </c>
      <c r="K109" t="s">
        <v>28</v>
      </c>
      <c r="L109">
        <v>9.1</v>
      </c>
      <c r="M109">
        <v>2.8</v>
      </c>
      <c r="N109" t="s">
        <v>39</v>
      </c>
      <c r="O109">
        <v>11</v>
      </c>
      <c r="P109" t="s">
        <v>23</v>
      </c>
      <c r="Q109">
        <v>65.5</v>
      </c>
    </row>
    <row r="110" spans="1:23" x14ac:dyDescent="0.35">
      <c r="A110" s="1">
        <v>45810</v>
      </c>
      <c r="B110" t="s">
        <v>93</v>
      </c>
      <c r="C110" t="s">
        <v>37</v>
      </c>
      <c r="D110" t="s">
        <v>94</v>
      </c>
      <c r="E110" t="s">
        <v>33</v>
      </c>
      <c r="F110">
        <v>239.48</v>
      </c>
      <c r="G110">
        <v>80.099999999999994</v>
      </c>
      <c r="H110">
        <v>92.94</v>
      </c>
      <c r="I110">
        <v>93.53</v>
      </c>
      <c r="J110">
        <v>78.62</v>
      </c>
      <c r="K110" t="s">
        <v>34</v>
      </c>
      <c r="L110">
        <v>7.9</v>
      </c>
      <c r="M110">
        <v>2.5</v>
      </c>
      <c r="N110" t="s">
        <v>35</v>
      </c>
      <c r="O110">
        <v>6</v>
      </c>
      <c r="P110" t="s">
        <v>23</v>
      </c>
      <c r="Q110">
        <v>60.6</v>
      </c>
    </row>
    <row r="111" spans="1:23" x14ac:dyDescent="0.35">
      <c r="A111" s="1">
        <v>45810</v>
      </c>
      <c r="B111" t="s">
        <v>86</v>
      </c>
      <c r="C111" t="s">
        <v>25</v>
      </c>
      <c r="D111" t="s">
        <v>87</v>
      </c>
      <c r="E111" t="s">
        <v>27</v>
      </c>
      <c r="F111">
        <v>362.36</v>
      </c>
      <c r="G111">
        <v>48</v>
      </c>
      <c r="H111">
        <v>93.87</v>
      </c>
      <c r="I111">
        <v>98.31</v>
      </c>
      <c r="J111">
        <v>81.13</v>
      </c>
      <c r="K111" t="s">
        <v>47</v>
      </c>
      <c r="L111">
        <v>7.1</v>
      </c>
      <c r="M111">
        <v>2.9</v>
      </c>
      <c r="N111" t="s">
        <v>29</v>
      </c>
      <c r="O111">
        <v>10</v>
      </c>
      <c r="P111" t="s">
        <v>30</v>
      </c>
      <c r="Q111">
        <v>59.7</v>
      </c>
    </row>
    <row r="112" spans="1:23" x14ac:dyDescent="0.35">
      <c r="A112" s="1">
        <v>45810</v>
      </c>
      <c r="B112" t="s">
        <v>40</v>
      </c>
      <c r="C112" t="s">
        <v>41</v>
      </c>
      <c r="D112" t="s">
        <v>42</v>
      </c>
      <c r="E112" t="s">
        <v>27</v>
      </c>
      <c r="F112">
        <v>524.96</v>
      </c>
      <c r="G112">
        <v>60.7</v>
      </c>
      <c r="H112">
        <v>95.71</v>
      </c>
      <c r="I112">
        <v>97.06</v>
      </c>
      <c r="J112">
        <v>78.349999999999994</v>
      </c>
      <c r="K112" t="s">
        <v>34</v>
      </c>
      <c r="L112">
        <v>8.9</v>
      </c>
      <c r="M112">
        <v>2.7</v>
      </c>
      <c r="N112" t="s">
        <v>29</v>
      </c>
      <c r="O112">
        <v>13</v>
      </c>
      <c r="P112" t="s">
        <v>43</v>
      </c>
      <c r="Q112">
        <v>62.8</v>
      </c>
    </row>
    <row r="113" spans="1:24" x14ac:dyDescent="0.35">
      <c r="A113" s="1">
        <v>45810</v>
      </c>
      <c r="B113" t="s">
        <v>59</v>
      </c>
      <c r="C113" t="s">
        <v>60</v>
      </c>
      <c r="D113" t="s">
        <v>61</v>
      </c>
      <c r="E113" t="s">
        <v>62</v>
      </c>
      <c r="F113">
        <v>329.51</v>
      </c>
      <c r="G113">
        <v>188.6</v>
      </c>
      <c r="H113">
        <v>87.3</v>
      </c>
      <c r="I113">
        <v>94.66</v>
      </c>
      <c r="J113">
        <v>86.47</v>
      </c>
      <c r="K113" t="s">
        <v>63</v>
      </c>
      <c r="L113">
        <v>7.9</v>
      </c>
      <c r="N113" t="s">
        <v>35</v>
      </c>
      <c r="O113">
        <v>3</v>
      </c>
      <c r="P113" t="s">
        <v>43</v>
      </c>
      <c r="Q113">
        <v>73.5</v>
      </c>
    </row>
    <row r="114" spans="1:24" x14ac:dyDescent="0.35">
      <c r="A114" s="1">
        <v>45810</v>
      </c>
      <c r="B114" t="s">
        <v>69</v>
      </c>
      <c r="C114" t="s">
        <v>18</v>
      </c>
      <c r="D114" t="s">
        <v>70</v>
      </c>
      <c r="E114" t="s">
        <v>20</v>
      </c>
      <c r="F114">
        <v>264.8</v>
      </c>
      <c r="G114">
        <v>192.5</v>
      </c>
      <c r="H114">
        <v>89.98</v>
      </c>
      <c r="I114">
        <v>95.46</v>
      </c>
      <c r="J114">
        <v>72.5</v>
      </c>
      <c r="K114" t="s">
        <v>63</v>
      </c>
      <c r="L114">
        <v>7.3</v>
      </c>
      <c r="N114" t="s">
        <v>35</v>
      </c>
      <c r="O114">
        <v>7</v>
      </c>
      <c r="P114" t="s">
        <v>23</v>
      </c>
      <c r="Q114">
        <v>70.2</v>
      </c>
    </row>
    <row r="115" spans="1:24" x14ac:dyDescent="0.35">
      <c r="A115" s="1">
        <v>45810</v>
      </c>
      <c r="B115" t="s">
        <v>48</v>
      </c>
      <c r="C115" t="s">
        <v>49</v>
      </c>
      <c r="D115" t="s">
        <v>50</v>
      </c>
      <c r="E115" t="s">
        <v>33</v>
      </c>
      <c r="F115">
        <v>246.38</v>
      </c>
      <c r="G115">
        <v>153.5</v>
      </c>
      <c r="H115">
        <v>97.71</v>
      </c>
      <c r="I115">
        <v>95.4</v>
      </c>
      <c r="J115">
        <v>78.290000000000006</v>
      </c>
      <c r="K115" t="s">
        <v>47</v>
      </c>
      <c r="L115">
        <v>7.5</v>
      </c>
      <c r="M115">
        <v>2.9</v>
      </c>
      <c r="N115" t="s">
        <v>35</v>
      </c>
      <c r="O115">
        <v>6</v>
      </c>
      <c r="P115" t="s">
        <v>43</v>
      </c>
      <c r="Q115">
        <v>62.2</v>
      </c>
    </row>
    <row r="116" spans="1:24" x14ac:dyDescent="0.35">
      <c r="A116" s="1">
        <v>45810</v>
      </c>
      <c r="B116" t="s">
        <v>55</v>
      </c>
      <c r="C116" t="s">
        <v>56</v>
      </c>
      <c r="D116">
        <v>4</v>
      </c>
      <c r="E116" t="s">
        <v>57</v>
      </c>
      <c r="F116">
        <v>30</v>
      </c>
      <c r="G116">
        <v>131</v>
      </c>
      <c r="H116">
        <v>90.09</v>
      </c>
      <c r="I116">
        <v>93.52</v>
      </c>
      <c r="J116">
        <v>77.34</v>
      </c>
      <c r="K116" t="s">
        <v>21</v>
      </c>
      <c r="L116">
        <v>7</v>
      </c>
      <c r="N116" t="s">
        <v>35</v>
      </c>
      <c r="O116">
        <v>2</v>
      </c>
      <c r="P116" t="s">
        <v>23</v>
      </c>
      <c r="Q116">
        <v>69.3</v>
      </c>
      <c r="S116" s="2" t="s">
        <v>4</v>
      </c>
      <c r="T116" t="s">
        <v>115</v>
      </c>
      <c r="U116" t="s">
        <v>117</v>
      </c>
      <c r="V116" t="s">
        <v>110</v>
      </c>
      <c r="W116" t="s">
        <v>113</v>
      </c>
    </row>
    <row r="117" spans="1:24" x14ac:dyDescent="0.35">
      <c r="A117" s="1">
        <v>45810</v>
      </c>
      <c r="B117" t="s">
        <v>24</v>
      </c>
      <c r="C117" t="s">
        <v>25</v>
      </c>
      <c r="D117" t="s">
        <v>26</v>
      </c>
      <c r="E117" t="s">
        <v>27</v>
      </c>
      <c r="F117">
        <v>288.19</v>
      </c>
      <c r="G117">
        <v>18.600000000000001</v>
      </c>
      <c r="H117">
        <v>94.98</v>
      </c>
      <c r="I117">
        <v>96.87</v>
      </c>
      <c r="J117">
        <v>80.17</v>
      </c>
      <c r="K117" t="s">
        <v>28</v>
      </c>
      <c r="L117">
        <v>7.4</v>
      </c>
      <c r="M117">
        <v>2.8</v>
      </c>
      <c r="N117" t="s">
        <v>39</v>
      </c>
      <c r="O117">
        <v>12</v>
      </c>
      <c r="P117" t="s">
        <v>30</v>
      </c>
      <c r="Q117">
        <v>59.5</v>
      </c>
      <c r="S117" s="4" t="s">
        <v>27</v>
      </c>
      <c r="T117" s="5">
        <v>429.94414634146352</v>
      </c>
      <c r="U117" s="5">
        <v>11.509756097560976</v>
      </c>
      <c r="V117" s="5">
        <v>95.027585365853696</v>
      </c>
      <c r="W117" s="5">
        <v>8.1877235772357615</v>
      </c>
    </row>
    <row r="118" spans="1:24" x14ac:dyDescent="0.35">
      <c r="A118" s="1">
        <v>45810</v>
      </c>
      <c r="B118" t="s">
        <v>64</v>
      </c>
      <c r="C118" t="s">
        <v>25</v>
      </c>
      <c r="D118" t="s">
        <v>65</v>
      </c>
      <c r="E118" t="s">
        <v>27</v>
      </c>
      <c r="F118">
        <v>664.96</v>
      </c>
      <c r="G118">
        <v>20</v>
      </c>
      <c r="H118">
        <v>92.44</v>
      </c>
      <c r="I118">
        <v>96.44</v>
      </c>
      <c r="J118">
        <v>77.52</v>
      </c>
      <c r="K118" t="s">
        <v>47</v>
      </c>
      <c r="L118">
        <v>8.9</v>
      </c>
      <c r="M118">
        <v>2.2999999999999998</v>
      </c>
      <c r="N118" t="s">
        <v>29</v>
      </c>
      <c r="O118">
        <v>14</v>
      </c>
      <c r="P118" t="s">
        <v>30</v>
      </c>
      <c r="Q118">
        <v>61.4</v>
      </c>
      <c r="S118" s="4" t="s">
        <v>33</v>
      </c>
      <c r="T118" s="5">
        <v>362.41664717348914</v>
      </c>
      <c r="U118" s="5">
        <v>7.6218323586744638</v>
      </c>
      <c r="V118" s="5">
        <v>94.984132553606273</v>
      </c>
      <c r="W118" s="5">
        <v>7.8988304093567256</v>
      </c>
    </row>
    <row r="119" spans="1:24" x14ac:dyDescent="0.35">
      <c r="A119" s="1">
        <v>45810</v>
      </c>
      <c r="B119" t="s">
        <v>93</v>
      </c>
      <c r="C119" t="s">
        <v>37</v>
      </c>
      <c r="D119" t="s">
        <v>94</v>
      </c>
      <c r="E119" t="s">
        <v>33</v>
      </c>
      <c r="F119">
        <v>400.51</v>
      </c>
      <c r="G119">
        <v>114.1</v>
      </c>
      <c r="H119">
        <v>93.18</v>
      </c>
      <c r="I119">
        <v>95.32</v>
      </c>
      <c r="J119">
        <v>79.52</v>
      </c>
      <c r="K119" t="s">
        <v>34</v>
      </c>
      <c r="L119">
        <v>8.1999999999999993</v>
      </c>
      <c r="M119">
        <v>3.8</v>
      </c>
      <c r="N119" t="s">
        <v>35</v>
      </c>
      <c r="O119">
        <v>9</v>
      </c>
      <c r="P119" t="s">
        <v>23</v>
      </c>
      <c r="Q119">
        <v>61.4</v>
      </c>
      <c r="S119" s="4" t="s">
        <v>20</v>
      </c>
      <c r="T119" s="5">
        <v>197.51029411764711</v>
      </c>
      <c r="U119" s="5">
        <v>7.4764705882352942</v>
      </c>
      <c r="V119" s="5">
        <v>91.373176470588263</v>
      </c>
      <c r="W119" s="5">
        <v>7.4076470588235335</v>
      </c>
    </row>
    <row r="120" spans="1:24" x14ac:dyDescent="0.35">
      <c r="A120" s="1">
        <v>45810</v>
      </c>
      <c r="B120" t="s">
        <v>93</v>
      </c>
      <c r="C120" t="s">
        <v>37</v>
      </c>
      <c r="D120" t="s">
        <v>94</v>
      </c>
      <c r="E120" t="s">
        <v>27</v>
      </c>
      <c r="F120">
        <v>393.66</v>
      </c>
      <c r="G120">
        <v>44.4</v>
      </c>
      <c r="H120">
        <v>97.49</v>
      </c>
      <c r="I120">
        <v>94.55</v>
      </c>
      <c r="J120">
        <v>82.6</v>
      </c>
      <c r="K120" t="s">
        <v>28</v>
      </c>
      <c r="L120">
        <v>7.1</v>
      </c>
      <c r="M120">
        <v>1.9</v>
      </c>
      <c r="N120" t="s">
        <v>29</v>
      </c>
      <c r="O120">
        <v>10</v>
      </c>
      <c r="P120" t="s">
        <v>23</v>
      </c>
      <c r="Q120">
        <v>60.6</v>
      </c>
      <c r="S120" s="4" t="s">
        <v>62</v>
      </c>
      <c r="T120" s="5">
        <v>426.07298701298674</v>
      </c>
      <c r="U120" s="5">
        <v>4.4891774891774894</v>
      </c>
      <c r="V120" s="5">
        <v>88.59480519480519</v>
      </c>
      <c r="W120" s="5">
        <v>8.3000000000000025</v>
      </c>
    </row>
    <row r="121" spans="1:24" x14ac:dyDescent="0.35">
      <c r="A121" s="1">
        <v>45810</v>
      </c>
      <c r="B121" t="s">
        <v>55</v>
      </c>
      <c r="C121" t="s">
        <v>56</v>
      </c>
      <c r="D121">
        <v>4</v>
      </c>
      <c r="E121" t="s">
        <v>57</v>
      </c>
      <c r="F121">
        <v>30</v>
      </c>
      <c r="G121">
        <v>127.2</v>
      </c>
      <c r="H121">
        <v>89.16</v>
      </c>
      <c r="I121">
        <v>95.73</v>
      </c>
      <c r="J121">
        <v>71.8</v>
      </c>
      <c r="K121" t="s">
        <v>21</v>
      </c>
      <c r="L121">
        <v>7.6</v>
      </c>
      <c r="N121" t="s">
        <v>35</v>
      </c>
      <c r="O121">
        <v>2</v>
      </c>
      <c r="P121" t="s">
        <v>23</v>
      </c>
      <c r="Q121">
        <v>69.599999999999994</v>
      </c>
      <c r="S121" s="4" t="s">
        <v>57</v>
      </c>
      <c r="T121" s="5">
        <v>30</v>
      </c>
      <c r="U121" s="5">
        <v>3.4329004329004329</v>
      </c>
      <c r="V121" s="5">
        <v>88.375108225108235</v>
      </c>
      <c r="W121" s="5">
        <v>7.0164502164502194</v>
      </c>
    </row>
    <row r="122" spans="1:24" x14ac:dyDescent="0.35">
      <c r="A122" s="1">
        <v>45810</v>
      </c>
      <c r="B122" t="s">
        <v>36</v>
      </c>
      <c r="C122" t="s">
        <v>37</v>
      </c>
      <c r="D122" t="s">
        <v>38</v>
      </c>
      <c r="E122" t="s">
        <v>33</v>
      </c>
      <c r="F122">
        <v>211.63</v>
      </c>
      <c r="G122">
        <v>90.1</v>
      </c>
      <c r="H122">
        <v>97.03</v>
      </c>
      <c r="I122">
        <v>95.57</v>
      </c>
      <c r="J122">
        <v>70.989999999999995</v>
      </c>
      <c r="K122" t="s">
        <v>47</v>
      </c>
      <c r="L122">
        <v>7.2</v>
      </c>
      <c r="M122">
        <v>4.2</v>
      </c>
      <c r="N122" t="s">
        <v>35</v>
      </c>
      <c r="O122">
        <v>10</v>
      </c>
      <c r="P122" t="s">
        <v>23</v>
      </c>
      <c r="Q122">
        <v>58.3</v>
      </c>
      <c r="S122" s="4" t="s">
        <v>104</v>
      </c>
      <c r="T122" s="5">
        <v>359.44448421052681</v>
      </c>
      <c r="U122" s="5">
        <v>8.9128421052631577</v>
      </c>
      <c r="V122" s="5">
        <v>93.483907368421129</v>
      </c>
      <c r="W122" s="5">
        <v>7.9664842105263176</v>
      </c>
    </row>
    <row r="123" spans="1:24" x14ac:dyDescent="0.35">
      <c r="A123" s="1">
        <v>45810</v>
      </c>
      <c r="B123" t="s">
        <v>64</v>
      </c>
      <c r="C123" t="s">
        <v>25</v>
      </c>
      <c r="D123" t="s">
        <v>65</v>
      </c>
      <c r="E123" t="s">
        <v>27</v>
      </c>
      <c r="F123">
        <v>512.29999999999995</v>
      </c>
      <c r="G123">
        <v>49.8</v>
      </c>
      <c r="H123">
        <v>95.99</v>
      </c>
      <c r="I123">
        <v>97.12</v>
      </c>
      <c r="J123">
        <v>83.82</v>
      </c>
      <c r="K123" t="s">
        <v>28</v>
      </c>
      <c r="L123">
        <v>8.9</v>
      </c>
      <c r="M123">
        <v>2.2999999999999998</v>
      </c>
      <c r="N123" t="s">
        <v>29</v>
      </c>
      <c r="O123">
        <v>13</v>
      </c>
      <c r="P123" t="s">
        <v>30</v>
      </c>
      <c r="Q123">
        <v>63.8</v>
      </c>
    </row>
    <row r="124" spans="1:24" x14ac:dyDescent="0.35">
      <c r="A124" s="1">
        <v>45810</v>
      </c>
      <c r="B124" t="s">
        <v>55</v>
      </c>
      <c r="C124" t="s">
        <v>56</v>
      </c>
      <c r="D124">
        <v>4</v>
      </c>
      <c r="E124" t="s">
        <v>57</v>
      </c>
      <c r="F124">
        <v>30</v>
      </c>
      <c r="G124">
        <v>162.5</v>
      </c>
      <c r="H124">
        <v>85.97</v>
      </c>
      <c r="I124">
        <v>95.37</v>
      </c>
      <c r="J124">
        <v>78.849999999999994</v>
      </c>
      <c r="K124" t="s">
        <v>58</v>
      </c>
      <c r="L124">
        <v>7.6</v>
      </c>
      <c r="N124" t="s">
        <v>35</v>
      </c>
      <c r="O124">
        <v>3</v>
      </c>
      <c r="P124" t="s">
        <v>23</v>
      </c>
      <c r="Q124">
        <v>71.099999999999994</v>
      </c>
      <c r="S124" s="4" t="s">
        <v>118</v>
      </c>
      <c r="T124" s="5">
        <f>MAX(T117:T121)</f>
        <v>429.94414634146352</v>
      </c>
      <c r="U124" s="5">
        <f t="shared" ref="U124:W124" si="0">MAX(U117:U121)</f>
        <v>11.509756097560976</v>
      </c>
      <c r="V124" s="5">
        <f t="shared" si="0"/>
        <v>95.027585365853696</v>
      </c>
      <c r="W124" s="5">
        <f t="shared" si="0"/>
        <v>8.3000000000000025</v>
      </c>
    </row>
    <row r="125" spans="1:24" x14ac:dyDescent="0.35">
      <c r="A125" s="1">
        <v>45810</v>
      </c>
      <c r="B125" t="s">
        <v>84</v>
      </c>
      <c r="C125" t="s">
        <v>18</v>
      </c>
      <c r="D125" t="s">
        <v>85</v>
      </c>
      <c r="E125" t="s">
        <v>27</v>
      </c>
      <c r="F125">
        <v>114.74</v>
      </c>
      <c r="G125">
        <v>19.8</v>
      </c>
      <c r="H125">
        <v>96.77</v>
      </c>
      <c r="I125">
        <v>93.65</v>
      </c>
      <c r="J125">
        <v>78.23</v>
      </c>
      <c r="K125" t="s">
        <v>28</v>
      </c>
      <c r="L125">
        <v>7</v>
      </c>
      <c r="M125">
        <v>4.5</v>
      </c>
      <c r="N125" t="s">
        <v>29</v>
      </c>
      <c r="O125">
        <v>14</v>
      </c>
      <c r="P125" t="s">
        <v>23</v>
      </c>
      <c r="Q125">
        <v>57.2</v>
      </c>
    </row>
    <row r="126" spans="1:24" x14ac:dyDescent="0.35">
      <c r="A126" s="1">
        <v>45810</v>
      </c>
      <c r="B126" t="s">
        <v>82</v>
      </c>
      <c r="C126" t="s">
        <v>72</v>
      </c>
      <c r="D126" t="s">
        <v>83</v>
      </c>
      <c r="E126" t="s">
        <v>20</v>
      </c>
      <c r="F126">
        <v>118.91</v>
      </c>
      <c r="G126">
        <v>102.2</v>
      </c>
      <c r="H126">
        <v>88.92</v>
      </c>
      <c r="I126">
        <v>95.3</v>
      </c>
      <c r="J126">
        <v>72.290000000000006</v>
      </c>
      <c r="K126" t="s">
        <v>58</v>
      </c>
      <c r="L126">
        <v>7.4</v>
      </c>
      <c r="N126" t="s">
        <v>22</v>
      </c>
      <c r="O126">
        <v>9</v>
      </c>
      <c r="P126" t="s">
        <v>23</v>
      </c>
      <c r="Q126">
        <v>68.5</v>
      </c>
      <c r="S126" s="4" t="s">
        <v>4</v>
      </c>
      <c r="T126" t="s">
        <v>5</v>
      </c>
      <c r="U126" t="s">
        <v>120</v>
      </c>
      <c r="V126" t="s">
        <v>121</v>
      </c>
      <c r="W126" t="s">
        <v>122</v>
      </c>
      <c r="X126" t="s">
        <v>119</v>
      </c>
    </row>
    <row r="127" spans="1:24" x14ac:dyDescent="0.35">
      <c r="A127" s="1">
        <v>45810</v>
      </c>
      <c r="B127" t="s">
        <v>17</v>
      </c>
      <c r="C127" t="s">
        <v>18</v>
      </c>
      <c r="D127" t="s">
        <v>19</v>
      </c>
      <c r="E127" t="s">
        <v>20</v>
      </c>
      <c r="F127">
        <v>201.36</v>
      </c>
      <c r="G127">
        <v>169</v>
      </c>
      <c r="H127">
        <v>89.88</v>
      </c>
      <c r="I127">
        <v>94.66</v>
      </c>
      <c r="J127">
        <v>74.52</v>
      </c>
      <c r="K127" t="s">
        <v>21</v>
      </c>
      <c r="L127">
        <v>8.1999999999999993</v>
      </c>
      <c r="N127" t="s">
        <v>22</v>
      </c>
      <c r="O127">
        <v>8</v>
      </c>
      <c r="P127" t="s">
        <v>23</v>
      </c>
      <c r="Q127">
        <v>72.2</v>
      </c>
      <c r="S127" t="s">
        <v>27</v>
      </c>
      <c r="T127">
        <f>GETPIVOTDATA("Average of Price_USD",$S$116,"Category","Smartwatch")/$T$124</f>
        <v>1</v>
      </c>
      <c r="U127">
        <f>GETPIVOTDATA("Average of Health_Sensors_Count",$S$116,"Category","Smartwatch")/U124</f>
        <v>1</v>
      </c>
      <c r="V127">
        <f>GETPIVOTDATA("Average of Heart_Rate_Accuracy_Percent",$S$116,"Category","Smartwatch")/V124</f>
        <v>1</v>
      </c>
      <c r="W127">
        <f>GETPIVOTDATA("Average of User_Satisfaction_Rating",$S$116,"Category","Smartwatch")/W124</f>
        <v>0.98647272014888665</v>
      </c>
      <c r="X127">
        <f t="shared" ref="X127:X131" si="1">(T127+U127+V127+W127)/5</f>
        <v>0.7972945440297774</v>
      </c>
    </row>
    <row r="128" spans="1:24" x14ac:dyDescent="0.35">
      <c r="A128" s="1">
        <v>45810</v>
      </c>
      <c r="B128" t="s">
        <v>40</v>
      </c>
      <c r="C128" t="s">
        <v>41</v>
      </c>
      <c r="D128" t="s">
        <v>42</v>
      </c>
      <c r="E128" t="s">
        <v>27</v>
      </c>
      <c r="F128">
        <v>442.53</v>
      </c>
      <c r="G128">
        <v>58</v>
      </c>
      <c r="H128">
        <v>97.54</v>
      </c>
      <c r="I128">
        <v>97.52</v>
      </c>
      <c r="J128">
        <v>79.25</v>
      </c>
      <c r="K128" t="s">
        <v>34</v>
      </c>
      <c r="L128">
        <v>8</v>
      </c>
      <c r="M128">
        <v>1.5</v>
      </c>
      <c r="N128" t="s">
        <v>29</v>
      </c>
      <c r="O128">
        <v>10</v>
      </c>
      <c r="P128" t="s">
        <v>43</v>
      </c>
      <c r="Q128">
        <v>62.5</v>
      </c>
      <c r="S128" s="4" t="s">
        <v>123</v>
      </c>
      <c r="T128">
        <f>GETPIVOTDATA("Average of Price_USD",$S$116,"Category","Sports Watch")/T124</f>
        <v>0.84293890324455367</v>
      </c>
      <c r="U128">
        <f>GETPIVOTDATA("Average of Health_Sensors_Count",$S$116,"Category","Sports Watch")/U124</f>
        <v>0.66220624434340547</v>
      </c>
      <c r="V128">
        <f>GETPIVOTDATA("Average of Heart_Rate_Accuracy_Percent",$S$116,"Category","Sports Watch")/V124</f>
        <v>0.99954273475349154</v>
      </c>
      <c r="W128">
        <f>GETPIVOTDATA("Average of User_Satisfaction_Rating",$S$116,"Category","Sports Watch")/W124</f>
        <v>0.95166631438032812</v>
      </c>
      <c r="X128">
        <f t="shared" si="1"/>
        <v>0.69127083934435574</v>
      </c>
    </row>
    <row r="129" spans="1:24" x14ac:dyDescent="0.35">
      <c r="A129" s="1">
        <v>45810</v>
      </c>
      <c r="B129" t="s">
        <v>55</v>
      </c>
      <c r="C129" t="s">
        <v>56</v>
      </c>
      <c r="D129">
        <v>4</v>
      </c>
      <c r="E129" t="s">
        <v>57</v>
      </c>
      <c r="F129">
        <v>30</v>
      </c>
      <c r="G129">
        <v>136.19999999999999</v>
      </c>
      <c r="H129">
        <v>90.51</v>
      </c>
      <c r="I129">
        <v>94.66</v>
      </c>
      <c r="J129">
        <v>75.31</v>
      </c>
      <c r="K129" t="s">
        <v>58</v>
      </c>
      <c r="L129">
        <v>6.6</v>
      </c>
      <c r="N129" t="s">
        <v>35</v>
      </c>
      <c r="O129">
        <v>2</v>
      </c>
      <c r="P129" t="s">
        <v>23</v>
      </c>
      <c r="Q129">
        <v>68.5</v>
      </c>
      <c r="S129" t="s">
        <v>124</v>
      </c>
      <c r="T129">
        <f>GETPIVOTDATA("Average of Price_USD",$S$116,"Category","Fitness Tracker")/T124</f>
        <v>0.4593859360531532</v>
      </c>
      <c r="U129">
        <f>GETPIVOTDATA("Average of Health_Sensors_Count",$S$116,"Category","Fitness Tracker")/U124</f>
        <v>0.64957680465701861</v>
      </c>
      <c r="V129">
        <f>GETPIVOTDATA("Average of Heart_Rate_Accuracy_Percent",$S$116,"Category","Fitness Tracker")/V124</f>
        <v>0.96154370458645189</v>
      </c>
      <c r="W129">
        <f>GETPIVOTDATA("Average of User_Satisfaction_Rating",$S$116,"Category","Fitness Tracker")/W124</f>
        <v>0.89248759744861828</v>
      </c>
      <c r="X129">
        <f t="shared" si="1"/>
        <v>0.59259880854904834</v>
      </c>
    </row>
    <row r="130" spans="1:24" x14ac:dyDescent="0.35">
      <c r="A130" s="1">
        <v>45810</v>
      </c>
      <c r="B130" t="s">
        <v>53</v>
      </c>
      <c r="C130" t="s">
        <v>41</v>
      </c>
      <c r="D130" t="s">
        <v>54</v>
      </c>
      <c r="E130" t="s">
        <v>27</v>
      </c>
      <c r="F130">
        <v>485.84</v>
      </c>
      <c r="G130">
        <v>32.4</v>
      </c>
      <c r="H130">
        <v>95.57</v>
      </c>
      <c r="I130">
        <v>97.61</v>
      </c>
      <c r="J130">
        <v>77.09</v>
      </c>
      <c r="K130" t="s">
        <v>28</v>
      </c>
      <c r="L130">
        <v>9.4</v>
      </c>
      <c r="M130">
        <v>4.9000000000000004</v>
      </c>
      <c r="N130" t="s">
        <v>39</v>
      </c>
      <c r="O130">
        <v>15</v>
      </c>
      <c r="P130" t="s">
        <v>43</v>
      </c>
      <c r="Q130">
        <v>61.4</v>
      </c>
      <c r="S130" s="4" t="s">
        <v>62</v>
      </c>
      <c r="T130">
        <f>GETPIVOTDATA("Average of Price_USD",$S$116,"Category","Smart Ring")/T124</f>
        <v>0.99099613435508371</v>
      </c>
      <c r="U130">
        <f>GETPIVOTDATA("Average of Health_Sensors_Count",$S$116,"Category","Smart Ring")/U124</f>
        <v>0.39003237350344788</v>
      </c>
      <c r="V130">
        <f>GETPIVOTDATA("Average of Heart_Rate_Accuracy_Percent",$S$116,"Category","Smart Ring")/V124</f>
        <v>0.93230618092333428</v>
      </c>
      <c r="W130">
        <f>GETPIVOTDATA("Average of User_Satisfaction_Rating",$S$116,"Category","Smart Ring")/W124</f>
        <v>1</v>
      </c>
      <c r="X130">
        <f t="shared" si="1"/>
        <v>0.6626669377563732</v>
      </c>
    </row>
    <row r="131" spans="1:24" x14ac:dyDescent="0.35">
      <c r="A131" s="1">
        <v>45810</v>
      </c>
      <c r="B131" t="s">
        <v>17</v>
      </c>
      <c r="C131" t="s">
        <v>18</v>
      </c>
      <c r="D131" t="s">
        <v>19</v>
      </c>
      <c r="E131" t="s">
        <v>20</v>
      </c>
      <c r="F131">
        <v>299.54000000000002</v>
      </c>
      <c r="G131">
        <v>145.4</v>
      </c>
      <c r="H131">
        <v>89.75</v>
      </c>
      <c r="I131">
        <v>95.86</v>
      </c>
      <c r="J131">
        <v>76.459999999999994</v>
      </c>
      <c r="K131" t="s">
        <v>63</v>
      </c>
      <c r="L131">
        <v>7.3</v>
      </c>
      <c r="N131" t="s">
        <v>35</v>
      </c>
      <c r="O131">
        <v>10</v>
      </c>
      <c r="P131" t="s">
        <v>23</v>
      </c>
      <c r="Q131">
        <v>70.5</v>
      </c>
      <c r="S131" t="s">
        <v>57</v>
      </c>
      <c r="T131">
        <f>GETPIVOTDATA("Average of Price_USD",$S$116,"Category","Fitness Band")/T124</f>
        <v>6.9776505286279364E-2</v>
      </c>
      <c r="U131">
        <f>GETPIVOTDATA("Average of Health_Sensors_Count",$S$116,"Category","Fitness Band")/U124</f>
        <v>0.29826005032616604</v>
      </c>
      <c r="V131">
        <f>GETPIVOTDATA("Average of Heart_Rate_Accuracy_Percent",$S$116,"Category","Fitness Band")/V124</f>
        <v>0.92999425256220503</v>
      </c>
      <c r="W131">
        <f>GETPIVOTDATA("Average of User_Satisfaction_Rating",$S$116,"Category","Fitness Band")/W124</f>
        <v>0.84535544776508642</v>
      </c>
      <c r="X131">
        <f t="shared" si="1"/>
        <v>0.42867725118794742</v>
      </c>
    </row>
    <row r="132" spans="1:24" x14ac:dyDescent="0.35">
      <c r="A132" s="1">
        <v>45810</v>
      </c>
      <c r="B132" t="s">
        <v>95</v>
      </c>
      <c r="C132" t="s">
        <v>49</v>
      </c>
      <c r="D132" t="s">
        <v>96</v>
      </c>
      <c r="E132" t="s">
        <v>27</v>
      </c>
      <c r="F132">
        <v>388.05</v>
      </c>
      <c r="G132">
        <v>22.6</v>
      </c>
      <c r="H132">
        <v>96.94</v>
      </c>
      <c r="I132">
        <v>95.56</v>
      </c>
      <c r="J132">
        <v>82.91</v>
      </c>
      <c r="K132" t="s">
        <v>34</v>
      </c>
      <c r="L132">
        <v>8.1</v>
      </c>
      <c r="M132">
        <v>2</v>
      </c>
      <c r="N132" t="s">
        <v>29</v>
      </c>
      <c r="O132">
        <v>8</v>
      </c>
      <c r="P132" t="s">
        <v>23</v>
      </c>
      <c r="Q132">
        <v>61.9</v>
      </c>
    </row>
    <row r="133" spans="1:24" x14ac:dyDescent="0.35">
      <c r="A133" s="1">
        <v>45810</v>
      </c>
      <c r="B133" t="s">
        <v>36</v>
      </c>
      <c r="C133" t="s">
        <v>37</v>
      </c>
      <c r="D133" t="s">
        <v>38</v>
      </c>
      <c r="E133" t="s">
        <v>33</v>
      </c>
      <c r="F133">
        <v>225.1</v>
      </c>
      <c r="G133">
        <v>187.2</v>
      </c>
      <c r="H133">
        <v>96.23</v>
      </c>
      <c r="I133">
        <v>94.16</v>
      </c>
      <c r="J133">
        <v>75.27</v>
      </c>
      <c r="K133" t="s">
        <v>28</v>
      </c>
      <c r="L133">
        <v>8.3000000000000007</v>
      </c>
      <c r="M133">
        <v>4.7</v>
      </c>
      <c r="N133" t="s">
        <v>35</v>
      </c>
      <c r="O133">
        <v>7</v>
      </c>
      <c r="P133" t="s">
        <v>23</v>
      </c>
      <c r="Q133">
        <v>61.6</v>
      </c>
    </row>
    <row r="134" spans="1:24" x14ac:dyDescent="0.35">
      <c r="A134" s="1">
        <v>45810</v>
      </c>
      <c r="B134" t="s">
        <v>40</v>
      </c>
      <c r="C134" t="s">
        <v>41</v>
      </c>
      <c r="D134" t="s">
        <v>42</v>
      </c>
      <c r="E134" t="s">
        <v>27</v>
      </c>
      <c r="F134">
        <v>373.65</v>
      </c>
      <c r="G134">
        <v>35.200000000000003</v>
      </c>
      <c r="H134">
        <v>94.04</v>
      </c>
      <c r="I134">
        <v>96.1</v>
      </c>
      <c r="J134">
        <v>82.13</v>
      </c>
      <c r="K134" t="s">
        <v>34</v>
      </c>
      <c r="L134">
        <v>8.4</v>
      </c>
      <c r="M134">
        <v>2.8</v>
      </c>
      <c r="N134" t="s">
        <v>39</v>
      </c>
      <c r="O134">
        <v>8</v>
      </c>
      <c r="P134" t="s">
        <v>43</v>
      </c>
      <c r="Q134">
        <v>61.5</v>
      </c>
    </row>
    <row r="135" spans="1:24" x14ac:dyDescent="0.35">
      <c r="A135" s="1">
        <v>45810</v>
      </c>
      <c r="B135" t="s">
        <v>53</v>
      </c>
      <c r="C135" t="s">
        <v>41</v>
      </c>
      <c r="D135" t="s">
        <v>54</v>
      </c>
      <c r="E135" t="s">
        <v>27</v>
      </c>
      <c r="F135">
        <v>211.7</v>
      </c>
      <c r="G135">
        <v>50.9</v>
      </c>
      <c r="H135">
        <v>94.33</v>
      </c>
      <c r="I135">
        <v>96.05</v>
      </c>
      <c r="J135">
        <v>79.599999999999994</v>
      </c>
      <c r="K135" t="s">
        <v>28</v>
      </c>
      <c r="L135">
        <v>8</v>
      </c>
      <c r="M135">
        <v>3.8</v>
      </c>
      <c r="N135" t="s">
        <v>29</v>
      </c>
      <c r="O135">
        <v>9</v>
      </c>
      <c r="P135" t="s">
        <v>43</v>
      </c>
      <c r="Q135">
        <v>60.1</v>
      </c>
    </row>
    <row r="136" spans="1:24" x14ac:dyDescent="0.35">
      <c r="A136" s="1">
        <v>45810</v>
      </c>
      <c r="B136" t="s">
        <v>53</v>
      </c>
      <c r="C136" t="s">
        <v>41</v>
      </c>
      <c r="D136" t="s">
        <v>54</v>
      </c>
      <c r="E136" t="s">
        <v>27</v>
      </c>
      <c r="F136">
        <v>357.63</v>
      </c>
      <c r="G136">
        <v>36.799999999999997</v>
      </c>
      <c r="H136">
        <v>96.05</v>
      </c>
      <c r="I136">
        <v>97.95</v>
      </c>
      <c r="J136">
        <v>75.56</v>
      </c>
      <c r="K136" t="s">
        <v>28</v>
      </c>
      <c r="L136">
        <v>8.4</v>
      </c>
      <c r="M136">
        <v>3.9</v>
      </c>
      <c r="N136" t="s">
        <v>29</v>
      </c>
      <c r="O136">
        <v>15</v>
      </c>
      <c r="P136" t="s">
        <v>43</v>
      </c>
      <c r="Q136">
        <v>60.4</v>
      </c>
    </row>
    <row r="137" spans="1:24" x14ac:dyDescent="0.35">
      <c r="A137" s="1">
        <v>45810</v>
      </c>
      <c r="B137" t="s">
        <v>95</v>
      </c>
      <c r="C137" t="s">
        <v>49</v>
      </c>
      <c r="D137" t="s">
        <v>96</v>
      </c>
      <c r="E137" t="s">
        <v>27</v>
      </c>
      <c r="F137">
        <v>216.93</v>
      </c>
      <c r="G137">
        <v>52.8</v>
      </c>
      <c r="H137">
        <v>96.21</v>
      </c>
      <c r="I137">
        <v>96.17</v>
      </c>
      <c r="J137">
        <v>76.260000000000005</v>
      </c>
      <c r="K137" t="s">
        <v>47</v>
      </c>
      <c r="L137">
        <v>7.5</v>
      </c>
      <c r="M137">
        <v>3.5</v>
      </c>
      <c r="N137" t="s">
        <v>39</v>
      </c>
      <c r="O137">
        <v>13</v>
      </c>
      <c r="P137" t="s">
        <v>23</v>
      </c>
      <c r="Q137">
        <v>59.3</v>
      </c>
    </row>
    <row r="138" spans="1:24" x14ac:dyDescent="0.35">
      <c r="A138" s="1">
        <v>45810</v>
      </c>
      <c r="B138" t="s">
        <v>48</v>
      </c>
      <c r="C138" t="s">
        <v>49</v>
      </c>
      <c r="D138" t="s">
        <v>50</v>
      </c>
      <c r="E138" t="s">
        <v>27</v>
      </c>
      <c r="F138">
        <v>474.19</v>
      </c>
      <c r="G138">
        <v>45.7</v>
      </c>
      <c r="H138">
        <v>95.06</v>
      </c>
      <c r="I138">
        <v>94.65</v>
      </c>
      <c r="J138">
        <v>79.650000000000006</v>
      </c>
      <c r="K138" t="s">
        <v>28</v>
      </c>
      <c r="L138">
        <v>8.9</v>
      </c>
      <c r="M138">
        <v>2.4</v>
      </c>
      <c r="N138" t="s">
        <v>29</v>
      </c>
      <c r="O138">
        <v>9</v>
      </c>
      <c r="P138" t="s">
        <v>43</v>
      </c>
      <c r="Q138">
        <v>62.4</v>
      </c>
    </row>
    <row r="139" spans="1:24" x14ac:dyDescent="0.35">
      <c r="A139" s="1">
        <v>45810</v>
      </c>
      <c r="B139" t="s">
        <v>78</v>
      </c>
      <c r="C139" t="s">
        <v>41</v>
      </c>
      <c r="D139" t="s">
        <v>79</v>
      </c>
      <c r="E139" t="s">
        <v>27</v>
      </c>
      <c r="F139">
        <v>400.31</v>
      </c>
      <c r="G139">
        <v>36.299999999999997</v>
      </c>
      <c r="H139">
        <v>97.17</v>
      </c>
      <c r="I139">
        <v>96.62</v>
      </c>
      <c r="J139">
        <v>76.900000000000006</v>
      </c>
      <c r="K139" t="s">
        <v>34</v>
      </c>
      <c r="L139">
        <v>8.1999999999999993</v>
      </c>
      <c r="M139">
        <v>2.1</v>
      </c>
      <c r="N139" t="s">
        <v>29</v>
      </c>
      <c r="O139">
        <v>9</v>
      </c>
      <c r="P139" t="s">
        <v>43</v>
      </c>
      <c r="Q139">
        <v>61.4</v>
      </c>
    </row>
    <row r="140" spans="1:24" x14ac:dyDescent="0.35">
      <c r="A140" s="1">
        <v>45810</v>
      </c>
      <c r="B140" t="s">
        <v>55</v>
      </c>
      <c r="C140" t="s">
        <v>56</v>
      </c>
      <c r="D140">
        <v>4</v>
      </c>
      <c r="E140" t="s">
        <v>57</v>
      </c>
      <c r="F140">
        <v>30</v>
      </c>
      <c r="G140">
        <v>132.30000000000001</v>
      </c>
      <c r="H140">
        <v>85.42</v>
      </c>
      <c r="I140">
        <v>93.8</v>
      </c>
      <c r="J140">
        <v>76.97</v>
      </c>
      <c r="K140" t="s">
        <v>63</v>
      </c>
      <c r="L140">
        <v>6.1</v>
      </c>
      <c r="N140" t="s">
        <v>35</v>
      </c>
      <c r="O140">
        <v>2</v>
      </c>
      <c r="P140" t="s">
        <v>43</v>
      </c>
      <c r="Q140">
        <v>66.599999999999994</v>
      </c>
    </row>
    <row r="141" spans="1:24" x14ac:dyDescent="0.35">
      <c r="A141" s="1">
        <v>45810</v>
      </c>
      <c r="B141" t="s">
        <v>74</v>
      </c>
      <c r="C141" t="s">
        <v>67</v>
      </c>
      <c r="D141" t="s">
        <v>75</v>
      </c>
      <c r="E141" t="s">
        <v>27</v>
      </c>
      <c r="F141">
        <v>476.7</v>
      </c>
      <c r="G141">
        <v>71.2</v>
      </c>
      <c r="H141">
        <v>97.97</v>
      </c>
      <c r="I141">
        <v>93.99</v>
      </c>
      <c r="J141">
        <v>84.23</v>
      </c>
      <c r="K141" t="s">
        <v>28</v>
      </c>
      <c r="L141">
        <v>8.8000000000000007</v>
      </c>
      <c r="M141">
        <v>2.1</v>
      </c>
      <c r="N141" t="s">
        <v>39</v>
      </c>
      <c r="O141">
        <v>8</v>
      </c>
      <c r="P141" t="s">
        <v>43</v>
      </c>
      <c r="Q141">
        <v>64</v>
      </c>
    </row>
    <row r="142" spans="1:24" x14ac:dyDescent="0.35">
      <c r="A142" s="1">
        <v>45810</v>
      </c>
      <c r="B142" t="s">
        <v>24</v>
      </c>
      <c r="C142" t="s">
        <v>25</v>
      </c>
      <c r="D142" t="s">
        <v>26</v>
      </c>
      <c r="E142" t="s">
        <v>27</v>
      </c>
      <c r="F142">
        <v>366.49</v>
      </c>
      <c r="G142">
        <v>38.9</v>
      </c>
      <c r="H142">
        <v>98</v>
      </c>
      <c r="I142">
        <v>98.48</v>
      </c>
      <c r="J142">
        <v>84.44</v>
      </c>
      <c r="K142" t="s">
        <v>34</v>
      </c>
      <c r="L142">
        <v>7.3</v>
      </c>
      <c r="M142">
        <v>2.7</v>
      </c>
      <c r="N142" t="s">
        <v>29</v>
      </c>
      <c r="O142">
        <v>10</v>
      </c>
      <c r="P142" t="s">
        <v>30</v>
      </c>
      <c r="Q142">
        <v>61.3</v>
      </c>
    </row>
    <row r="143" spans="1:24" x14ac:dyDescent="0.35">
      <c r="A143" s="1">
        <v>45810</v>
      </c>
      <c r="B143" t="s">
        <v>53</v>
      </c>
      <c r="C143" t="s">
        <v>41</v>
      </c>
      <c r="D143" t="s">
        <v>54</v>
      </c>
      <c r="E143" t="s">
        <v>27</v>
      </c>
      <c r="F143">
        <v>560.95000000000005</v>
      </c>
      <c r="G143">
        <v>32.9</v>
      </c>
      <c r="H143">
        <v>92.9</v>
      </c>
      <c r="I143">
        <v>96.94</v>
      </c>
      <c r="J143">
        <v>76.23</v>
      </c>
      <c r="K143" t="s">
        <v>34</v>
      </c>
      <c r="L143">
        <v>8.1999999999999993</v>
      </c>
      <c r="M143">
        <v>2.4</v>
      </c>
      <c r="N143" t="s">
        <v>29</v>
      </c>
      <c r="O143">
        <v>13</v>
      </c>
      <c r="P143" t="s">
        <v>43</v>
      </c>
      <c r="Q143">
        <v>60.4</v>
      </c>
    </row>
    <row r="144" spans="1:24" x14ac:dyDescent="0.35">
      <c r="A144" s="1">
        <v>45810</v>
      </c>
      <c r="B144" t="s">
        <v>69</v>
      </c>
      <c r="C144" t="s">
        <v>18</v>
      </c>
      <c r="D144" t="s">
        <v>70</v>
      </c>
      <c r="E144" t="s">
        <v>20</v>
      </c>
      <c r="F144">
        <v>221.52</v>
      </c>
      <c r="G144">
        <v>161.4</v>
      </c>
      <c r="H144">
        <v>92.18</v>
      </c>
      <c r="I144">
        <v>93.67</v>
      </c>
      <c r="J144">
        <v>79.790000000000006</v>
      </c>
      <c r="K144" t="s">
        <v>63</v>
      </c>
      <c r="L144">
        <v>7.4</v>
      </c>
      <c r="N144" t="s">
        <v>35</v>
      </c>
      <c r="O144">
        <v>9</v>
      </c>
      <c r="P144" t="s">
        <v>23</v>
      </c>
      <c r="Q144">
        <v>71.8</v>
      </c>
    </row>
    <row r="145" spans="1:20" x14ac:dyDescent="0.35">
      <c r="A145" s="1">
        <v>45810</v>
      </c>
      <c r="B145" t="s">
        <v>93</v>
      </c>
      <c r="C145" t="s">
        <v>37</v>
      </c>
      <c r="D145" t="s">
        <v>94</v>
      </c>
      <c r="E145" t="s">
        <v>33</v>
      </c>
      <c r="F145">
        <v>281.20999999999998</v>
      </c>
      <c r="G145">
        <v>106</v>
      </c>
      <c r="H145">
        <v>93.59</v>
      </c>
      <c r="I145">
        <v>95.62</v>
      </c>
      <c r="J145">
        <v>74.709999999999994</v>
      </c>
      <c r="K145" t="s">
        <v>34</v>
      </c>
      <c r="L145">
        <v>7.6</v>
      </c>
      <c r="M145">
        <v>2.2999999999999998</v>
      </c>
      <c r="N145" t="s">
        <v>35</v>
      </c>
      <c r="O145">
        <v>7</v>
      </c>
      <c r="P145" t="s">
        <v>23</v>
      </c>
      <c r="Q145">
        <v>60.6</v>
      </c>
    </row>
    <row r="146" spans="1:20" x14ac:dyDescent="0.35">
      <c r="A146" s="1">
        <v>45810</v>
      </c>
      <c r="B146" t="s">
        <v>53</v>
      </c>
      <c r="C146" t="s">
        <v>41</v>
      </c>
      <c r="D146" t="s">
        <v>54</v>
      </c>
      <c r="E146" t="s">
        <v>27</v>
      </c>
      <c r="F146">
        <v>382.8</v>
      </c>
      <c r="G146">
        <v>39.200000000000003</v>
      </c>
      <c r="H146">
        <v>94.26</v>
      </c>
      <c r="I146">
        <v>98.09</v>
      </c>
      <c r="J146">
        <v>80.7</v>
      </c>
      <c r="K146" t="s">
        <v>47</v>
      </c>
      <c r="L146">
        <v>8.4</v>
      </c>
      <c r="M146">
        <v>4.7</v>
      </c>
      <c r="N146" t="s">
        <v>39</v>
      </c>
      <c r="O146">
        <v>11</v>
      </c>
      <c r="P146" t="s">
        <v>43</v>
      </c>
      <c r="Q146">
        <v>60.5</v>
      </c>
    </row>
    <row r="147" spans="1:20" x14ac:dyDescent="0.35">
      <c r="A147" s="1">
        <v>45810</v>
      </c>
      <c r="B147" t="s">
        <v>36</v>
      </c>
      <c r="C147" t="s">
        <v>37</v>
      </c>
      <c r="D147" t="s">
        <v>38</v>
      </c>
      <c r="E147" t="s">
        <v>27</v>
      </c>
      <c r="F147">
        <v>382.49</v>
      </c>
      <c r="G147">
        <v>37.1</v>
      </c>
      <c r="H147">
        <v>96.98</v>
      </c>
      <c r="I147">
        <v>93.55</v>
      </c>
      <c r="J147">
        <v>79.48</v>
      </c>
      <c r="K147" t="s">
        <v>34</v>
      </c>
      <c r="L147">
        <v>7.9</v>
      </c>
      <c r="M147">
        <v>3.6</v>
      </c>
      <c r="N147" t="s">
        <v>39</v>
      </c>
      <c r="O147">
        <v>10</v>
      </c>
      <c r="P147" t="s">
        <v>23</v>
      </c>
      <c r="Q147">
        <v>59.8</v>
      </c>
    </row>
    <row r="148" spans="1:20" x14ac:dyDescent="0.35">
      <c r="A148" s="1">
        <v>45810</v>
      </c>
      <c r="B148" t="s">
        <v>53</v>
      </c>
      <c r="C148" t="s">
        <v>41</v>
      </c>
      <c r="D148" t="s">
        <v>54</v>
      </c>
      <c r="E148" t="s">
        <v>27</v>
      </c>
      <c r="F148">
        <v>421.25</v>
      </c>
      <c r="G148">
        <v>37</v>
      </c>
      <c r="H148">
        <v>95.5</v>
      </c>
      <c r="I148">
        <v>97.16</v>
      </c>
      <c r="J148">
        <v>81.209999999999994</v>
      </c>
      <c r="K148" t="s">
        <v>34</v>
      </c>
      <c r="L148">
        <v>8.6999999999999993</v>
      </c>
      <c r="M148">
        <v>3</v>
      </c>
      <c r="N148" t="s">
        <v>29</v>
      </c>
      <c r="O148">
        <v>15</v>
      </c>
      <c r="P148" t="s">
        <v>43</v>
      </c>
      <c r="Q148">
        <v>62.2</v>
      </c>
    </row>
    <row r="149" spans="1:20" x14ac:dyDescent="0.35">
      <c r="A149" s="1">
        <v>45810</v>
      </c>
      <c r="B149" t="s">
        <v>40</v>
      </c>
      <c r="C149" t="s">
        <v>41</v>
      </c>
      <c r="D149" t="s">
        <v>42</v>
      </c>
      <c r="E149" t="s">
        <v>27</v>
      </c>
      <c r="F149">
        <v>515.74</v>
      </c>
      <c r="G149">
        <v>34.9</v>
      </c>
      <c r="H149">
        <v>97.69</v>
      </c>
      <c r="I149">
        <v>96.85</v>
      </c>
      <c r="J149">
        <v>75.86</v>
      </c>
      <c r="K149" t="s">
        <v>28</v>
      </c>
      <c r="L149">
        <v>8.3000000000000007</v>
      </c>
      <c r="M149">
        <v>2.6</v>
      </c>
      <c r="N149" t="s">
        <v>29</v>
      </c>
      <c r="O149">
        <v>8</v>
      </c>
      <c r="P149" t="s">
        <v>43</v>
      </c>
      <c r="Q149">
        <v>61.2</v>
      </c>
    </row>
    <row r="150" spans="1:20" x14ac:dyDescent="0.35">
      <c r="A150" s="1">
        <v>45810</v>
      </c>
      <c r="B150" t="s">
        <v>17</v>
      </c>
      <c r="C150" t="s">
        <v>18</v>
      </c>
      <c r="D150" t="s">
        <v>19</v>
      </c>
      <c r="E150" t="s">
        <v>20</v>
      </c>
      <c r="F150">
        <v>181.82</v>
      </c>
      <c r="G150">
        <v>200</v>
      </c>
      <c r="H150">
        <v>88.85</v>
      </c>
      <c r="I150">
        <v>94.47</v>
      </c>
      <c r="J150">
        <v>77.55</v>
      </c>
      <c r="K150" t="s">
        <v>21</v>
      </c>
      <c r="L150">
        <v>7.5</v>
      </c>
      <c r="N150" t="s">
        <v>35</v>
      </c>
      <c r="O150">
        <v>8</v>
      </c>
      <c r="P150" t="s">
        <v>23</v>
      </c>
      <c r="Q150">
        <v>71.2</v>
      </c>
    </row>
    <row r="151" spans="1:20" x14ac:dyDescent="0.35">
      <c r="A151" s="1">
        <v>45810</v>
      </c>
      <c r="B151" t="s">
        <v>55</v>
      </c>
      <c r="C151" t="s">
        <v>56</v>
      </c>
      <c r="D151">
        <v>4</v>
      </c>
      <c r="E151" t="s">
        <v>57</v>
      </c>
      <c r="F151">
        <v>30</v>
      </c>
      <c r="G151">
        <v>142.30000000000001</v>
      </c>
      <c r="H151">
        <v>89.67</v>
      </c>
      <c r="I151">
        <v>96.43</v>
      </c>
      <c r="J151">
        <v>70.09</v>
      </c>
      <c r="K151" t="s">
        <v>63</v>
      </c>
      <c r="L151">
        <v>6.4</v>
      </c>
      <c r="N151" t="s">
        <v>35</v>
      </c>
      <c r="O151">
        <v>4</v>
      </c>
      <c r="P151" t="s">
        <v>23</v>
      </c>
      <c r="Q151">
        <v>67.400000000000006</v>
      </c>
    </row>
    <row r="152" spans="1:20" x14ac:dyDescent="0.35">
      <c r="A152" s="1">
        <v>45810</v>
      </c>
      <c r="B152" t="s">
        <v>74</v>
      </c>
      <c r="C152" t="s">
        <v>67</v>
      </c>
      <c r="D152" t="s">
        <v>75</v>
      </c>
      <c r="E152" t="s">
        <v>27</v>
      </c>
      <c r="F152">
        <v>633.17999999999995</v>
      </c>
      <c r="G152">
        <v>32.700000000000003</v>
      </c>
      <c r="H152">
        <v>97.43</v>
      </c>
      <c r="I152">
        <v>93.59</v>
      </c>
      <c r="J152">
        <v>79.37</v>
      </c>
      <c r="K152" t="s">
        <v>47</v>
      </c>
      <c r="L152">
        <v>9.1999999999999993</v>
      </c>
      <c r="M152">
        <v>4.5999999999999996</v>
      </c>
      <c r="N152" t="s">
        <v>39</v>
      </c>
      <c r="O152">
        <v>14</v>
      </c>
      <c r="P152" t="s">
        <v>43</v>
      </c>
      <c r="Q152">
        <v>61.3</v>
      </c>
    </row>
    <row r="153" spans="1:20" x14ac:dyDescent="0.35">
      <c r="A153" s="1">
        <v>45810</v>
      </c>
      <c r="B153" t="s">
        <v>95</v>
      </c>
      <c r="C153" t="s">
        <v>49</v>
      </c>
      <c r="D153" t="s">
        <v>96</v>
      </c>
      <c r="E153" t="s">
        <v>27</v>
      </c>
      <c r="F153">
        <v>481.08</v>
      </c>
      <c r="G153">
        <v>53.3</v>
      </c>
      <c r="H153">
        <v>97.48</v>
      </c>
      <c r="I153">
        <v>94.64</v>
      </c>
      <c r="J153">
        <v>75.099999999999994</v>
      </c>
      <c r="K153" t="s">
        <v>34</v>
      </c>
      <c r="L153">
        <v>8.6</v>
      </c>
      <c r="M153">
        <v>4.4000000000000004</v>
      </c>
      <c r="N153" t="s">
        <v>29</v>
      </c>
      <c r="O153">
        <v>15</v>
      </c>
      <c r="P153" t="s">
        <v>23</v>
      </c>
      <c r="Q153">
        <v>60.3</v>
      </c>
    </row>
    <row r="154" spans="1:20" x14ac:dyDescent="0.35">
      <c r="A154" s="1">
        <v>45810</v>
      </c>
      <c r="B154" t="s">
        <v>69</v>
      </c>
      <c r="C154" t="s">
        <v>18</v>
      </c>
      <c r="D154" t="s">
        <v>70</v>
      </c>
      <c r="E154" t="s">
        <v>20</v>
      </c>
      <c r="F154">
        <v>305.66000000000003</v>
      </c>
      <c r="G154">
        <v>183.7</v>
      </c>
      <c r="H154">
        <v>89.74</v>
      </c>
      <c r="I154">
        <v>95.75</v>
      </c>
      <c r="J154">
        <v>77.2</v>
      </c>
      <c r="K154" t="s">
        <v>21</v>
      </c>
      <c r="L154">
        <v>8.3000000000000007</v>
      </c>
      <c r="N154" t="s">
        <v>35</v>
      </c>
      <c r="O154">
        <v>6</v>
      </c>
      <c r="P154" t="s">
        <v>23</v>
      </c>
      <c r="Q154">
        <v>73.099999999999994</v>
      </c>
    </row>
    <row r="155" spans="1:20" x14ac:dyDescent="0.35">
      <c r="A155" s="1">
        <v>45810</v>
      </c>
      <c r="B155" t="s">
        <v>55</v>
      </c>
      <c r="C155" t="s">
        <v>56</v>
      </c>
      <c r="D155">
        <v>4</v>
      </c>
      <c r="E155" t="s">
        <v>57</v>
      </c>
      <c r="F155">
        <v>30</v>
      </c>
      <c r="G155">
        <v>120.9</v>
      </c>
      <c r="H155">
        <v>87.16</v>
      </c>
      <c r="I155">
        <v>96.8</v>
      </c>
      <c r="J155">
        <v>73.42</v>
      </c>
      <c r="K155" t="s">
        <v>63</v>
      </c>
      <c r="L155">
        <v>6.4</v>
      </c>
      <c r="N155" t="s">
        <v>35</v>
      </c>
      <c r="O155">
        <v>3</v>
      </c>
      <c r="P155" t="s">
        <v>43</v>
      </c>
      <c r="Q155">
        <v>67.2</v>
      </c>
    </row>
    <row r="156" spans="1:20" x14ac:dyDescent="0.35">
      <c r="A156" s="1">
        <v>45810</v>
      </c>
      <c r="B156" t="s">
        <v>55</v>
      </c>
      <c r="C156" t="s">
        <v>56</v>
      </c>
      <c r="D156">
        <v>4</v>
      </c>
      <c r="E156" t="s">
        <v>57</v>
      </c>
      <c r="F156">
        <v>30</v>
      </c>
      <c r="G156">
        <v>165.1</v>
      </c>
      <c r="H156">
        <v>91.79</v>
      </c>
      <c r="I156">
        <v>94.49</v>
      </c>
      <c r="J156">
        <v>74.900000000000006</v>
      </c>
      <c r="K156" t="s">
        <v>21</v>
      </c>
      <c r="L156">
        <v>8</v>
      </c>
      <c r="N156" t="s">
        <v>35</v>
      </c>
      <c r="O156">
        <v>2</v>
      </c>
      <c r="P156" t="s">
        <v>23</v>
      </c>
      <c r="Q156">
        <v>72.2</v>
      </c>
    </row>
    <row r="157" spans="1:20" x14ac:dyDescent="0.35">
      <c r="A157" s="1">
        <v>45810</v>
      </c>
      <c r="B157" t="s">
        <v>17</v>
      </c>
      <c r="C157" t="s">
        <v>18</v>
      </c>
      <c r="D157" t="s">
        <v>19</v>
      </c>
      <c r="E157" t="s">
        <v>20</v>
      </c>
      <c r="F157">
        <v>238.48</v>
      </c>
      <c r="G157">
        <v>149.19999999999999</v>
      </c>
      <c r="H157">
        <v>92.67</v>
      </c>
      <c r="I157">
        <v>96.6</v>
      </c>
      <c r="J157">
        <v>74.650000000000006</v>
      </c>
      <c r="K157" t="s">
        <v>63</v>
      </c>
      <c r="L157">
        <v>8</v>
      </c>
      <c r="N157" t="s">
        <v>35</v>
      </c>
      <c r="O157">
        <v>8</v>
      </c>
      <c r="P157" t="s">
        <v>23</v>
      </c>
      <c r="Q157">
        <v>72.3</v>
      </c>
      <c r="S157" s="2" t="s">
        <v>103</v>
      </c>
      <c r="T157" t="s">
        <v>126</v>
      </c>
    </row>
    <row r="158" spans="1:20" x14ac:dyDescent="0.35">
      <c r="A158" s="1">
        <v>45810</v>
      </c>
      <c r="B158" t="s">
        <v>59</v>
      </c>
      <c r="C158" t="s">
        <v>60</v>
      </c>
      <c r="D158" t="s">
        <v>61</v>
      </c>
      <c r="E158" t="s">
        <v>62</v>
      </c>
      <c r="F158">
        <v>532.22</v>
      </c>
      <c r="G158">
        <v>187.5</v>
      </c>
      <c r="H158">
        <v>89.98</v>
      </c>
      <c r="I158">
        <v>93.31</v>
      </c>
      <c r="J158">
        <v>85.02</v>
      </c>
      <c r="K158" t="s">
        <v>63</v>
      </c>
      <c r="L158">
        <v>9.1999999999999993</v>
      </c>
      <c r="N158" t="s">
        <v>35</v>
      </c>
      <c r="O158">
        <v>4</v>
      </c>
      <c r="P158" t="s">
        <v>23</v>
      </c>
      <c r="Q158">
        <v>76.099999999999994</v>
      </c>
      <c r="S158" s="8">
        <v>45816</v>
      </c>
      <c r="T158">
        <v>96</v>
      </c>
    </row>
    <row r="159" spans="1:20" x14ac:dyDescent="0.35">
      <c r="A159" s="1">
        <v>45810</v>
      </c>
      <c r="B159" t="s">
        <v>48</v>
      </c>
      <c r="C159" t="s">
        <v>49</v>
      </c>
      <c r="D159" t="s">
        <v>50</v>
      </c>
      <c r="E159" t="s">
        <v>33</v>
      </c>
      <c r="F159">
        <v>395.48</v>
      </c>
      <c r="G159">
        <v>212.1</v>
      </c>
      <c r="H159">
        <v>95.69</v>
      </c>
      <c r="I159">
        <v>96.76</v>
      </c>
      <c r="J159">
        <v>72.8</v>
      </c>
      <c r="K159" t="s">
        <v>28</v>
      </c>
      <c r="L159">
        <v>7.6</v>
      </c>
      <c r="M159">
        <v>3.1</v>
      </c>
      <c r="N159" t="s">
        <v>22</v>
      </c>
      <c r="O159">
        <v>7</v>
      </c>
      <c r="P159" t="s">
        <v>43</v>
      </c>
      <c r="Q159">
        <v>61.5</v>
      </c>
      <c r="S159" s="8" t="s">
        <v>104</v>
      </c>
      <c r="T159">
        <v>96</v>
      </c>
    </row>
    <row r="160" spans="1:20" x14ac:dyDescent="0.35">
      <c r="A160" s="1">
        <v>45810</v>
      </c>
      <c r="B160" t="s">
        <v>59</v>
      </c>
      <c r="C160" t="s">
        <v>60</v>
      </c>
      <c r="D160" t="s">
        <v>61</v>
      </c>
      <c r="E160" t="s">
        <v>62</v>
      </c>
      <c r="F160">
        <v>465.63</v>
      </c>
      <c r="G160">
        <v>171</v>
      </c>
      <c r="H160">
        <v>86.77</v>
      </c>
      <c r="I160">
        <v>93.08</v>
      </c>
      <c r="J160">
        <v>89.59</v>
      </c>
      <c r="K160" t="s">
        <v>63</v>
      </c>
      <c r="L160">
        <v>8.8000000000000007</v>
      </c>
      <c r="N160" t="s">
        <v>35</v>
      </c>
      <c r="O160">
        <v>3</v>
      </c>
      <c r="P160" t="s">
        <v>23</v>
      </c>
      <c r="Q160">
        <v>75.5</v>
      </c>
    </row>
    <row r="161" spans="1:17" x14ac:dyDescent="0.35">
      <c r="A161" s="1">
        <v>45810</v>
      </c>
      <c r="B161" t="s">
        <v>48</v>
      </c>
      <c r="C161" t="s">
        <v>49</v>
      </c>
      <c r="D161" t="s">
        <v>50</v>
      </c>
      <c r="E161" t="s">
        <v>33</v>
      </c>
      <c r="F161">
        <v>327.37</v>
      </c>
      <c r="G161">
        <v>228.5</v>
      </c>
      <c r="H161">
        <v>97.59</v>
      </c>
      <c r="I161">
        <v>96.95</v>
      </c>
      <c r="J161">
        <v>78.569999999999993</v>
      </c>
      <c r="K161" t="s">
        <v>47</v>
      </c>
      <c r="L161">
        <v>8.1</v>
      </c>
      <c r="M161">
        <v>2.5</v>
      </c>
      <c r="N161" t="s">
        <v>35</v>
      </c>
      <c r="O161">
        <v>6</v>
      </c>
      <c r="P161" t="s">
        <v>43</v>
      </c>
      <c r="Q161">
        <v>64</v>
      </c>
    </row>
    <row r="162" spans="1:17" x14ac:dyDescent="0.35">
      <c r="A162" s="1">
        <v>45810</v>
      </c>
      <c r="B162" t="s">
        <v>93</v>
      </c>
      <c r="C162" t="s">
        <v>37</v>
      </c>
      <c r="D162" t="s">
        <v>94</v>
      </c>
      <c r="E162" t="s">
        <v>27</v>
      </c>
      <c r="F162">
        <v>225.71</v>
      </c>
      <c r="G162">
        <v>21</v>
      </c>
      <c r="H162">
        <v>92.95</v>
      </c>
      <c r="I162">
        <v>95.66</v>
      </c>
      <c r="J162">
        <v>75.27</v>
      </c>
      <c r="K162" t="s">
        <v>28</v>
      </c>
      <c r="L162">
        <v>7.9</v>
      </c>
      <c r="M162">
        <v>1.8</v>
      </c>
      <c r="N162" t="s">
        <v>39</v>
      </c>
      <c r="O162">
        <v>9</v>
      </c>
      <c r="P162" t="s">
        <v>23</v>
      </c>
      <c r="Q162">
        <v>59.7</v>
      </c>
    </row>
    <row r="163" spans="1:17" x14ac:dyDescent="0.35">
      <c r="A163" s="1">
        <v>45810</v>
      </c>
      <c r="B163" t="s">
        <v>93</v>
      </c>
      <c r="C163" t="s">
        <v>37</v>
      </c>
      <c r="D163" t="s">
        <v>94</v>
      </c>
      <c r="E163" t="s">
        <v>27</v>
      </c>
      <c r="F163">
        <v>275.42</v>
      </c>
      <c r="G163">
        <v>47.7</v>
      </c>
      <c r="H163">
        <v>97.65</v>
      </c>
      <c r="I163">
        <v>95.96</v>
      </c>
      <c r="J163">
        <v>81.84</v>
      </c>
      <c r="K163" t="s">
        <v>34</v>
      </c>
      <c r="L163">
        <v>7.7</v>
      </c>
      <c r="M163">
        <v>2.6</v>
      </c>
      <c r="N163" t="s">
        <v>39</v>
      </c>
      <c r="O163">
        <v>13</v>
      </c>
      <c r="P163" t="s">
        <v>23</v>
      </c>
      <c r="Q163">
        <v>61.3</v>
      </c>
    </row>
    <row r="164" spans="1:17" x14ac:dyDescent="0.35">
      <c r="A164" s="1">
        <v>45810</v>
      </c>
      <c r="B164" t="s">
        <v>17</v>
      </c>
      <c r="C164" t="s">
        <v>18</v>
      </c>
      <c r="D164" t="s">
        <v>19</v>
      </c>
      <c r="E164" t="s">
        <v>20</v>
      </c>
      <c r="F164">
        <v>229.06</v>
      </c>
      <c r="G164">
        <v>150.30000000000001</v>
      </c>
      <c r="H164">
        <v>91.57</v>
      </c>
      <c r="I164">
        <v>95.83</v>
      </c>
      <c r="J164">
        <v>76.48</v>
      </c>
      <c r="K164" t="s">
        <v>63</v>
      </c>
      <c r="L164">
        <v>7.7</v>
      </c>
      <c r="N164" t="s">
        <v>35</v>
      </c>
      <c r="O164">
        <v>5</v>
      </c>
      <c r="P164" t="s">
        <v>23</v>
      </c>
      <c r="Q164">
        <v>71.8</v>
      </c>
    </row>
    <row r="165" spans="1:17" x14ac:dyDescent="0.35">
      <c r="A165" s="1">
        <v>45810</v>
      </c>
      <c r="B165" t="s">
        <v>71</v>
      </c>
      <c r="C165" t="s">
        <v>72</v>
      </c>
      <c r="D165" t="s">
        <v>73</v>
      </c>
      <c r="E165" t="s">
        <v>27</v>
      </c>
      <c r="F165">
        <v>80.17</v>
      </c>
      <c r="G165">
        <v>20.5</v>
      </c>
      <c r="H165">
        <v>92.73</v>
      </c>
      <c r="I165">
        <v>93.28</v>
      </c>
      <c r="J165">
        <v>83.42</v>
      </c>
      <c r="K165" t="s">
        <v>34</v>
      </c>
      <c r="L165">
        <v>7</v>
      </c>
      <c r="M165">
        <v>2.8</v>
      </c>
      <c r="N165" t="s">
        <v>39</v>
      </c>
      <c r="O165">
        <v>15</v>
      </c>
      <c r="P165" t="s">
        <v>23</v>
      </c>
      <c r="Q165">
        <v>58.4</v>
      </c>
    </row>
    <row r="166" spans="1:17" x14ac:dyDescent="0.35">
      <c r="A166" s="1">
        <v>45810</v>
      </c>
      <c r="B166" t="s">
        <v>55</v>
      </c>
      <c r="C166" t="s">
        <v>56</v>
      </c>
      <c r="D166">
        <v>4</v>
      </c>
      <c r="E166" t="s">
        <v>57</v>
      </c>
      <c r="F166">
        <v>30</v>
      </c>
      <c r="G166">
        <v>167.3</v>
      </c>
      <c r="H166">
        <v>86.51</v>
      </c>
      <c r="I166">
        <v>94.81</v>
      </c>
      <c r="J166">
        <v>75.38</v>
      </c>
      <c r="K166" t="s">
        <v>21</v>
      </c>
      <c r="L166">
        <v>6.6</v>
      </c>
      <c r="N166" t="s">
        <v>35</v>
      </c>
      <c r="O166">
        <v>3</v>
      </c>
      <c r="P166" t="s">
        <v>23</v>
      </c>
      <c r="Q166">
        <v>68.5</v>
      </c>
    </row>
    <row r="167" spans="1:17" x14ac:dyDescent="0.35">
      <c r="A167" s="1">
        <v>45810</v>
      </c>
      <c r="B167" t="s">
        <v>82</v>
      </c>
      <c r="C167" t="s">
        <v>72</v>
      </c>
      <c r="D167" t="s">
        <v>83</v>
      </c>
      <c r="E167" t="s">
        <v>20</v>
      </c>
      <c r="F167">
        <v>106.18</v>
      </c>
      <c r="G167">
        <v>146.69999999999999</v>
      </c>
      <c r="H167">
        <v>92.91</v>
      </c>
      <c r="I167">
        <v>96.65</v>
      </c>
      <c r="J167">
        <v>71.02</v>
      </c>
      <c r="K167" t="s">
        <v>58</v>
      </c>
      <c r="L167">
        <v>6.3</v>
      </c>
      <c r="N167" t="s">
        <v>22</v>
      </c>
      <c r="O167">
        <v>9</v>
      </c>
      <c r="P167" t="s">
        <v>43</v>
      </c>
      <c r="Q167">
        <v>68.2</v>
      </c>
    </row>
    <row r="168" spans="1:17" x14ac:dyDescent="0.35">
      <c r="A168" s="1">
        <v>45810</v>
      </c>
      <c r="B168" t="s">
        <v>95</v>
      </c>
      <c r="C168" t="s">
        <v>49</v>
      </c>
      <c r="D168" t="s">
        <v>96</v>
      </c>
      <c r="E168" t="s">
        <v>27</v>
      </c>
      <c r="F168">
        <v>463.88</v>
      </c>
      <c r="G168">
        <v>71.599999999999994</v>
      </c>
      <c r="H168">
        <v>93.67</v>
      </c>
      <c r="I168">
        <v>96.04</v>
      </c>
      <c r="J168">
        <v>75.17</v>
      </c>
      <c r="K168" t="s">
        <v>34</v>
      </c>
      <c r="L168">
        <v>9.1999999999999993</v>
      </c>
      <c r="M168">
        <v>2.9</v>
      </c>
      <c r="N168" t="s">
        <v>39</v>
      </c>
      <c r="O168">
        <v>11</v>
      </c>
      <c r="P168" t="s">
        <v>23</v>
      </c>
      <c r="Q168">
        <v>62.3</v>
      </c>
    </row>
    <row r="169" spans="1:17" x14ac:dyDescent="0.35">
      <c r="A169" s="1">
        <v>45810</v>
      </c>
      <c r="B169" t="s">
        <v>48</v>
      </c>
      <c r="C169" t="s">
        <v>49</v>
      </c>
      <c r="D169" t="s">
        <v>50</v>
      </c>
      <c r="E169" t="s">
        <v>27</v>
      </c>
      <c r="F169">
        <v>264.86</v>
      </c>
      <c r="G169">
        <v>29</v>
      </c>
      <c r="H169">
        <v>97.18</v>
      </c>
      <c r="I169">
        <v>94.58</v>
      </c>
      <c r="J169">
        <v>78.06</v>
      </c>
      <c r="K169" t="s">
        <v>34</v>
      </c>
      <c r="L169">
        <v>7.9</v>
      </c>
      <c r="M169">
        <v>4.8</v>
      </c>
      <c r="N169" t="s">
        <v>29</v>
      </c>
      <c r="O169">
        <v>9</v>
      </c>
      <c r="P169" t="s">
        <v>43</v>
      </c>
      <c r="Q169">
        <v>58.8</v>
      </c>
    </row>
    <row r="170" spans="1:17" x14ac:dyDescent="0.35">
      <c r="A170" s="1">
        <v>45810</v>
      </c>
      <c r="B170" t="s">
        <v>101</v>
      </c>
      <c r="C170" t="s">
        <v>45</v>
      </c>
      <c r="D170" t="s">
        <v>102</v>
      </c>
      <c r="E170" t="s">
        <v>27</v>
      </c>
      <c r="F170">
        <v>711.12</v>
      </c>
      <c r="G170">
        <v>961.4</v>
      </c>
      <c r="H170">
        <v>97.61</v>
      </c>
      <c r="I170">
        <v>98.57</v>
      </c>
      <c r="J170">
        <v>80.98</v>
      </c>
      <c r="K170" t="s">
        <v>47</v>
      </c>
      <c r="L170">
        <v>8.1</v>
      </c>
      <c r="M170">
        <v>4.7</v>
      </c>
      <c r="N170" t="s">
        <v>29</v>
      </c>
      <c r="O170">
        <v>10</v>
      </c>
      <c r="P170" t="s">
        <v>23</v>
      </c>
      <c r="Q170">
        <v>63.2</v>
      </c>
    </row>
    <row r="171" spans="1:17" x14ac:dyDescent="0.35">
      <c r="A171" s="1">
        <v>45810</v>
      </c>
      <c r="B171" t="s">
        <v>91</v>
      </c>
      <c r="C171" t="s">
        <v>67</v>
      </c>
      <c r="D171" t="s">
        <v>92</v>
      </c>
      <c r="E171" t="s">
        <v>27</v>
      </c>
      <c r="F171">
        <v>270.41000000000003</v>
      </c>
      <c r="G171">
        <v>61.6</v>
      </c>
      <c r="H171">
        <v>94.44</v>
      </c>
      <c r="I171">
        <v>94.81</v>
      </c>
      <c r="J171">
        <v>81.89</v>
      </c>
      <c r="K171" t="s">
        <v>47</v>
      </c>
      <c r="L171">
        <v>7.7</v>
      </c>
      <c r="M171">
        <v>3.2</v>
      </c>
      <c r="N171" t="s">
        <v>29</v>
      </c>
      <c r="O171">
        <v>10</v>
      </c>
      <c r="P171" t="s">
        <v>23</v>
      </c>
      <c r="Q171">
        <v>60.4</v>
      </c>
    </row>
    <row r="172" spans="1:17" x14ac:dyDescent="0.35">
      <c r="A172" s="1">
        <v>45810</v>
      </c>
      <c r="B172" t="s">
        <v>36</v>
      </c>
      <c r="C172" t="s">
        <v>37</v>
      </c>
      <c r="D172" t="s">
        <v>38</v>
      </c>
      <c r="E172" t="s">
        <v>27</v>
      </c>
      <c r="F172">
        <v>263.54000000000002</v>
      </c>
      <c r="G172">
        <v>37.1</v>
      </c>
      <c r="H172">
        <v>92.3</v>
      </c>
      <c r="I172">
        <v>94.98</v>
      </c>
      <c r="J172">
        <v>83.82</v>
      </c>
      <c r="K172" t="s">
        <v>28</v>
      </c>
      <c r="L172">
        <v>8</v>
      </c>
      <c r="M172">
        <v>2.5</v>
      </c>
      <c r="N172" t="s">
        <v>29</v>
      </c>
      <c r="O172">
        <v>9</v>
      </c>
      <c r="P172" t="s">
        <v>23</v>
      </c>
      <c r="Q172">
        <v>60.9</v>
      </c>
    </row>
    <row r="173" spans="1:17" x14ac:dyDescent="0.35">
      <c r="A173" s="1">
        <v>45810</v>
      </c>
      <c r="B173" t="s">
        <v>59</v>
      </c>
      <c r="C173" t="s">
        <v>60</v>
      </c>
      <c r="D173" t="s">
        <v>61</v>
      </c>
      <c r="E173" t="s">
        <v>62</v>
      </c>
      <c r="F173">
        <v>389.47</v>
      </c>
      <c r="G173">
        <v>176.4</v>
      </c>
      <c r="H173">
        <v>88.54</v>
      </c>
      <c r="I173">
        <v>96.66</v>
      </c>
      <c r="J173">
        <v>89.57</v>
      </c>
      <c r="K173" t="s">
        <v>63</v>
      </c>
      <c r="L173">
        <v>7.7</v>
      </c>
      <c r="N173" t="s">
        <v>35</v>
      </c>
      <c r="O173">
        <v>6</v>
      </c>
      <c r="P173" t="s">
        <v>43</v>
      </c>
      <c r="Q173">
        <v>74.400000000000006</v>
      </c>
    </row>
    <row r="174" spans="1:17" x14ac:dyDescent="0.35">
      <c r="A174" s="1">
        <v>45810</v>
      </c>
      <c r="B174" t="s">
        <v>48</v>
      </c>
      <c r="C174" t="s">
        <v>49</v>
      </c>
      <c r="D174" t="s">
        <v>50</v>
      </c>
      <c r="E174" t="s">
        <v>33</v>
      </c>
      <c r="F174">
        <v>349.79</v>
      </c>
      <c r="G174">
        <v>75.099999999999994</v>
      </c>
      <c r="H174">
        <v>95.95</v>
      </c>
      <c r="I174">
        <v>95.13</v>
      </c>
      <c r="J174">
        <v>79.62</v>
      </c>
      <c r="K174" t="s">
        <v>34</v>
      </c>
      <c r="L174">
        <v>8.1999999999999993</v>
      </c>
      <c r="M174">
        <v>2.4</v>
      </c>
      <c r="N174" t="s">
        <v>22</v>
      </c>
      <c r="O174">
        <v>9</v>
      </c>
      <c r="P174" t="s">
        <v>23</v>
      </c>
      <c r="Q174">
        <v>62</v>
      </c>
    </row>
    <row r="175" spans="1:17" x14ac:dyDescent="0.35">
      <c r="A175" s="1">
        <v>45810</v>
      </c>
      <c r="B175" t="s">
        <v>17</v>
      </c>
      <c r="C175" t="s">
        <v>18</v>
      </c>
      <c r="D175" t="s">
        <v>19</v>
      </c>
      <c r="E175" t="s">
        <v>20</v>
      </c>
      <c r="F175">
        <v>176.98</v>
      </c>
      <c r="G175">
        <v>89</v>
      </c>
      <c r="H175">
        <v>93.14</v>
      </c>
      <c r="I175">
        <v>96.52</v>
      </c>
      <c r="J175">
        <v>72.680000000000007</v>
      </c>
      <c r="K175" t="s">
        <v>58</v>
      </c>
      <c r="L175">
        <v>6.3</v>
      </c>
      <c r="N175" t="s">
        <v>35</v>
      </c>
      <c r="O175">
        <v>10</v>
      </c>
      <c r="P175" t="s">
        <v>23</v>
      </c>
      <c r="Q175">
        <v>67.2</v>
      </c>
    </row>
    <row r="176" spans="1:17" x14ac:dyDescent="0.35">
      <c r="A176" s="1">
        <v>45810</v>
      </c>
      <c r="B176" t="s">
        <v>86</v>
      </c>
      <c r="C176" t="s">
        <v>25</v>
      </c>
      <c r="D176" t="s">
        <v>87</v>
      </c>
      <c r="E176" t="s">
        <v>27</v>
      </c>
      <c r="F176">
        <v>542.30999999999995</v>
      </c>
      <c r="G176">
        <v>36.5</v>
      </c>
      <c r="H176">
        <v>94.61</v>
      </c>
      <c r="I176">
        <v>97.34</v>
      </c>
      <c r="J176">
        <v>82.75</v>
      </c>
      <c r="K176" t="s">
        <v>28</v>
      </c>
      <c r="L176">
        <v>8.4</v>
      </c>
      <c r="M176">
        <v>5</v>
      </c>
      <c r="N176" t="s">
        <v>29</v>
      </c>
      <c r="O176">
        <v>9</v>
      </c>
      <c r="P176" t="s">
        <v>30</v>
      </c>
      <c r="Q176">
        <v>60.5</v>
      </c>
    </row>
    <row r="177" spans="1:17" x14ac:dyDescent="0.35">
      <c r="A177" s="1">
        <v>45810</v>
      </c>
      <c r="B177" t="s">
        <v>48</v>
      </c>
      <c r="C177" t="s">
        <v>49</v>
      </c>
      <c r="D177" t="s">
        <v>50</v>
      </c>
      <c r="E177" t="s">
        <v>33</v>
      </c>
      <c r="F177">
        <v>219.96</v>
      </c>
      <c r="G177">
        <v>81.3</v>
      </c>
      <c r="H177">
        <v>93.48</v>
      </c>
      <c r="I177">
        <v>96.6</v>
      </c>
      <c r="J177">
        <v>74.69</v>
      </c>
      <c r="K177" t="s">
        <v>28</v>
      </c>
      <c r="L177">
        <v>8.4</v>
      </c>
      <c r="M177">
        <v>4</v>
      </c>
      <c r="N177" t="s">
        <v>35</v>
      </c>
      <c r="O177">
        <v>10</v>
      </c>
      <c r="P177" t="s">
        <v>23</v>
      </c>
      <c r="Q177">
        <v>60.4</v>
      </c>
    </row>
    <row r="178" spans="1:17" x14ac:dyDescent="0.35">
      <c r="A178" s="1">
        <v>45810</v>
      </c>
      <c r="B178" t="s">
        <v>59</v>
      </c>
      <c r="C178" t="s">
        <v>60</v>
      </c>
      <c r="D178" t="s">
        <v>61</v>
      </c>
      <c r="E178" t="s">
        <v>62</v>
      </c>
      <c r="F178">
        <v>377.63</v>
      </c>
      <c r="G178">
        <v>175.8</v>
      </c>
      <c r="H178">
        <v>91.79</v>
      </c>
      <c r="I178">
        <v>94.62</v>
      </c>
      <c r="J178">
        <v>88.6</v>
      </c>
      <c r="K178" t="s">
        <v>63</v>
      </c>
      <c r="L178">
        <v>8</v>
      </c>
      <c r="N178" t="s">
        <v>35</v>
      </c>
      <c r="O178">
        <v>6</v>
      </c>
      <c r="P178" t="s">
        <v>23</v>
      </c>
      <c r="Q178">
        <v>75</v>
      </c>
    </row>
    <row r="179" spans="1:17" x14ac:dyDescent="0.35">
      <c r="A179" s="1">
        <v>45810</v>
      </c>
      <c r="B179" t="s">
        <v>36</v>
      </c>
      <c r="C179" t="s">
        <v>37</v>
      </c>
      <c r="D179" t="s">
        <v>38</v>
      </c>
      <c r="E179" t="s">
        <v>33</v>
      </c>
      <c r="F179">
        <v>264.72000000000003</v>
      </c>
      <c r="G179">
        <v>131</v>
      </c>
      <c r="H179">
        <v>94.45</v>
      </c>
      <c r="I179">
        <v>96.01</v>
      </c>
      <c r="J179">
        <v>71.06</v>
      </c>
      <c r="K179" t="s">
        <v>28</v>
      </c>
      <c r="L179">
        <v>8</v>
      </c>
      <c r="M179">
        <v>2</v>
      </c>
      <c r="N179" t="s">
        <v>35</v>
      </c>
      <c r="O179">
        <v>6</v>
      </c>
      <c r="P179" t="s">
        <v>23</v>
      </c>
      <c r="Q179">
        <v>61.5</v>
      </c>
    </row>
    <row r="180" spans="1:17" x14ac:dyDescent="0.35">
      <c r="A180" s="1">
        <v>45810</v>
      </c>
      <c r="B180" t="s">
        <v>59</v>
      </c>
      <c r="C180" t="s">
        <v>60</v>
      </c>
      <c r="D180" t="s">
        <v>61</v>
      </c>
      <c r="E180" t="s">
        <v>62</v>
      </c>
      <c r="F180">
        <v>388.1</v>
      </c>
      <c r="G180">
        <v>175.2</v>
      </c>
      <c r="H180">
        <v>90.64</v>
      </c>
      <c r="I180">
        <v>95.28</v>
      </c>
      <c r="J180">
        <v>86.4</v>
      </c>
      <c r="K180" t="s">
        <v>34</v>
      </c>
      <c r="L180">
        <v>8.3000000000000007</v>
      </c>
      <c r="N180" t="s">
        <v>35</v>
      </c>
      <c r="O180">
        <v>4</v>
      </c>
      <c r="P180" t="s">
        <v>43</v>
      </c>
      <c r="Q180">
        <v>75.099999999999994</v>
      </c>
    </row>
    <row r="181" spans="1:17" x14ac:dyDescent="0.35">
      <c r="A181" s="1">
        <v>45810</v>
      </c>
      <c r="B181" t="s">
        <v>86</v>
      </c>
      <c r="C181" t="s">
        <v>25</v>
      </c>
      <c r="D181" t="s">
        <v>87</v>
      </c>
      <c r="E181" t="s">
        <v>27</v>
      </c>
      <c r="F181">
        <v>777.71</v>
      </c>
      <c r="G181">
        <v>47.2</v>
      </c>
      <c r="H181">
        <v>93.55</v>
      </c>
      <c r="I181">
        <v>98.08</v>
      </c>
      <c r="J181">
        <v>78.040000000000006</v>
      </c>
      <c r="K181" t="s">
        <v>34</v>
      </c>
      <c r="L181">
        <v>9.5</v>
      </c>
      <c r="M181">
        <v>1.9</v>
      </c>
      <c r="N181" t="s">
        <v>29</v>
      </c>
      <c r="O181">
        <v>13</v>
      </c>
      <c r="P181" t="s">
        <v>30</v>
      </c>
      <c r="Q181">
        <v>63.8</v>
      </c>
    </row>
    <row r="182" spans="1:17" x14ac:dyDescent="0.35">
      <c r="A182" s="1">
        <v>45810</v>
      </c>
      <c r="B182" t="s">
        <v>59</v>
      </c>
      <c r="C182" t="s">
        <v>60</v>
      </c>
      <c r="D182" t="s">
        <v>61</v>
      </c>
      <c r="E182" t="s">
        <v>62</v>
      </c>
      <c r="F182">
        <v>502.37</v>
      </c>
      <c r="G182">
        <v>171.6</v>
      </c>
      <c r="H182">
        <v>86.98</v>
      </c>
      <c r="I182">
        <v>93.48</v>
      </c>
      <c r="J182">
        <v>87.73</v>
      </c>
      <c r="K182" t="s">
        <v>34</v>
      </c>
      <c r="L182">
        <v>8.1</v>
      </c>
      <c r="N182" t="s">
        <v>35</v>
      </c>
      <c r="O182">
        <v>6</v>
      </c>
      <c r="P182" t="s">
        <v>43</v>
      </c>
      <c r="Q182">
        <v>73.8</v>
      </c>
    </row>
    <row r="183" spans="1:17" x14ac:dyDescent="0.35">
      <c r="A183" s="1">
        <v>45810</v>
      </c>
      <c r="B183" t="s">
        <v>86</v>
      </c>
      <c r="C183" t="s">
        <v>25</v>
      </c>
      <c r="D183" t="s">
        <v>87</v>
      </c>
      <c r="E183" t="s">
        <v>27</v>
      </c>
      <c r="F183">
        <v>219.21</v>
      </c>
      <c r="G183">
        <v>24.5</v>
      </c>
      <c r="H183">
        <v>93.11</v>
      </c>
      <c r="I183">
        <v>97.94</v>
      </c>
      <c r="J183">
        <v>75.709999999999994</v>
      </c>
      <c r="K183" t="s">
        <v>34</v>
      </c>
      <c r="L183">
        <v>7.7</v>
      </c>
      <c r="M183">
        <v>1.9</v>
      </c>
      <c r="N183" t="s">
        <v>39</v>
      </c>
      <c r="O183">
        <v>14</v>
      </c>
      <c r="P183" t="s">
        <v>30</v>
      </c>
      <c r="Q183">
        <v>59.8</v>
      </c>
    </row>
    <row r="184" spans="1:17" x14ac:dyDescent="0.35">
      <c r="A184" s="1">
        <v>45810</v>
      </c>
      <c r="B184" t="s">
        <v>59</v>
      </c>
      <c r="C184" t="s">
        <v>60</v>
      </c>
      <c r="D184" t="s">
        <v>61</v>
      </c>
      <c r="E184" t="s">
        <v>62</v>
      </c>
      <c r="F184">
        <v>399.45</v>
      </c>
      <c r="G184">
        <v>169.8</v>
      </c>
      <c r="H184">
        <v>90.11</v>
      </c>
      <c r="I184">
        <v>94.88</v>
      </c>
      <c r="J184">
        <v>87.98</v>
      </c>
      <c r="K184" t="s">
        <v>63</v>
      </c>
      <c r="L184">
        <v>7.8</v>
      </c>
      <c r="N184" t="s">
        <v>35</v>
      </c>
      <c r="O184">
        <v>6</v>
      </c>
      <c r="P184" t="s">
        <v>23</v>
      </c>
      <c r="Q184">
        <v>74.2</v>
      </c>
    </row>
    <row r="185" spans="1:17" x14ac:dyDescent="0.35">
      <c r="A185" s="1">
        <v>45810</v>
      </c>
      <c r="B185" t="s">
        <v>97</v>
      </c>
      <c r="C185" t="s">
        <v>72</v>
      </c>
      <c r="D185" t="s">
        <v>98</v>
      </c>
      <c r="E185" t="s">
        <v>27</v>
      </c>
      <c r="F185">
        <v>177.32</v>
      </c>
      <c r="G185">
        <v>51.4</v>
      </c>
      <c r="H185">
        <v>96.13</v>
      </c>
      <c r="I185">
        <v>96.07</v>
      </c>
      <c r="J185">
        <v>82.1</v>
      </c>
      <c r="K185" t="s">
        <v>47</v>
      </c>
      <c r="L185">
        <v>6.9</v>
      </c>
      <c r="M185">
        <v>2.1</v>
      </c>
      <c r="N185" t="s">
        <v>39</v>
      </c>
      <c r="O185">
        <v>8</v>
      </c>
      <c r="P185" t="s">
        <v>43</v>
      </c>
      <c r="Q185">
        <v>60.2</v>
      </c>
    </row>
    <row r="186" spans="1:17" x14ac:dyDescent="0.35">
      <c r="A186" s="1">
        <v>45811</v>
      </c>
      <c r="B186" t="s">
        <v>36</v>
      </c>
      <c r="C186" t="s">
        <v>37</v>
      </c>
      <c r="D186" t="s">
        <v>38</v>
      </c>
      <c r="E186" t="s">
        <v>33</v>
      </c>
      <c r="F186">
        <v>487.63</v>
      </c>
      <c r="G186">
        <v>230.5</v>
      </c>
      <c r="H186">
        <v>94.12</v>
      </c>
      <c r="I186">
        <v>95.42</v>
      </c>
      <c r="J186">
        <v>77.180000000000007</v>
      </c>
      <c r="K186" t="s">
        <v>28</v>
      </c>
      <c r="L186">
        <v>8.6</v>
      </c>
      <c r="M186">
        <v>2.4</v>
      </c>
      <c r="N186" t="s">
        <v>22</v>
      </c>
      <c r="O186">
        <v>6</v>
      </c>
      <c r="P186" t="s">
        <v>23</v>
      </c>
      <c r="Q186">
        <v>63.9</v>
      </c>
    </row>
    <row r="187" spans="1:17" x14ac:dyDescent="0.35">
      <c r="A187" s="1">
        <v>45811</v>
      </c>
      <c r="B187" t="s">
        <v>55</v>
      </c>
      <c r="C187" t="s">
        <v>56</v>
      </c>
      <c r="D187">
        <v>4</v>
      </c>
      <c r="E187" t="s">
        <v>57</v>
      </c>
      <c r="F187">
        <v>30</v>
      </c>
      <c r="G187">
        <v>154.19999999999999</v>
      </c>
      <c r="H187">
        <v>89.18</v>
      </c>
      <c r="I187">
        <v>96.78</v>
      </c>
      <c r="J187">
        <v>78.2</v>
      </c>
      <c r="K187" t="s">
        <v>21</v>
      </c>
      <c r="L187">
        <v>7</v>
      </c>
      <c r="N187" t="s">
        <v>35</v>
      </c>
      <c r="O187">
        <v>2</v>
      </c>
      <c r="P187" t="s">
        <v>43</v>
      </c>
      <c r="Q187">
        <v>70.5</v>
      </c>
    </row>
    <row r="188" spans="1:17" x14ac:dyDescent="0.35">
      <c r="A188" s="1">
        <v>45811</v>
      </c>
      <c r="B188" t="s">
        <v>66</v>
      </c>
      <c r="C188" t="s">
        <v>67</v>
      </c>
      <c r="D188" t="s">
        <v>68</v>
      </c>
      <c r="E188" t="s">
        <v>27</v>
      </c>
      <c r="F188">
        <v>485.51</v>
      </c>
      <c r="G188">
        <v>27.2</v>
      </c>
      <c r="H188">
        <v>92.27</v>
      </c>
      <c r="I188">
        <v>93.95</v>
      </c>
      <c r="J188">
        <v>75.39</v>
      </c>
      <c r="K188" t="s">
        <v>47</v>
      </c>
      <c r="L188">
        <v>9.4</v>
      </c>
      <c r="M188">
        <v>2.5</v>
      </c>
      <c r="N188" t="s">
        <v>29</v>
      </c>
      <c r="O188">
        <v>8</v>
      </c>
      <c r="P188" t="s">
        <v>43</v>
      </c>
      <c r="Q188">
        <v>61.5</v>
      </c>
    </row>
    <row r="189" spans="1:17" x14ac:dyDescent="0.35">
      <c r="A189" s="1">
        <v>45811</v>
      </c>
      <c r="B189" t="s">
        <v>71</v>
      </c>
      <c r="C189" t="s">
        <v>72</v>
      </c>
      <c r="D189" t="s">
        <v>73</v>
      </c>
      <c r="E189" t="s">
        <v>33</v>
      </c>
      <c r="F189">
        <v>96.53</v>
      </c>
      <c r="G189">
        <v>106.9</v>
      </c>
      <c r="H189">
        <v>96.97</v>
      </c>
      <c r="I189">
        <v>95</v>
      </c>
      <c r="J189">
        <v>73.56</v>
      </c>
      <c r="K189" t="s">
        <v>28</v>
      </c>
      <c r="L189">
        <v>7.7</v>
      </c>
      <c r="M189">
        <v>4.3</v>
      </c>
      <c r="N189" t="s">
        <v>35</v>
      </c>
      <c r="O189">
        <v>10</v>
      </c>
      <c r="P189" t="s">
        <v>23</v>
      </c>
      <c r="Q189">
        <v>59.7</v>
      </c>
    </row>
    <row r="190" spans="1:17" x14ac:dyDescent="0.35">
      <c r="A190" s="1">
        <v>45811</v>
      </c>
      <c r="B190" t="s">
        <v>53</v>
      </c>
      <c r="C190" t="s">
        <v>41</v>
      </c>
      <c r="D190" t="s">
        <v>54</v>
      </c>
      <c r="E190" t="s">
        <v>27</v>
      </c>
      <c r="F190">
        <v>553.04</v>
      </c>
      <c r="G190">
        <v>53.2</v>
      </c>
      <c r="H190">
        <v>94.8</v>
      </c>
      <c r="I190">
        <v>98.02</v>
      </c>
      <c r="J190">
        <v>79.36</v>
      </c>
      <c r="K190" t="s">
        <v>34</v>
      </c>
      <c r="L190">
        <v>9.4</v>
      </c>
      <c r="M190">
        <v>2.4</v>
      </c>
      <c r="N190" t="s">
        <v>29</v>
      </c>
      <c r="O190">
        <v>12</v>
      </c>
      <c r="P190" t="s">
        <v>43</v>
      </c>
      <c r="Q190">
        <v>63.8</v>
      </c>
    </row>
    <row r="191" spans="1:17" x14ac:dyDescent="0.35">
      <c r="A191" s="1">
        <v>45811</v>
      </c>
      <c r="B191" t="s">
        <v>17</v>
      </c>
      <c r="C191" t="s">
        <v>18</v>
      </c>
      <c r="D191" t="s">
        <v>19</v>
      </c>
      <c r="E191" t="s">
        <v>20</v>
      </c>
      <c r="F191">
        <v>115.08</v>
      </c>
      <c r="G191">
        <v>109.4</v>
      </c>
      <c r="H191">
        <v>91.28</v>
      </c>
      <c r="I191">
        <v>93.73</v>
      </c>
      <c r="J191">
        <v>77.45</v>
      </c>
      <c r="K191" t="s">
        <v>63</v>
      </c>
      <c r="L191">
        <v>6.1</v>
      </c>
      <c r="N191" t="s">
        <v>22</v>
      </c>
      <c r="O191">
        <v>5</v>
      </c>
      <c r="P191" t="s">
        <v>23</v>
      </c>
      <c r="Q191">
        <v>67.3</v>
      </c>
    </row>
    <row r="192" spans="1:17" x14ac:dyDescent="0.35">
      <c r="A192" s="1">
        <v>45811</v>
      </c>
      <c r="B192" t="s">
        <v>84</v>
      </c>
      <c r="C192" t="s">
        <v>18</v>
      </c>
      <c r="D192" t="s">
        <v>85</v>
      </c>
      <c r="E192" t="s">
        <v>33</v>
      </c>
      <c r="F192">
        <v>274.45</v>
      </c>
      <c r="G192">
        <v>152</v>
      </c>
      <c r="H192">
        <v>95.75</v>
      </c>
      <c r="I192">
        <v>96.45</v>
      </c>
      <c r="J192">
        <v>78.83</v>
      </c>
      <c r="K192" t="s">
        <v>34</v>
      </c>
      <c r="L192">
        <v>7.7</v>
      </c>
      <c r="M192">
        <v>2.8</v>
      </c>
      <c r="N192" t="s">
        <v>35</v>
      </c>
      <c r="O192">
        <v>10</v>
      </c>
      <c r="P192" t="s">
        <v>23</v>
      </c>
      <c r="Q192">
        <v>62.5</v>
      </c>
    </row>
    <row r="193" spans="1:21" x14ac:dyDescent="0.35">
      <c r="A193" s="1">
        <v>45811</v>
      </c>
      <c r="B193" t="s">
        <v>36</v>
      </c>
      <c r="C193" t="s">
        <v>37</v>
      </c>
      <c r="D193" t="s">
        <v>38</v>
      </c>
      <c r="E193" t="s">
        <v>33</v>
      </c>
      <c r="F193">
        <v>294.13</v>
      </c>
      <c r="G193">
        <v>224.7</v>
      </c>
      <c r="H193">
        <v>97.6</v>
      </c>
      <c r="I193">
        <v>93.3</v>
      </c>
      <c r="J193">
        <v>79.290000000000006</v>
      </c>
      <c r="K193" t="s">
        <v>47</v>
      </c>
      <c r="L193">
        <v>8.5</v>
      </c>
      <c r="M193">
        <v>3.2</v>
      </c>
      <c r="N193" t="s">
        <v>35</v>
      </c>
      <c r="O193">
        <v>8</v>
      </c>
      <c r="P193" t="s">
        <v>23</v>
      </c>
      <c r="Q193">
        <v>63.7</v>
      </c>
    </row>
    <row r="194" spans="1:21" x14ac:dyDescent="0.35">
      <c r="A194" s="1">
        <v>45811</v>
      </c>
      <c r="B194" t="s">
        <v>55</v>
      </c>
      <c r="C194" t="s">
        <v>56</v>
      </c>
      <c r="D194">
        <v>4</v>
      </c>
      <c r="E194" t="s">
        <v>57</v>
      </c>
      <c r="F194">
        <v>30</v>
      </c>
      <c r="G194">
        <v>153.1</v>
      </c>
      <c r="H194">
        <v>85.35</v>
      </c>
      <c r="I194">
        <v>94.9</v>
      </c>
      <c r="J194">
        <v>72.69</v>
      </c>
      <c r="K194" t="s">
        <v>63</v>
      </c>
      <c r="L194">
        <v>6</v>
      </c>
      <c r="N194" t="s">
        <v>35</v>
      </c>
      <c r="O194">
        <v>4</v>
      </c>
      <c r="P194" t="s">
        <v>23</v>
      </c>
      <c r="Q194">
        <v>66.2</v>
      </c>
    </row>
    <row r="195" spans="1:21" x14ac:dyDescent="0.35">
      <c r="A195" s="1">
        <v>45811</v>
      </c>
      <c r="B195" t="s">
        <v>89</v>
      </c>
      <c r="C195" t="s">
        <v>67</v>
      </c>
      <c r="D195" t="s">
        <v>90</v>
      </c>
      <c r="E195" t="s">
        <v>27</v>
      </c>
      <c r="F195">
        <v>154.36000000000001</v>
      </c>
      <c r="G195">
        <v>36.5</v>
      </c>
      <c r="H195">
        <v>94.22</v>
      </c>
      <c r="I195">
        <v>95.14</v>
      </c>
      <c r="J195">
        <v>84.08</v>
      </c>
      <c r="K195" t="s">
        <v>28</v>
      </c>
      <c r="L195">
        <v>6.7</v>
      </c>
      <c r="M195">
        <v>4.4000000000000004</v>
      </c>
      <c r="N195" t="s">
        <v>39</v>
      </c>
      <c r="O195">
        <v>12</v>
      </c>
      <c r="P195" t="s">
        <v>43</v>
      </c>
      <c r="Q195">
        <v>57.9</v>
      </c>
      <c r="T195" t="s">
        <v>127</v>
      </c>
    </row>
    <row r="196" spans="1:21" x14ac:dyDescent="0.35">
      <c r="A196" s="1">
        <v>45811</v>
      </c>
      <c r="B196" t="s">
        <v>24</v>
      </c>
      <c r="C196" t="s">
        <v>25</v>
      </c>
      <c r="D196" t="s">
        <v>26</v>
      </c>
      <c r="E196" t="s">
        <v>27</v>
      </c>
      <c r="F196">
        <v>461.66</v>
      </c>
      <c r="G196">
        <v>35.299999999999997</v>
      </c>
      <c r="H196">
        <v>92.84</v>
      </c>
      <c r="I196">
        <v>96.06</v>
      </c>
      <c r="J196">
        <v>79.97</v>
      </c>
      <c r="K196" t="s">
        <v>34</v>
      </c>
      <c r="L196">
        <v>8.4</v>
      </c>
      <c r="M196">
        <v>3</v>
      </c>
      <c r="N196" t="s">
        <v>29</v>
      </c>
      <c r="O196">
        <v>8</v>
      </c>
      <c r="P196" t="s">
        <v>30</v>
      </c>
      <c r="Q196">
        <v>60.8</v>
      </c>
      <c r="T196">
        <f>COUNTA(_xlfn.UNIQUE(B2:B2375))</f>
        <v>29</v>
      </c>
    </row>
    <row r="197" spans="1:21" x14ac:dyDescent="0.35">
      <c r="A197" s="1">
        <v>45811</v>
      </c>
      <c r="B197" t="s">
        <v>24</v>
      </c>
      <c r="C197" t="s">
        <v>25</v>
      </c>
      <c r="D197" t="s">
        <v>26</v>
      </c>
      <c r="E197" t="s">
        <v>27</v>
      </c>
      <c r="F197">
        <v>590.25</v>
      </c>
      <c r="G197">
        <v>63.6</v>
      </c>
      <c r="H197">
        <v>96.68</v>
      </c>
      <c r="I197">
        <v>97.35</v>
      </c>
      <c r="J197">
        <v>84.55</v>
      </c>
      <c r="K197" t="s">
        <v>34</v>
      </c>
      <c r="L197">
        <v>9.3000000000000007</v>
      </c>
      <c r="M197">
        <v>4.7</v>
      </c>
      <c r="N197" t="s">
        <v>39</v>
      </c>
      <c r="O197">
        <v>11</v>
      </c>
      <c r="P197" t="s">
        <v>30</v>
      </c>
      <c r="Q197">
        <v>63.4</v>
      </c>
    </row>
    <row r="198" spans="1:21" x14ac:dyDescent="0.35">
      <c r="A198" s="1">
        <v>45811</v>
      </c>
      <c r="B198" t="s">
        <v>76</v>
      </c>
      <c r="C198" t="s">
        <v>45</v>
      </c>
      <c r="D198" t="s">
        <v>77</v>
      </c>
      <c r="E198" t="s">
        <v>27</v>
      </c>
      <c r="F198">
        <v>948.59</v>
      </c>
      <c r="G198">
        <v>595.5</v>
      </c>
      <c r="H198">
        <v>94.15</v>
      </c>
      <c r="I198">
        <v>99.49</v>
      </c>
      <c r="J198">
        <v>79.150000000000006</v>
      </c>
      <c r="K198" t="s">
        <v>47</v>
      </c>
      <c r="L198">
        <v>9.5</v>
      </c>
      <c r="M198">
        <v>4.3</v>
      </c>
      <c r="N198" t="s">
        <v>29</v>
      </c>
      <c r="O198">
        <v>12</v>
      </c>
      <c r="P198" t="s">
        <v>23</v>
      </c>
      <c r="Q198">
        <v>65.099999999999994</v>
      </c>
    </row>
    <row r="199" spans="1:21" x14ac:dyDescent="0.35">
      <c r="A199" s="1">
        <v>45811</v>
      </c>
      <c r="B199" t="s">
        <v>53</v>
      </c>
      <c r="C199" t="s">
        <v>41</v>
      </c>
      <c r="D199" t="s">
        <v>54</v>
      </c>
      <c r="E199" t="s">
        <v>27</v>
      </c>
      <c r="F199">
        <v>504.43</v>
      </c>
      <c r="G199">
        <v>28.1</v>
      </c>
      <c r="H199">
        <v>97.58</v>
      </c>
      <c r="I199">
        <v>96.98</v>
      </c>
      <c r="J199">
        <v>79.569999999999993</v>
      </c>
      <c r="K199" t="s">
        <v>47</v>
      </c>
      <c r="L199">
        <v>9.1</v>
      </c>
      <c r="M199">
        <v>1.9</v>
      </c>
      <c r="N199" t="s">
        <v>29</v>
      </c>
      <c r="O199">
        <v>9</v>
      </c>
      <c r="P199" t="s">
        <v>43</v>
      </c>
      <c r="Q199">
        <v>63.5</v>
      </c>
    </row>
    <row r="200" spans="1:21" x14ac:dyDescent="0.35">
      <c r="A200" s="1">
        <v>45811</v>
      </c>
      <c r="B200" t="s">
        <v>95</v>
      </c>
      <c r="C200" t="s">
        <v>49</v>
      </c>
      <c r="D200" t="s">
        <v>96</v>
      </c>
      <c r="E200" t="s">
        <v>33</v>
      </c>
      <c r="F200">
        <v>496.11</v>
      </c>
      <c r="G200">
        <v>141.4</v>
      </c>
      <c r="H200">
        <v>94.32</v>
      </c>
      <c r="I200">
        <v>95.05</v>
      </c>
      <c r="J200">
        <v>74.97</v>
      </c>
      <c r="K200" t="s">
        <v>47</v>
      </c>
      <c r="L200">
        <v>8.5</v>
      </c>
      <c r="M200">
        <v>3.3</v>
      </c>
      <c r="N200" t="s">
        <v>22</v>
      </c>
      <c r="O200">
        <v>6</v>
      </c>
      <c r="P200" t="s">
        <v>43</v>
      </c>
      <c r="Q200">
        <v>62.2</v>
      </c>
    </row>
    <row r="201" spans="1:21" x14ac:dyDescent="0.35">
      <c r="A201" s="1">
        <v>45811</v>
      </c>
      <c r="B201" t="s">
        <v>24</v>
      </c>
      <c r="C201" t="s">
        <v>25</v>
      </c>
      <c r="D201" t="s">
        <v>26</v>
      </c>
      <c r="E201" t="s">
        <v>27</v>
      </c>
      <c r="F201">
        <v>710.85</v>
      </c>
      <c r="G201">
        <v>48.9</v>
      </c>
      <c r="H201">
        <v>95.86</v>
      </c>
      <c r="I201">
        <v>98.23</v>
      </c>
      <c r="J201">
        <v>83.39</v>
      </c>
      <c r="K201" t="s">
        <v>47</v>
      </c>
      <c r="L201">
        <v>8.5</v>
      </c>
      <c r="M201">
        <v>1.5</v>
      </c>
      <c r="N201" t="s">
        <v>39</v>
      </c>
      <c r="O201">
        <v>14</v>
      </c>
      <c r="P201" t="s">
        <v>30</v>
      </c>
      <c r="Q201">
        <v>63.7</v>
      </c>
    </row>
    <row r="202" spans="1:21" x14ac:dyDescent="0.35">
      <c r="A202" s="1">
        <v>45811</v>
      </c>
      <c r="B202" t="s">
        <v>24</v>
      </c>
      <c r="C202" t="s">
        <v>25</v>
      </c>
      <c r="D202" t="s">
        <v>26</v>
      </c>
      <c r="E202" t="s">
        <v>27</v>
      </c>
      <c r="F202">
        <v>826.19</v>
      </c>
      <c r="G202">
        <v>38.1</v>
      </c>
      <c r="H202">
        <v>96.21</v>
      </c>
      <c r="I202">
        <v>97.66</v>
      </c>
      <c r="J202">
        <v>75.739999999999995</v>
      </c>
      <c r="K202" t="s">
        <v>28</v>
      </c>
      <c r="L202">
        <v>9.3000000000000007</v>
      </c>
      <c r="M202">
        <v>1.6</v>
      </c>
      <c r="N202" t="s">
        <v>29</v>
      </c>
      <c r="O202">
        <v>9</v>
      </c>
      <c r="P202" t="s">
        <v>30</v>
      </c>
      <c r="Q202">
        <v>63.5</v>
      </c>
    </row>
    <row r="203" spans="1:21" x14ac:dyDescent="0.35">
      <c r="A203" s="1">
        <v>45811</v>
      </c>
      <c r="B203" t="s">
        <v>36</v>
      </c>
      <c r="C203" t="s">
        <v>37</v>
      </c>
      <c r="D203" t="s">
        <v>38</v>
      </c>
      <c r="E203" t="s">
        <v>27</v>
      </c>
      <c r="F203">
        <v>203.18</v>
      </c>
      <c r="G203">
        <v>65.900000000000006</v>
      </c>
      <c r="H203">
        <v>92.7</v>
      </c>
      <c r="I203">
        <v>94.54</v>
      </c>
      <c r="J203">
        <v>79.44</v>
      </c>
      <c r="K203" t="s">
        <v>47</v>
      </c>
      <c r="L203">
        <v>7.9</v>
      </c>
      <c r="M203">
        <v>1.5</v>
      </c>
      <c r="N203" t="s">
        <v>39</v>
      </c>
      <c r="O203">
        <v>13</v>
      </c>
      <c r="P203" t="s">
        <v>23</v>
      </c>
      <c r="Q203">
        <v>61.3</v>
      </c>
    </row>
    <row r="204" spans="1:21" x14ac:dyDescent="0.35">
      <c r="A204" s="1">
        <v>45811</v>
      </c>
      <c r="B204" t="s">
        <v>86</v>
      </c>
      <c r="C204" t="s">
        <v>25</v>
      </c>
      <c r="D204" t="s">
        <v>87</v>
      </c>
      <c r="E204" t="s">
        <v>27</v>
      </c>
      <c r="F204">
        <v>263.12</v>
      </c>
      <c r="G204">
        <v>69.3</v>
      </c>
      <c r="H204">
        <v>97.35</v>
      </c>
      <c r="I204">
        <v>97.78</v>
      </c>
      <c r="J204">
        <v>75.73</v>
      </c>
      <c r="K204" t="s">
        <v>47</v>
      </c>
      <c r="L204">
        <v>7.7</v>
      </c>
      <c r="M204">
        <v>3.5</v>
      </c>
      <c r="N204" t="s">
        <v>39</v>
      </c>
      <c r="O204">
        <v>8</v>
      </c>
      <c r="P204" t="s">
        <v>30</v>
      </c>
      <c r="Q204">
        <v>60.4</v>
      </c>
    </row>
    <row r="205" spans="1:21" x14ac:dyDescent="0.35">
      <c r="A205" s="1">
        <v>45811</v>
      </c>
      <c r="B205" t="s">
        <v>59</v>
      </c>
      <c r="C205" t="s">
        <v>60</v>
      </c>
      <c r="D205" t="s">
        <v>61</v>
      </c>
      <c r="E205" t="s">
        <v>62</v>
      </c>
      <c r="F205">
        <v>437.43</v>
      </c>
      <c r="G205">
        <v>189.4</v>
      </c>
      <c r="H205">
        <v>88.42</v>
      </c>
      <c r="I205">
        <v>95.47</v>
      </c>
      <c r="J205">
        <v>85.11</v>
      </c>
      <c r="K205" t="s">
        <v>34</v>
      </c>
      <c r="L205">
        <v>9.3000000000000007</v>
      </c>
      <c r="N205" t="s">
        <v>35</v>
      </c>
      <c r="O205">
        <v>3</v>
      </c>
      <c r="P205" t="s">
        <v>23</v>
      </c>
      <c r="Q205">
        <v>76.400000000000006</v>
      </c>
      <c r="T205" t="s">
        <v>128</v>
      </c>
    </row>
    <row r="206" spans="1:21" x14ac:dyDescent="0.35">
      <c r="A206" s="1">
        <v>45811</v>
      </c>
      <c r="B206" t="s">
        <v>59</v>
      </c>
      <c r="C206" t="s">
        <v>60</v>
      </c>
      <c r="D206" t="s">
        <v>61</v>
      </c>
      <c r="E206" t="s">
        <v>62</v>
      </c>
      <c r="F206">
        <v>518.62</v>
      </c>
      <c r="G206">
        <v>170.2</v>
      </c>
      <c r="H206">
        <v>90.7</v>
      </c>
      <c r="I206">
        <v>93.73</v>
      </c>
      <c r="J206">
        <v>87.81</v>
      </c>
      <c r="K206" t="s">
        <v>34</v>
      </c>
      <c r="L206">
        <v>8.4</v>
      </c>
      <c r="N206" t="s">
        <v>35</v>
      </c>
      <c r="O206">
        <v>6</v>
      </c>
      <c r="P206" t="s">
        <v>23</v>
      </c>
      <c r="Q206">
        <v>75.2</v>
      </c>
      <c r="T206">
        <f>COUNTA(_xlfn.UNIQUE(C2:C2375))</f>
        <v>10</v>
      </c>
      <c r="U206">
        <f>T206</f>
        <v>10</v>
      </c>
    </row>
    <row r="207" spans="1:21" x14ac:dyDescent="0.35">
      <c r="A207" s="1">
        <v>45811</v>
      </c>
      <c r="B207" t="s">
        <v>76</v>
      </c>
      <c r="C207" t="s">
        <v>45</v>
      </c>
      <c r="D207" t="s">
        <v>77</v>
      </c>
      <c r="E207" t="s">
        <v>27</v>
      </c>
      <c r="F207">
        <v>426.66</v>
      </c>
      <c r="G207">
        <v>633</v>
      </c>
      <c r="H207">
        <v>94.92</v>
      </c>
      <c r="I207">
        <v>98.13</v>
      </c>
      <c r="J207">
        <v>84.47</v>
      </c>
      <c r="K207" t="s">
        <v>34</v>
      </c>
      <c r="L207">
        <v>8.8000000000000007</v>
      </c>
      <c r="M207">
        <v>3.2</v>
      </c>
      <c r="N207" t="s">
        <v>39</v>
      </c>
      <c r="O207">
        <v>12</v>
      </c>
      <c r="P207" t="s">
        <v>23</v>
      </c>
      <c r="Q207">
        <v>65.5</v>
      </c>
    </row>
    <row r="208" spans="1:21" x14ac:dyDescent="0.35">
      <c r="A208" s="1">
        <v>45811</v>
      </c>
      <c r="B208" t="s">
        <v>93</v>
      </c>
      <c r="C208" t="s">
        <v>37</v>
      </c>
      <c r="D208" t="s">
        <v>94</v>
      </c>
      <c r="E208" t="s">
        <v>27</v>
      </c>
      <c r="F208">
        <v>255.71</v>
      </c>
      <c r="G208">
        <v>55.8</v>
      </c>
      <c r="H208">
        <v>93.01</v>
      </c>
      <c r="I208">
        <v>95.59</v>
      </c>
      <c r="J208">
        <v>81.08</v>
      </c>
      <c r="K208" t="s">
        <v>28</v>
      </c>
      <c r="L208">
        <v>7.3</v>
      </c>
      <c r="M208">
        <v>2.7</v>
      </c>
      <c r="N208" t="s">
        <v>39</v>
      </c>
      <c r="O208">
        <v>9</v>
      </c>
      <c r="P208" t="s">
        <v>23</v>
      </c>
      <c r="Q208">
        <v>59.8</v>
      </c>
    </row>
    <row r="209" spans="1:17" x14ac:dyDescent="0.35">
      <c r="A209" s="1">
        <v>45811</v>
      </c>
      <c r="B209" t="s">
        <v>59</v>
      </c>
      <c r="C209" t="s">
        <v>60</v>
      </c>
      <c r="D209" t="s">
        <v>61</v>
      </c>
      <c r="E209" t="s">
        <v>62</v>
      </c>
      <c r="F209">
        <v>312.52</v>
      </c>
      <c r="G209">
        <v>188.8</v>
      </c>
      <c r="H209">
        <v>91.67</v>
      </c>
      <c r="I209">
        <v>95.73</v>
      </c>
      <c r="J209">
        <v>86.89</v>
      </c>
      <c r="K209" t="s">
        <v>63</v>
      </c>
      <c r="L209">
        <v>7.1</v>
      </c>
      <c r="N209" t="s">
        <v>35</v>
      </c>
      <c r="O209">
        <v>3</v>
      </c>
      <c r="P209" t="s">
        <v>23</v>
      </c>
      <c r="Q209">
        <v>73.099999999999994</v>
      </c>
    </row>
    <row r="210" spans="1:17" x14ac:dyDescent="0.35">
      <c r="A210" s="1">
        <v>45811</v>
      </c>
      <c r="B210" t="s">
        <v>24</v>
      </c>
      <c r="C210" t="s">
        <v>25</v>
      </c>
      <c r="D210" t="s">
        <v>26</v>
      </c>
      <c r="E210" t="s">
        <v>27</v>
      </c>
      <c r="F210">
        <v>739.32</v>
      </c>
      <c r="G210">
        <v>28.2</v>
      </c>
      <c r="H210">
        <v>92.54</v>
      </c>
      <c r="I210">
        <v>98.23</v>
      </c>
      <c r="J210">
        <v>82.48</v>
      </c>
      <c r="K210" t="s">
        <v>28</v>
      </c>
      <c r="L210">
        <v>8.8000000000000007</v>
      </c>
      <c r="M210">
        <v>3.7</v>
      </c>
      <c r="N210" t="s">
        <v>39</v>
      </c>
      <c r="O210">
        <v>8</v>
      </c>
      <c r="P210" t="s">
        <v>30</v>
      </c>
      <c r="Q210">
        <v>61.6</v>
      </c>
    </row>
    <row r="211" spans="1:17" x14ac:dyDescent="0.35">
      <c r="A211" s="1">
        <v>45811</v>
      </c>
      <c r="B211" t="s">
        <v>95</v>
      </c>
      <c r="C211" t="s">
        <v>49</v>
      </c>
      <c r="D211" t="s">
        <v>96</v>
      </c>
      <c r="E211" t="s">
        <v>33</v>
      </c>
      <c r="F211">
        <v>488.34</v>
      </c>
      <c r="G211">
        <v>227</v>
      </c>
      <c r="H211">
        <v>97.71</v>
      </c>
      <c r="I211">
        <v>96.1</v>
      </c>
      <c r="J211">
        <v>76.62</v>
      </c>
      <c r="K211" t="s">
        <v>28</v>
      </c>
      <c r="L211">
        <v>9.1999999999999993</v>
      </c>
      <c r="M211">
        <v>3.5</v>
      </c>
      <c r="N211" t="s">
        <v>22</v>
      </c>
      <c r="O211">
        <v>6</v>
      </c>
      <c r="P211" t="s">
        <v>23</v>
      </c>
      <c r="Q211">
        <v>64.7</v>
      </c>
    </row>
    <row r="212" spans="1:17" x14ac:dyDescent="0.35">
      <c r="A212" s="1">
        <v>45811</v>
      </c>
      <c r="B212" t="s">
        <v>66</v>
      </c>
      <c r="C212" t="s">
        <v>67</v>
      </c>
      <c r="D212" t="s">
        <v>68</v>
      </c>
      <c r="E212" t="s">
        <v>27</v>
      </c>
      <c r="F212">
        <v>502.51</v>
      </c>
      <c r="G212">
        <v>65.900000000000006</v>
      </c>
      <c r="H212">
        <v>92.14</v>
      </c>
      <c r="I212">
        <v>96.18</v>
      </c>
      <c r="J212">
        <v>81.569999999999993</v>
      </c>
      <c r="K212" t="s">
        <v>28</v>
      </c>
      <c r="L212">
        <v>8.9</v>
      </c>
      <c r="M212">
        <v>4.5</v>
      </c>
      <c r="N212" t="s">
        <v>39</v>
      </c>
      <c r="O212">
        <v>15</v>
      </c>
      <c r="P212" t="s">
        <v>23</v>
      </c>
      <c r="Q212">
        <v>61.5</v>
      </c>
    </row>
    <row r="213" spans="1:17" x14ac:dyDescent="0.35">
      <c r="A213" s="1">
        <v>45811</v>
      </c>
      <c r="B213" t="s">
        <v>91</v>
      </c>
      <c r="C213" t="s">
        <v>67</v>
      </c>
      <c r="D213" t="s">
        <v>92</v>
      </c>
      <c r="E213" t="s">
        <v>27</v>
      </c>
      <c r="F213">
        <v>559.22</v>
      </c>
      <c r="G213">
        <v>31.4</v>
      </c>
      <c r="H213">
        <v>97.83</v>
      </c>
      <c r="I213">
        <v>96.01</v>
      </c>
      <c r="J213">
        <v>83.75</v>
      </c>
      <c r="K213" t="s">
        <v>34</v>
      </c>
      <c r="L213">
        <v>9.1</v>
      </c>
      <c r="M213">
        <v>2.6</v>
      </c>
      <c r="N213" t="s">
        <v>29</v>
      </c>
      <c r="O213">
        <v>9</v>
      </c>
      <c r="P213" t="s">
        <v>23</v>
      </c>
      <c r="Q213">
        <v>63.7</v>
      </c>
    </row>
    <row r="214" spans="1:17" x14ac:dyDescent="0.35">
      <c r="A214" s="1">
        <v>45811</v>
      </c>
      <c r="B214" t="s">
        <v>55</v>
      </c>
      <c r="C214" t="s">
        <v>56</v>
      </c>
      <c r="D214">
        <v>4</v>
      </c>
      <c r="E214" t="s">
        <v>57</v>
      </c>
      <c r="F214">
        <v>30</v>
      </c>
      <c r="G214">
        <v>164.3</v>
      </c>
      <c r="H214">
        <v>86.52</v>
      </c>
      <c r="I214">
        <v>95.25</v>
      </c>
      <c r="J214">
        <v>78.09</v>
      </c>
      <c r="K214" t="s">
        <v>58</v>
      </c>
      <c r="L214">
        <v>7.3</v>
      </c>
      <c r="N214" t="s">
        <v>35</v>
      </c>
      <c r="O214">
        <v>3</v>
      </c>
      <c r="P214" t="s">
        <v>43</v>
      </c>
      <c r="Q214">
        <v>70.5</v>
      </c>
    </row>
    <row r="215" spans="1:17" x14ac:dyDescent="0.35">
      <c r="A215" s="1">
        <v>45811</v>
      </c>
      <c r="B215" t="s">
        <v>40</v>
      </c>
      <c r="C215" t="s">
        <v>41</v>
      </c>
      <c r="D215" t="s">
        <v>42</v>
      </c>
      <c r="E215" t="s">
        <v>27</v>
      </c>
      <c r="F215">
        <v>304.74</v>
      </c>
      <c r="G215">
        <v>34.9</v>
      </c>
      <c r="H215">
        <v>96.29</v>
      </c>
      <c r="I215">
        <v>97.86</v>
      </c>
      <c r="J215">
        <v>82.83</v>
      </c>
      <c r="K215" t="s">
        <v>28</v>
      </c>
      <c r="L215">
        <v>7.5</v>
      </c>
      <c r="M215">
        <v>2.2999999999999998</v>
      </c>
      <c r="N215" t="s">
        <v>39</v>
      </c>
      <c r="O215">
        <v>8</v>
      </c>
      <c r="P215" t="s">
        <v>43</v>
      </c>
      <c r="Q215">
        <v>61.2</v>
      </c>
    </row>
    <row r="216" spans="1:17" x14ac:dyDescent="0.35">
      <c r="A216" s="1">
        <v>45811</v>
      </c>
      <c r="B216" t="s">
        <v>93</v>
      </c>
      <c r="C216" t="s">
        <v>37</v>
      </c>
      <c r="D216" t="s">
        <v>94</v>
      </c>
      <c r="E216" t="s">
        <v>27</v>
      </c>
      <c r="F216">
        <v>205.3</v>
      </c>
      <c r="G216">
        <v>29.5</v>
      </c>
      <c r="H216">
        <v>92.49</v>
      </c>
      <c r="I216">
        <v>95.91</v>
      </c>
      <c r="J216">
        <v>78.98</v>
      </c>
      <c r="K216" t="s">
        <v>34</v>
      </c>
      <c r="L216">
        <v>7.2</v>
      </c>
      <c r="M216">
        <v>2.8</v>
      </c>
      <c r="N216" t="s">
        <v>39</v>
      </c>
      <c r="O216">
        <v>11</v>
      </c>
      <c r="P216" t="s">
        <v>23</v>
      </c>
      <c r="Q216">
        <v>58.6</v>
      </c>
    </row>
    <row r="217" spans="1:17" x14ac:dyDescent="0.35">
      <c r="A217" s="1">
        <v>45811</v>
      </c>
      <c r="B217" t="s">
        <v>24</v>
      </c>
      <c r="C217" t="s">
        <v>25</v>
      </c>
      <c r="D217" t="s">
        <v>26</v>
      </c>
      <c r="E217" t="s">
        <v>27</v>
      </c>
      <c r="F217">
        <v>313.44</v>
      </c>
      <c r="G217">
        <v>69</v>
      </c>
      <c r="H217">
        <v>92.88</v>
      </c>
      <c r="I217">
        <v>96.26</v>
      </c>
      <c r="J217">
        <v>82.62</v>
      </c>
      <c r="K217" t="s">
        <v>34</v>
      </c>
      <c r="L217">
        <v>8.1999999999999993</v>
      </c>
      <c r="M217">
        <v>3.8</v>
      </c>
      <c r="N217" t="s">
        <v>29</v>
      </c>
      <c r="O217">
        <v>9</v>
      </c>
      <c r="P217" t="s">
        <v>30</v>
      </c>
      <c r="Q217">
        <v>61.1</v>
      </c>
    </row>
    <row r="218" spans="1:17" x14ac:dyDescent="0.35">
      <c r="A218" s="1">
        <v>45811</v>
      </c>
      <c r="B218" t="s">
        <v>86</v>
      </c>
      <c r="C218" t="s">
        <v>25</v>
      </c>
      <c r="D218" t="s">
        <v>87</v>
      </c>
      <c r="E218" t="s">
        <v>27</v>
      </c>
      <c r="F218">
        <v>426.17</v>
      </c>
      <c r="G218">
        <v>63.1</v>
      </c>
      <c r="H218">
        <v>94.08</v>
      </c>
      <c r="I218">
        <v>96.83</v>
      </c>
      <c r="J218">
        <v>82.91</v>
      </c>
      <c r="K218" t="s">
        <v>47</v>
      </c>
      <c r="L218">
        <v>9.1999999999999993</v>
      </c>
      <c r="M218">
        <v>4</v>
      </c>
      <c r="N218" t="s">
        <v>29</v>
      </c>
      <c r="O218">
        <v>11</v>
      </c>
      <c r="P218" t="s">
        <v>30</v>
      </c>
      <c r="Q218">
        <v>62.9</v>
      </c>
    </row>
    <row r="219" spans="1:17" x14ac:dyDescent="0.35">
      <c r="A219" s="1">
        <v>45811</v>
      </c>
      <c r="B219" t="s">
        <v>89</v>
      </c>
      <c r="C219" t="s">
        <v>67</v>
      </c>
      <c r="D219" t="s">
        <v>90</v>
      </c>
      <c r="E219" t="s">
        <v>27</v>
      </c>
      <c r="F219">
        <v>395.7</v>
      </c>
      <c r="G219">
        <v>37.4</v>
      </c>
      <c r="H219">
        <v>93.96</v>
      </c>
      <c r="I219">
        <v>94.47</v>
      </c>
      <c r="J219">
        <v>78.069999999999993</v>
      </c>
      <c r="K219" t="s">
        <v>47</v>
      </c>
      <c r="L219">
        <v>7.3</v>
      </c>
      <c r="M219">
        <v>1.6</v>
      </c>
      <c r="N219" t="s">
        <v>39</v>
      </c>
      <c r="O219">
        <v>10</v>
      </c>
      <c r="P219" t="s">
        <v>43</v>
      </c>
      <c r="Q219">
        <v>59.6</v>
      </c>
    </row>
    <row r="220" spans="1:17" x14ac:dyDescent="0.35">
      <c r="A220" s="1">
        <v>45811</v>
      </c>
      <c r="B220" t="s">
        <v>95</v>
      </c>
      <c r="C220" t="s">
        <v>49</v>
      </c>
      <c r="D220" t="s">
        <v>96</v>
      </c>
      <c r="E220" t="s">
        <v>33</v>
      </c>
      <c r="F220">
        <v>389.55</v>
      </c>
      <c r="G220">
        <v>236.6</v>
      </c>
      <c r="H220">
        <v>96.25</v>
      </c>
      <c r="I220">
        <v>94.09</v>
      </c>
      <c r="J220">
        <v>76.62</v>
      </c>
      <c r="K220" t="s">
        <v>34</v>
      </c>
      <c r="L220">
        <v>7.5</v>
      </c>
      <c r="M220">
        <v>3.1</v>
      </c>
      <c r="N220" t="s">
        <v>35</v>
      </c>
      <c r="O220">
        <v>5</v>
      </c>
      <c r="P220" t="s">
        <v>43</v>
      </c>
      <c r="Q220">
        <v>61.6</v>
      </c>
    </row>
    <row r="221" spans="1:17" x14ac:dyDescent="0.35">
      <c r="A221" s="1">
        <v>45811</v>
      </c>
      <c r="B221" t="s">
        <v>78</v>
      </c>
      <c r="C221" t="s">
        <v>41</v>
      </c>
      <c r="D221" t="s">
        <v>79</v>
      </c>
      <c r="E221" t="s">
        <v>27</v>
      </c>
      <c r="F221">
        <v>459.39</v>
      </c>
      <c r="G221">
        <v>61.1</v>
      </c>
      <c r="H221">
        <v>96.13</v>
      </c>
      <c r="I221">
        <v>97.66</v>
      </c>
      <c r="J221">
        <v>82.65</v>
      </c>
      <c r="K221" t="s">
        <v>28</v>
      </c>
      <c r="L221">
        <v>8.5</v>
      </c>
      <c r="M221">
        <v>2.2000000000000002</v>
      </c>
      <c r="N221" t="s">
        <v>39</v>
      </c>
      <c r="O221">
        <v>11</v>
      </c>
      <c r="P221" t="s">
        <v>43</v>
      </c>
      <c r="Q221">
        <v>63.3</v>
      </c>
    </row>
    <row r="222" spans="1:17" x14ac:dyDescent="0.35">
      <c r="A222" s="1">
        <v>45811</v>
      </c>
      <c r="B222" t="s">
        <v>55</v>
      </c>
      <c r="C222" t="s">
        <v>56</v>
      </c>
      <c r="D222">
        <v>4</v>
      </c>
      <c r="E222" t="s">
        <v>57</v>
      </c>
      <c r="F222">
        <v>30</v>
      </c>
      <c r="G222">
        <v>134.9</v>
      </c>
      <c r="H222">
        <v>90.21</v>
      </c>
      <c r="I222">
        <v>95.11</v>
      </c>
      <c r="J222">
        <v>70.040000000000006</v>
      </c>
      <c r="K222" t="s">
        <v>58</v>
      </c>
      <c r="L222">
        <v>7</v>
      </c>
      <c r="N222" t="s">
        <v>35</v>
      </c>
      <c r="O222">
        <v>2</v>
      </c>
      <c r="P222" t="s">
        <v>23</v>
      </c>
      <c r="Q222">
        <v>68.3</v>
      </c>
    </row>
    <row r="223" spans="1:17" x14ac:dyDescent="0.35">
      <c r="A223" s="1">
        <v>45811</v>
      </c>
      <c r="B223" t="s">
        <v>55</v>
      </c>
      <c r="C223" t="s">
        <v>56</v>
      </c>
      <c r="D223">
        <v>4</v>
      </c>
      <c r="E223" t="s">
        <v>57</v>
      </c>
      <c r="F223">
        <v>30</v>
      </c>
      <c r="G223">
        <v>144.6</v>
      </c>
      <c r="H223">
        <v>88.54</v>
      </c>
      <c r="I223">
        <v>96.56</v>
      </c>
      <c r="J223">
        <v>78.12</v>
      </c>
      <c r="K223" t="s">
        <v>21</v>
      </c>
      <c r="L223">
        <v>6.1</v>
      </c>
      <c r="N223" t="s">
        <v>35</v>
      </c>
      <c r="O223">
        <v>3</v>
      </c>
      <c r="P223" t="s">
        <v>23</v>
      </c>
      <c r="Q223">
        <v>68.3</v>
      </c>
    </row>
    <row r="224" spans="1:17" x14ac:dyDescent="0.35">
      <c r="A224" s="1">
        <v>45811</v>
      </c>
      <c r="B224" t="s">
        <v>44</v>
      </c>
      <c r="C224" t="s">
        <v>45</v>
      </c>
      <c r="D224" t="s">
        <v>46</v>
      </c>
      <c r="E224" t="s">
        <v>33</v>
      </c>
      <c r="F224">
        <v>319.06</v>
      </c>
      <c r="G224">
        <v>386.7</v>
      </c>
      <c r="H224">
        <v>95.45</v>
      </c>
      <c r="I224">
        <v>98.17</v>
      </c>
      <c r="J224">
        <v>72.5</v>
      </c>
      <c r="K224" t="s">
        <v>28</v>
      </c>
      <c r="L224">
        <v>8.5</v>
      </c>
      <c r="M224">
        <v>4.4000000000000004</v>
      </c>
      <c r="N224" t="s">
        <v>22</v>
      </c>
      <c r="O224">
        <v>9</v>
      </c>
      <c r="P224" t="s">
        <v>23</v>
      </c>
      <c r="Q224">
        <v>62.3</v>
      </c>
    </row>
    <row r="225" spans="1:17" x14ac:dyDescent="0.35">
      <c r="A225" s="1">
        <v>45811</v>
      </c>
      <c r="B225" t="s">
        <v>101</v>
      </c>
      <c r="C225" t="s">
        <v>45</v>
      </c>
      <c r="D225" t="s">
        <v>102</v>
      </c>
      <c r="E225" t="s">
        <v>27</v>
      </c>
      <c r="F225">
        <v>775.49</v>
      </c>
      <c r="G225">
        <v>994.2</v>
      </c>
      <c r="H225">
        <v>92.38</v>
      </c>
      <c r="I225">
        <v>98.3</v>
      </c>
      <c r="J225">
        <v>76.430000000000007</v>
      </c>
      <c r="K225" t="s">
        <v>88</v>
      </c>
      <c r="L225">
        <v>8.9</v>
      </c>
      <c r="M225">
        <v>3.7</v>
      </c>
      <c r="N225" t="s">
        <v>29</v>
      </c>
      <c r="O225">
        <v>8</v>
      </c>
      <c r="P225" t="s">
        <v>23</v>
      </c>
      <c r="Q225">
        <v>63.6</v>
      </c>
    </row>
    <row r="226" spans="1:17" x14ac:dyDescent="0.35">
      <c r="A226" s="1">
        <v>45811</v>
      </c>
      <c r="B226" t="s">
        <v>24</v>
      </c>
      <c r="C226" t="s">
        <v>25</v>
      </c>
      <c r="D226" t="s">
        <v>26</v>
      </c>
      <c r="E226" t="s">
        <v>27</v>
      </c>
      <c r="F226">
        <v>301.52</v>
      </c>
      <c r="G226">
        <v>30.1</v>
      </c>
      <c r="H226">
        <v>97.79</v>
      </c>
      <c r="I226">
        <v>97.03</v>
      </c>
      <c r="J226">
        <v>77.739999999999995</v>
      </c>
      <c r="K226" t="s">
        <v>47</v>
      </c>
      <c r="L226">
        <v>7.2</v>
      </c>
      <c r="M226">
        <v>4.5</v>
      </c>
      <c r="N226" t="s">
        <v>29</v>
      </c>
      <c r="O226">
        <v>10</v>
      </c>
      <c r="P226" t="s">
        <v>30</v>
      </c>
      <c r="Q226">
        <v>58.4</v>
      </c>
    </row>
    <row r="227" spans="1:17" x14ac:dyDescent="0.35">
      <c r="A227" s="1">
        <v>45811</v>
      </c>
      <c r="B227" t="s">
        <v>78</v>
      </c>
      <c r="C227" t="s">
        <v>41</v>
      </c>
      <c r="D227" t="s">
        <v>79</v>
      </c>
      <c r="E227" t="s">
        <v>27</v>
      </c>
      <c r="F227">
        <v>554.82000000000005</v>
      </c>
      <c r="G227">
        <v>62.7</v>
      </c>
      <c r="H227">
        <v>92.49</v>
      </c>
      <c r="I227">
        <v>96.16</v>
      </c>
      <c r="J227">
        <v>83.89</v>
      </c>
      <c r="K227" t="s">
        <v>34</v>
      </c>
      <c r="L227">
        <v>8.3000000000000007</v>
      </c>
      <c r="M227">
        <v>1.8</v>
      </c>
      <c r="N227" t="s">
        <v>39</v>
      </c>
      <c r="O227">
        <v>14</v>
      </c>
      <c r="P227" t="s">
        <v>43</v>
      </c>
      <c r="Q227">
        <v>62.6</v>
      </c>
    </row>
    <row r="228" spans="1:17" x14ac:dyDescent="0.35">
      <c r="A228" s="1">
        <v>45811</v>
      </c>
      <c r="B228" t="s">
        <v>40</v>
      </c>
      <c r="C228" t="s">
        <v>41</v>
      </c>
      <c r="D228" t="s">
        <v>42</v>
      </c>
      <c r="E228" t="s">
        <v>27</v>
      </c>
      <c r="F228">
        <v>529.79</v>
      </c>
      <c r="G228">
        <v>27.7</v>
      </c>
      <c r="H228">
        <v>93.09</v>
      </c>
      <c r="I228">
        <v>96.98</v>
      </c>
      <c r="J228">
        <v>75.83</v>
      </c>
      <c r="K228" t="s">
        <v>28</v>
      </c>
      <c r="L228">
        <v>8.4</v>
      </c>
      <c r="M228">
        <v>3.6</v>
      </c>
      <c r="N228" t="s">
        <v>29</v>
      </c>
      <c r="O228">
        <v>15</v>
      </c>
      <c r="P228" t="s">
        <v>43</v>
      </c>
      <c r="Q228">
        <v>59.8</v>
      </c>
    </row>
    <row r="229" spans="1:17" x14ac:dyDescent="0.35">
      <c r="A229" s="1">
        <v>45811</v>
      </c>
      <c r="B229" t="s">
        <v>59</v>
      </c>
      <c r="C229" t="s">
        <v>60</v>
      </c>
      <c r="D229" t="s">
        <v>61</v>
      </c>
      <c r="E229" t="s">
        <v>62</v>
      </c>
      <c r="F229">
        <v>452.83</v>
      </c>
      <c r="G229">
        <v>170.1</v>
      </c>
      <c r="H229">
        <v>90.27</v>
      </c>
      <c r="I229">
        <v>93.14</v>
      </c>
      <c r="J229">
        <v>88.16</v>
      </c>
      <c r="K229" t="s">
        <v>63</v>
      </c>
      <c r="L229">
        <v>8.1</v>
      </c>
      <c r="N229" t="s">
        <v>35</v>
      </c>
      <c r="O229">
        <v>4</v>
      </c>
      <c r="P229" t="s">
        <v>23</v>
      </c>
      <c r="Q229">
        <v>74.5</v>
      </c>
    </row>
    <row r="230" spans="1:17" x14ac:dyDescent="0.35">
      <c r="A230" s="1">
        <v>45811</v>
      </c>
      <c r="B230" t="s">
        <v>71</v>
      </c>
      <c r="C230" t="s">
        <v>72</v>
      </c>
      <c r="D230" t="s">
        <v>73</v>
      </c>
      <c r="E230" t="s">
        <v>33</v>
      </c>
      <c r="F230">
        <v>137.66</v>
      </c>
      <c r="G230">
        <v>125.4</v>
      </c>
      <c r="H230">
        <v>93.63</v>
      </c>
      <c r="I230">
        <v>95.88</v>
      </c>
      <c r="J230">
        <v>71.400000000000006</v>
      </c>
      <c r="K230" t="s">
        <v>28</v>
      </c>
      <c r="L230">
        <v>7.3</v>
      </c>
      <c r="M230">
        <v>2.5</v>
      </c>
      <c r="N230" t="s">
        <v>35</v>
      </c>
      <c r="O230">
        <v>5</v>
      </c>
      <c r="P230" t="s">
        <v>23</v>
      </c>
      <c r="Q230">
        <v>59.8</v>
      </c>
    </row>
    <row r="231" spans="1:17" x14ac:dyDescent="0.35">
      <c r="A231" s="1">
        <v>45811</v>
      </c>
      <c r="B231" t="s">
        <v>53</v>
      </c>
      <c r="C231" t="s">
        <v>41</v>
      </c>
      <c r="D231" t="s">
        <v>54</v>
      </c>
      <c r="E231" t="s">
        <v>27</v>
      </c>
      <c r="F231">
        <v>635.29999999999995</v>
      </c>
      <c r="G231">
        <v>68.900000000000006</v>
      </c>
      <c r="H231">
        <v>93</v>
      </c>
      <c r="I231">
        <v>97.17</v>
      </c>
      <c r="J231">
        <v>80.430000000000007</v>
      </c>
      <c r="K231" t="s">
        <v>34</v>
      </c>
      <c r="L231">
        <v>9.4</v>
      </c>
      <c r="M231">
        <v>2.5</v>
      </c>
      <c r="N231" t="s">
        <v>39</v>
      </c>
      <c r="O231">
        <v>13</v>
      </c>
      <c r="P231" t="s">
        <v>43</v>
      </c>
      <c r="Q231">
        <v>63.8</v>
      </c>
    </row>
    <row r="232" spans="1:17" x14ac:dyDescent="0.35">
      <c r="A232" s="1">
        <v>45811</v>
      </c>
      <c r="B232" t="s">
        <v>80</v>
      </c>
      <c r="C232" t="s">
        <v>45</v>
      </c>
      <c r="D232" t="s">
        <v>81</v>
      </c>
      <c r="E232" t="s">
        <v>33</v>
      </c>
      <c r="F232">
        <v>238.04</v>
      </c>
      <c r="G232">
        <v>448.3</v>
      </c>
      <c r="H232">
        <v>93.83</v>
      </c>
      <c r="I232">
        <v>99.17</v>
      </c>
      <c r="J232">
        <v>70.010000000000005</v>
      </c>
      <c r="K232" t="s">
        <v>47</v>
      </c>
      <c r="L232">
        <v>7.3</v>
      </c>
      <c r="M232">
        <v>3.8</v>
      </c>
      <c r="N232" t="s">
        <v>22</v>
      </c>
      <c r="O232">
        <v>6</v>
      </c>
      <c r="P232" t="s">
        <v>23</v>
      </c>
      <c r="Q232">
        <v>60.1</v>
      </c>
    </row>
    <row r="233" spans="1:17" x14ac:dyDescent="0.35">
      <c r="A233" s="1">
        <v>45811</v>
      </c>
      <c r="B233" t="s">
        <v>89</v>
      </c>
      <c r="C233" t="s">
        <v>67</v>
      </c>
      <c r="D233" t="s">
        <v>90</v>
      </c>
      <c r="E233" t="s">
        <v>27</v>
      </c>
      <c r="F233">
        <v>547.87</v>
      </c>
      <c r="G233">
        <v>49.1</v>
      </c>
      <c r="H233">
        <v>96.81</v>
      </c>
      <c r="I233">
        <v>93.6</v>
      </c>
      <c r="J233">
        <v>78.16</v>
      </c>
      <c r="K233" t="s">
        <v>47</v>
      </c>
      <c r="L233">
        <v>9.3000000000000007</v>
      </c>
      <c r="M233">
        <v>2</v>
      </c>
      <c r="N233" t="s">
        <v>39</v>
      </c>
      <c r="O233">
        <v>13</v>
      </c>
      <c r="P233" t="s">
        <v>43</v>
      </c>
      <c r="Q233">
        <v>63.2</v>
      </c>
    </row>
    <row r="234" spans="1:17" x14ac:dyDescent="0.35">
      <c r="A234" s="1">
        <v>45811</v>
      </c>
      <c r="B234" t="s">
        <v>51</v>
      </c>
      <c r="C234" t="s">
        <v>45</v>
      </c>
      <c r="D234" t="s">
        <v>52</v>
      </c>
      <c r="E234" t="s">
        <v>33</v>
      </c>
      <c r="F234">
        <v>153.94</v>
      </c>
      <c r="G234">
        <v>664.1</v>
      </c>
      <c r="H234">
        <v>96.26</v>
      </c>
      <c r="I234">
        <v>98.17</v>
      </c>
      <c r="J234">
        <v>72.849999999999994</v>
      </c>
      <c r="K234" t="s">
        <v>88</v>
      </c>
      <c r="L234">
        <v>6.8</v>
      </c>
      <c r="M234">
        <v>4.0999999999999996</v>
      </c>
      <c r="N234" t="s">
        <v>22</v>
      </c>
      <c r="O234">
        <v>6</v>
      </c>
      <c r="P234" t="s">
        <v>23</v>
      </c>
      <c r="Q234">
        <v>59.8</v>
      </c>
    </row>
    <row r="235" spans="1:17" x14ac:dyDescent="0.35">
      <c r="A235" s="1">
        <v>45811</v>
      </c>
      <c r="B235" t="s">
        <v>17</v>
      </c>
      <c r="C235" t="s">
        <v>18</v>
      </c>
      <c r="D235" t="s">
        <v>19</v>
      </c>
      <c r="E235" t="s">
        <v>20</v>
      </c>
      <c r="F235">
        <v>126.73</v>
      </c>
      <c r="G235">
        <v>157.4</v>
      </c>
      <c r="H235">
        <v>94.87</v>
      </c>
      <c r="I235">
        <v>95.54</v>
      </c>
      <c r="J235">
        <v>77.94</v>
      </c>
      <c r="K235" t="s">
        <v>63</v>
      </c>
      <c r="L235">
        <v>7.8</v>
      </c>
      <c r="N235" t="s">
        <v>22</v>
      </c>
      <c r="O235">
        <v>8</v>
      </c>
      <c r="P235" t="s">
        <v>23</v>
      </c>
      <c r="Q235">
        <v>73</v>
      </c>
    </row>
    <row r="236" spans="1:17" x14ac:dyDescent="0.35">
      <c r="A236" s="1">
        <v>45811</v>
      </c>
      <c r="B236" t="s">
        <v>17</v>
      </c>
      <c r="C236" t="s">
        <v>18</v>
      </c>
      <c r="D236" t="s">
        <v>19</v>
      </c>
      <c r="E236" t="s">
        <v>20</v>
      </c>
      <c r="F236">
        <v>88.64</v>
      </c>
      <c r="G236">
        <v>74.400000000000006</v>
      </c>
      <c r="H236">
        <v>88.87</v>
      </c>
      <c r="I236">
        <v>94.59</v>
      </c>
      <c r="J236">
        <v>73.540000000000006</v>
      </c>
      <c r="K236" t="s">
        <v>21</v>
      </c>
      <c r="L236">
        <v>6.4</v>
      </c>
      <c r="N236" t="s">
        <v>22</v>
      </c>
      <c r="O236">
        <v>10</v>
      </c>
      <c r="P236" t="s">
        <v>23</v>
      </c>
      <c r="Q236">
        <v>66</v>
      </c>
    </row>
    <row r="237" spans="1:17" x14ac:dyDescent="0.35">
      <c r="A237" s="1">
        <v>45811</v>
      </c>
      <c r="B237" t="s">
        <v>97</v>
      </c>
      <c r="C237" t="s">
        <v>72</v>
      </c>
      <c r="D237" t="s">
        <v>98</v>
      </c>
      <c r="E237" t="s">
        <v>27</v>
      </c>
      <c r="F237">
        <v>292.66000000000003</v>
      </c>
      <c r="G237">
        <v>59.5</v>
      </c>
      <c r="H237">
        <v>93.91</v>
      </c>
      <c r="I237">
        <v>93.49</v>
      </c>
      <c r="J237">
        <v>80.760000000000005</v>
      </c>
      <c r="K237" t="s">
        <v>28</v>
      </c>
      <c r="L237">
        <v>8.1999999999999993</v>
      </c>
      <c r="M237">
        <v>2.2999999999999998</v>
      </c>
      <c r="N237" t="s">
        <v>29</v>
      </c>
      <c r="O237">
        <v>9</v>
      </c>
      <c r="P237" t="s">
        <v>23</v>
      </c>
      <c r="Q237">
        <v>61.3</v>
      </c>
    </row>
    <row r="238" spans="1:17" x14ac:dyDescent="0.35">
      <c r="A238" s="1">
        <v>45811</v>
      </c>
      <c r="B238" t="s">
        <v>86</v>
      </c>
      <c r="C238" t="s">
        <v>25</v>
      </c>
      <c r="D238" t="s">
        <v>87</v>
      </c>
      <c r="E238" t="s">
        <v>27</v>
      </c>
      <c r="F238">
        <v>234.69</v>
      </c>
      <c r="G238">
        <v>34.200000000000003</v>
      </c>
      <c r="H238">
        <v>97.78</v>
      </c>
      <c r="I238">
        <v>96.34</v>
      </c>
      <c r="J238">
        <v>77.58</v>
      </c>
      <c r="K238" t="s">
        <v>34</v>
      </c>
      <c r="L238">
        <v>8.5</v>
      </c>
      <c r="M238">
        <v>2.5</v>
      </c>
      <c r="N238" t="s">
        <v>39</v>
      </c>
      <c r="O238">
        <v>9</v>
      </c>
      <c r="P238" t="s">
        <v>30</v>
      </c>
      <c r="Q238">
        <v>61.8</v>
      </c>
    </row>
    <row r="239" spans="1:17" x14ac:dyDescent="0.35">
      <c r="A239" s="1">
        <v>45811</v>
      </c>
      <c r="B239" t="s">
        <v>64</v>
      </c>
      <c r="C239" t="s">
        <v>25</v>
      </c>
      <c r="D239" t="s">
        <v>65</v>
      </c>
      <c r="E239" t="s">
        <v>27</v>
      </c>
      <c r="F239">
        <v>277.20999999999998</v>
      </c>
      <c r="G239">
        <v>40.200000000000003</v>
      </c>
      <c r="H239">
        <v>97.07</v>
      </c>
      <c r="I239">
        <v>96.19</v>
      </c>
      <c r="J239">
        <v>81.7</v>
      </c>
      <c r="K239" t="s">
        <v>28</v>
      </c>
      <c r="L239">
        <v>8</v>
      </c>
      <c r="M239">
        <v>4.5999999999999996</v>
      </c>
      <c r="N239" t="s">
        <v>39</v>
      </c>
      <c r="O239">
        <v>11</v>
      </c>
      <c r="P239" t="s">
        <v>30</v>
      </c>
      <c r="Q239">
        <v>60.2</v>
      </c>
    </row>
    <row r="240" spans="1:17" x14ac:dyDescent="0.35">
      <c r="A240" s="1">
        <v>45811</v>
      </c>
      <c r="B240" t="s">
        <v>59</v>
      </c>
      <c r="C240" t="s">
        <v>60</v>
      </c>
      <c r="D240" t="s">
        <v>61</v>
      </c>
      <c r="E240" t="s">
        <v>62</v>
      </c>
      <c r="F240">
        <v>356.28</v>
      </c>
      <c r="G240">
        <v>181.4</v>
      </c>
      <c r="H240">
        <v>87.13</v>
      </c>
      <c r="I240">
        <v>93.49</v>
      </c>
      <c r="J240">
        <v>88.93</v>
      </c>
      <c r="K240" t="s">
        <v>63</v>
      </c>
      <c r="L240">
        <v>7</v>
      </c>
      <c r="N240" t="s">
        <v>35</v>
      </c>
      <c r="O240">
        <v>3</v>
      </c>
      <c r="P240" t="s">
        <v>43</v>
      </c>
      <c r="Q240">
        <v>71.900000000000006</v>
      </c>
    </row>
    <row r="241" spans="1:17" x14ac:dyDescent="0.35">
      <c r="A241" s="1">
        <v>45811</v>
      </c>
      <c r="B241" t="s">
        <v>71</v>
      </c>
      <c r="C241" t="s">
        <v>72</v>
      </c>
      <c r="D241" t="s">
        <v>73</v>
      </c>
      <c r="E241" t="s">
        <v>33</v>
      </c>
      <c r="F241">
        <v>93</v>
      </c>
      <c r="G241">
        <v>193.1</v>
      </c>
      <c r="H241">
        <v>95.61</v>
      </c>
      <c r="I241">
        <v>93.75</v>
      </c>
      <c r="J241">
        <v>77.260000000000005</v>
      </c>
      <c r="K241" t="s">
        <v>34</v>
      </c>
      <c r="L241">
        <v>7.6</v>
      </c>
      <c r="M241">
        <v>2.7</v>
      </c>
      <c r="N241" t="s">
        <v>22</v>
      </c>
      <c r="O241">
        <v>9</v>
      </c>
      <c r="P241" t="s">
        <v>23</v>
      </c>
      <c r="Q241">
        <v>62</v>
      </c>
    </row>
    <row r="242" spans="1:17" x14ac:dyDescent="0.35">
      <c r="A242" s="1">
        <v>45811</v>
      </c>
      <c r="B242" t="s">
        <v>97</v>
      </c>
      <c r="C242" t="s">
        <v>72</v>
      </c>
      <c r="D242" t="s">
        <v>98</v>
      </c>
      <c r="E242" t="s">
        <v>33</v>
      </c>
      <c r="F242">
        <v>278.77999999999997</v>
      </c>
      <c r="G242">
        <v>157.9</v>
      </c>
      <c r="H242">
        <v>95.42</v>
      </c>
      <c r="I242">
        <v>95.29</v>
      </c>
      <c r="J242">
        <v>70.94</v>
      </c>
      <c r="K242" t="s">
        <v>34</v>
      </c>
      <c r="L242">
        <v>7.5</v>
      </c>
      <c r="M242">
        <v>2</v>
      </c>
      <c r="N242" t="s">
        <v>35</v>
      </c>
      <c r="O242">
        <v>9</v>
      </c>
      <c r="P242" t="s">
        <v>43</v>
      </c>
      <c r="Q242">
        <v>61.2</v>
      </c>
    </row>
    <row r="243" spans="1:17" x14ac:dyDescent="0.35">
      <c r="A243" s="1">
        <v>45811</v>
      </c>
      <c r="B243" t="s">
        <v>40</v>
      </c>
      <c r="C243" t="s">
        <v>41</v>
      </c>
      <c r="D243" t="s">
        <v>42</v>
      </c>
      <c r="E243" t="s">
        <v>27</v>
      </c>
      <c r="F243">
        <v>449.33</v>
      </c>
      <c r="G243">
        <v>27.7</v>
      </c>
      <c r="H243">
        <v>95.51</v>
      </c>
      <c r="I243">
        <v>98.24</v>
      </c>
      <c r="J243">
        <v>80.459999999999994</v>
      </c>
      <c r="K243" t="s">
        <v>34</v>
      </c>
      <c r="L243">
        <v>8.6</v>
      </c>
      <c r="M243">
        <v>3.1</v>
      </c>
      <c r="N243" t="s">
        <v>29</v>
      </c>
      <c r="O243">
        <v>11</v>
      </c>
      <c r="P243" t="s">
        <v>43</v>
      </c>
      <c r="Q243">
        <v>61.9</v>
      </c>
    </row>
    <row r="244" spans="1:17" x14ac:dyDescent="0.35">
      <c r="A244" s="1">
        <v>45811</v>
      </c>
      <c r="B244" t="s">
        <v>59</v>
      </c>
      <c r="C244" t="s">
        <v>60</v>
      </c>
      <c r="D244" t="s">
        <v>61</v>
      </c>
      <c r="E244" t="s">
        <v>62</v>
      </c>
      <c r="F244">
        <v>488.42</v>
      </c>
      <c r="G244">
        <v>183.6</v>
      </c>
      <c r="H244">
        <v>90.13</v>
      </c>
      <c r="I244">
        <v>96.85</v>
      </c>
      <c r="J244">
        <v>87.03</v>
      </c>
      <c r="K244" t="s">
        <v>63</v>
      </c>
      <c r="L244">
        <v>8.5</v>
      </c>
      <c r="N244" t="s">
        <v>35</v>
      </c>
      <c r="O244">
        <v>5</v>
      </c>
      <c r="P244" t="s">
        <v>23</v>
      </c>
      <c r="Q244">
        <v>75.8</v>
      </c>
    </row>
    <row r="245" spans="1:17" x14ac:dyDescent="0.35">
      <c r="A245" s="1">
        <v>45811</v>
      </c>
      <c r="B245" t="s">
        <v>64</v>
      </c>
      <c r="C245" t="s">
        <v>25</v>
      </c>
      <c r="D245" t="s">
        <v>65</v>
      </c>
      <c r="E245" t="s">
        <v>27</v>
      </c>
      <c r="F245">
        <v>465.74</v>
      </c>
      <c r="G245">
        <v>65.5</v>
      </c>
      <c r="H245">
        <v>97.11</v>
      </c>
      <c r="I245">
        <v>98.47</v>
      </c>
      <c r="J245">
        <v>76.25</v>
      </c>
      <c r="K245" t="s">
        <v>28</v>
      </c>
      <c r="L245">
        <v>8.5</v>
      </c>
      <c r="M245">
        <v>4.8</v>
      </c>
      <c r="N245" t="s">
        <v>29</v>
      </c>
      <c r="O245">
        <v>14</v>
      </c>
      <c r="P245" t="s">
        <v>30</v>
      </c>
      <c r="Q245">
        <v>60.9</v>
      </c>
    </row>
    <row r="246" spans="1:17" x14ac:dyDescent="0.35">
      <c r="A246" s="1">
        <v>45811</v>
      </c>
      <c r="B246" t="s">
        <v>44</v>
      </c>
      <c r="C246" t="s">
        <v>45</v>
      </c>
      <c r="D246" t="s">
        <v>46</v>
      </c>
      <c r="E246" t="s">
        <v>33</v>
      </c>
      <c r="F246">
        <v>198.88</v>
      </c>
      <c r="G246">
        <v>551</v>
      </c>
      <c r="H246">
        <v>95.37</v>
      </c>
      <c r="I246">
        <v>99.15</v>
      </c>
      <c r="J246">
        <v>77.650000000000006</v>
      </c>
      <c r="K246" t="s">
        <v>28</v>
      </c>
      <c r="L246">
        <v>7.7</v>
      </c>
      <c r="M246">
        <v>3.9</v>
      </c>
      <c r="N246" t="s">
        <v>35</v>
      </c>
      <c r="O246">
        <v>8</v>
      </c>
      <c r="P246" t="s">
        <v>23</v>
      </c>
      <c r="Q246">
        <v>62.3</v>
      </c>
    </row>
    <row r="247" spans="1:17" x14ac:dyDescent="0.35">
      <c r="A247" s="1">
        <v>45811</v>
      </c>
      <c r="B247" t="s">
        <v>76</v>
      </c>
      <c r="C247" t="s">
        <v>45</v>
      </c>
      <c r="D247" t="s">
        <v>77</v>
      </c>
      <c r="E247" t="s">
        <v>33</v>
      </c>
      <c r="F247">
        <v>616.55999999999995</v>
      </c>
      <c r="G247">
        <v>409</v>
      </c>
      <c r="H247">
        <v>93.31</v>
      </c>
      <c r="I247">
        <v>99.35</v>
      </c>
      <c r="J247">
        <v>72.790000000000006</v>
      </c>
      <c r="K247" t="s">
        <v>34</v>
      </c>
      <c r="L247">
        <v>8.9</v>
      </c>
      <c r="M247">
        <v>3.8</v>
      </c>
      <c r="N247" t="s">
        <v>35</v>
      </c>
      <c r="O247">
        <v>10</v>
      </c>
      <c r="P247" t="s">
        <v>23</v>
      </c>
      <c r="Q247">
        <v>63.2</v>
      </c>
    </row>
    <row r="248" spans="1:17" x14ac:dyDescent="0.35">
      <c r="A248" s="1">
        <v>45811</v>
      </c>
      <c r="B248" t="s">
        <v>55</v>
      </c>
      <c r="C248" t="s">
        <v>56</v>
      </c>
      <c r="D248">
        <v>4</v>
      </c>
      <c r="E248" t="s">
        <v>57</v>
      </c>
      <c r="F248">
        <v>30</v>
      </c>
      <c r="G248">
        <v>130.1</v>
      </c>
      <c r="H248">
        <v>87.28</v>
      </c>
      <c r="I248">
        <v>93.93</v>
      </c>
      <c r="J248">
        <v>78.72</v>
      </c>
      <c r="K248" t="s">
        <v>63</v>
      </c>
      <c r="L248">
        <v>7.3</v>
      </c>
      <c r="N248" t="s">
        <v>35</v>
      </c>
      <c r="O248">
        <v>5</v>
      </c>
      <c r="P248" t="s">
        <v>23</v>
      </c>
      <c r="Q248">
        <v>69.7</v>
      </c>
    </row>
    <row r="249" spans="1:17" x14ac:dyDescent="0.35">
      <c r="A249" s="1">
        <v>45811</v>
      </c>
      <c r="B249" t="s">
        <v>95</v>
      </c>
      <c r="C249" t="s">
        <v>49</v>
      </c>
      <c r="D249" t="s">
        <v>96</v>
      </c>
      <c r="E249" t="s">
        <v>33</v>
      </c>
      <c r="F249">
        <v>280.10000000000002</v>
      </c>
      <c r="G249">
        <v>206.8</v>
      </c>
      <c r="H249">
        <v>93.53</v>
      </c>
      <c r="I249">
        <v>95.34</v>
      </c>
      <c r="J249">
        <v>74.61</v>
      </c>
      <c r="K249" t="s">
        <v>28</v>
      </c>
      <c r="L249">
        <v>8.1</v>
      </c>
      <c r="M249">
        <v>4.0999999999999996</v>
      </c>
      <c r="N249" t="s">
        <v>35</v>
      </c>
      <c r="O249">
        <v>6</v>
      </c>
      <c r="P249" t="s">
        <v>23</v>
      </c>
      <c r="Q249">
        <v>61.3</v>
      </c>
    </row>
    <row r="250" spans="1:17" x14ac:dyDescent="0.35">
      <c r="A250" s="1">
        <v>45811</v>
      </c>
      <c r="B250" t="s">
        <v>55</v>
      </c>
      <c r="C250" t="s">
        <v>56</v>
      </c>
      <c r="D250">
        <v>4</v>
      </c>
      <c r="E250" t="s">
        <v>57</v>
      </c>
      <c r="F250">
        <v>30</v>
      </c>
      <c r="G250">
        <v>145.6</v>
      </c>
      <c r="H250">
        <v>91.49</v>
      </c>
      <c r="I250">
        <v>96.62</v>
      </c>
      <c r="J250">
        <v>77.41</v>
      </c>
      <c r="K250" t="s">
        <v>63</v>
      </c>
      <c r="L250">
        <v>7.3</v>
      </c>
      <c r="N250" t="s">
        <v>35</v>
      </c>
      <c r="O250">
        <v>3</v>
      </c>
      <c r="P250" t="s">
        <v>43</v>
      </c>
      <c r="Q250">
        <v>71.2</v>
      </c>
    </row>
    <row r="251" spans="1:17" x14ac:dyDescent="0.35">
      <c r="A251" s="1">
        <v>45811</v>
      </c>
      <c r="B251" t="s">
        <v>59</v>
      </c>
      <c r="C251" t="s">
        <v>60</v>
      </c>
      <c r="D251" t="s">
        <v>61</v>
      </c>
      <c r="E251" t="s">
        <v>62</v>
      </c>
      <c r="F251">
        <v>509.77</v>
      </c>
      <c r="G251">
        <v>190.5</v>
      </c>
      <c r="H251">
        <v>85.72</v>
      </c>
      <c r="I251">
        <v>93.9</v>
      </c>
      <c r="J251">
        <v>90.78</v>
      </c>
      <c r="K251" t="s">
        <v>63</v>
      </c>
      <c r="L251">
        <v>8.1999999999999993</v>
      </c>
      <c r="N251" t="s">
        <v>35</v>
      </c>
      <c r="O251">
        <v>5</v>
      </c>
      <c r="P251" t="s">
        <v>23</v>
      </c>
      <c r="Q251">
        <v>74.5</v>
      </c>
    </row>
    <row r="252" spans="1:17" x14ac:dyDescent="0.35">
      <c r="A252" s="1">
        <v>45811</v>
      </c>
      <c r="B252" t="s">
        <v>44</v>
      </c>
      <c r="C252" t="s">
        <v>45</v>
      </c>
      <c r="D252" t="s">
        <v>46</v>
      </c>
      <c r="E252" t="s">
        <v>27</v>
      </c>
      <c r="F252">
        <v>152.26</v>
      </c>
      <c r="G252">
        <v>620</v>
      </c>
      <c r="H252">
        <v>93.4</v>
      </c>
      <c r="I252">
        <v>98.07</v>
      </c>
      <c r="J252">
        <v>75.790000000000006</v>
      </c>
      <c r="K252" t="s">
        <v>34</v>
      </c>
      <c r="L252">
        <v>7.3</v>
      </c>
      <c r="M252">
        <v>2.2000000000000002</v>
      </c>
      <c r="N252" t="s">
        <v>39</v>
      </c>
      <c r="O252">
        <v>15</v>
      </c>
      <c r="P252" t="s">
        <v>23</v>
      </c>
      <c r="Q252">
        <v>61.9</v>
      </c>
    </row>
    <row r="253" spans="1:17" x14ac:dyDescent="0.35">
      <c r="A253" s="1">
        <v>45811</v>
      </c>
      <c r="B253" t="s">
        <v>89</v>
      </c>
      <c r="C253" t="s">
        <v>67</v>
      </c>
      <c r="D253" t="s">
        <v>90</v>
      </c>
      <c r="E253" t="s">
        <v>27</v>
      </c>
      <c r="F253">
        <v>322.67</v>
      </c>
      <c r="G253">
        <v>31.2</v>
      </c>
      <c r="H253">
        <v>94.88</v>
      </c>
      <c r="I253">
        <v>93.85</v>
      </c>
      <c r="J253">
        <v>81.64</v>
      </c>
      <c r="K253" t="s">
        <v>34</v>
      </c>
      <c r="L253">
        <v>7.7</v>
      </c>
      <c r="M253">
        <v>1.8</v>
      </c>
      <c r="N253" t="s">
        <v>29</v>
      </c>
      <c r="O253">
        <v>9</v>
      </c>
      <c r="P253" t="s">
        <v>43</v>
      </c>
      <c r="Q253">
        <v>60.6</v>
      </c>
    </row>
    <row r="254" spans="1:17" x14ac:dyDescent="0.35">
      <c r="A254" s="1">
        <v>45811</v>
      </c>
      <c r="B254" t="s">
        <v>59</v>
      </c>
      <c r="C254" t="s">
        <v>60</v>
      </c>
      <c r="D254" t="s">
        <v>61</v>
      </c>
      <c r="E254" t="s">
        <v>62</v>
      </c>
      <c r="F254">
        <v>396.22</v>
      </c>
      <c r="G254">
        <v>176.3</v>
      </c>
      <c r="H254">
        <v>87.67</v>
      </c>
      <c r="I254">
        <v>94.96</v>
      </c>
      <c r="J254">
        <v>90.07</v>
      </c>
      <c r="K254" t="s">
        <v>34</v>
      </c>
      <c r="L254">
        <v>7.1</v>
      </c>
      <c r="N254" t="s">
        <v>35</v>
      </c>
      <c r="O254">
        <v>5</v>
      </c>
      <c r="P254" t="s">
        <v>23</v>
      </c>
      <c r="Q254">
        <v>72.7</v>
      </c>
    </row>
    <row r="255" spans="1:17" x14ac:dyDescent="0.35">
      <c r="A255" s="1">
        <v>45811</v>
      </c>
      <c r="B255" t="s">
        <v>95</v>
      </c>
      <c r="C255" t="s">
        <v>49</v>
      </c>
      <c r="D255" t="s">
        <v>96</v>
      </c>
      <c r="E255" t="s">
        <v>27</v>
      </c>
      <c r="F255">
        <v>389.99</v>
      </c>
      <c r="G255">
        <v>51.5</v>
      </c>
      <c r="H255">
        <v>96.07</v>
      </c>
      <c r="I255">
        <v>95.88</v>
      </c>
      <c r="J255">
        <v>81.59</v>
      </c>
      <c r="K255" t="s">
        <v>47</v>
      </c>
      <c r="L255">
        <v>7.9</v>
      </c>
      <c r="M255">
        <v>4.7</v>
      </c>
      <c r="N255" t="s">
        <v>39</v>
      </c>
      <c r="O255">
        <v>12</v>
      </c>
      <c r="P255" t="s">
        <v>23</v>
      </c>
      <c r="Q255">
        <v>60</v>
      </c>
    </row>
    <row r="256" spans="1:17" x14ac:dyDescent="0.35">
      <c r="A256" s="1">
        <v>45811</v>
      </c>
      <c r="B256" t="s">
        <v>24</v>
      </c>
      <c r="C256" t="s">
        <v>25</v>
      </c>
      <c r="D256" t="s">
        <v>26</v>
      </c>
      <c r="E256" t="s">
        <v>27</v>
      </c>
      <c r="F256">
        <v>390.7</v>
      </c>
      <c r="G256">
        <v>47.4</v>
      </c>
      <c r="H256">
        <v>93.52</v>
      </c>
      <c r="I256">
        <v>97.68</v>
      </c>
      <c r="J256">
        <v>79.37</v>
      </c>
      <c r="K256" t="s">
        <v>28</v>
      </c>
      <c r="L256">
        <v>7.2</v>
      </c>
      <c r="M256">
        <v>3.6</v>
      </c>
      <c r="N256" t="s">
        <v>29</v>
      </c>
      <c r="O256">
        <v>11</v>
      </c>
      <c r="P256" t="s">
        <v>30</v>
      </c>
      <c r="Q256">
        <v>59</v>
      </c>
    </row>
    <row r="257" spans="1:17" x14ac:dyDescent="0.35">
      <c r="A257" s="1">
        <v>45811</v>
      </c>
      <c r="B257" t="s">
        <v>93</v>
      </c>
      <c r="C257" t="s">
        <v>37</v>
      </c>
      <c r="D257" t="s">
        <v>94</v>
      </c>
      <c r="E257" t="s">
        <v>27</v>
      </c>
      <c r="F257">
        <v>285.27</v>
      </c>
      <c r="G257">
        <v>32.4</v>
      </c>
      <c r="H257">
        <v>92.1</v>
      </c>
      <c r="I257">
        <v>95.85</v>
      </c>
      <c r="J257">
        <v>76.52</v>
      </c>
      <c r="K257" t="s">
        <v>34</v>
      </c>
      <c r="L257">
        <v>8.4</v>
      </c>
      <c r="M257">
        <v>5</v>
      </c>
      <c r="N257" t="s">
        <v>29</v>
      </c>
      <c r="O257">
        <v>13</v>
      </c>
      <c r="P257" t="s">
        <v>23</v>
      </c>
      <c r="Q257">
        <v>58.7</v>
      </c>
    </row>
    <row r="258" spans="1:17" x14ac:dyDescent="0.35">
      <c r="A258" s="1">
        <v>45811</v>
      </c>
      <c r="B258" t="s">
        <v>86</v>
      </c>
      <c r="C258" t="s">
        <v>25</v>
      </c>
      <c r="D258" t="s">
        <v>87</v>
      </c>
      <c r="E258" t="s">
        <v>27</v>
      </c>
      <c r="F258">
        <v>694.31</v>
      </c>
      <c r="G258">
        <v>61.1</v>
      </c>
      <c r="H258">
        <v>94.04</v>
      </c>
      <c r="I258">
        <v>96.34</v>
      </c>
      <c r="J258">
        <v>80.09</v>
      </c>
      <c r="K258" t="s">
        <v>34</v>
      </c>
      <c r="L258">
        <v>8.3000000000000007</v>
      </c>
      <c r="M258">
        <v>2.5</v>
      </c>
      <c r="N258" t="s">
        <v>29</v>
      </c>
      <c r="O258">
        <v>14</v>
      </c>
      <c r="P258" t="s">
        <v>30</v>
      </c>
      <c r="Q258">
        <v>61.8</v>
      </c>
    </row>
    <row r="259" spans="1:17" x14ac:dyDescent="0.35">
      <c r="A259" s="1">
        <v>45811</v>
      </c>
      <c r="B259" t="s">
        <v>40</v>
      </c>
      <c r="C259" t="s">
        <v>41</v>
      </c>
      <c r="D259" t="s">
        <v>42</v>
      </c>
      <c r="E259" t="s">
        <v>27</v>
      </c>
      <c r="F259">
        <v>275.51</v>
      </c>
      <c r="G259">
        <v>26.9</v>
      </c>
      <c r="H259">
        <v>93.94</v>
      </c>
      <c r="I259">
        <v>97.77</v>
      </c>
      <c r="J259">
        <v>78.459999999999994</v>
      </c>
      <c r="K259" t="s">
        <v>28</v>
      </c>
      <c r="L259">
        <v>8.3000000000000007</v>
      </c>
      <c r="M259">
        <v>4.5</v>
      </c>
      <c r="N259" t="s">
        <v>29</v>
      </c>
      <c r="O259">
        <v>12</v>
      </c>
      <c r="P259" t="s">
        <v>43</v>
      </c>
      <c r="Q259">
        <v>59.7</v>
      </c>
    </row>
    <row r="260" spans="1:17" x14ac:dyDescent="0.35">
      <c r="A260" s="1">
        <v>45811</v>
      </c>
      <c r="B260" t="s">
        <v>59</v>
      </c>
      <c r="C260" t="s">
        <v>60</v>
      </c>
      <c r="D260" t="s">
        <v>61</v>
      </c>
      <c r="E260" t="s">
        <v>62</v>
      </c>
      <c r="F260">
        <v>311.02</v>
      </c>
      <c r="G260">
        <v>176</v>
      </c>
      <c r="H260">
        <v>86.44</v>
      </c>
      <c r="I260">
        <v>96.7</v>
      </c>
      <c r="J260">
        <v>90.97</v>
      </c>
      <c r="K260" t="s">
        <v>34</v>
      </c>
      <c r="L260">
        <v>7.9</v>
      </c>
      <c r="N260" t="s">
        <v>35</v>
      </c>
      <c r="O260">
        <v>3</v>
      </c>
      <c r="P260" t="s">
        <v>43</v>
      </c>
      <c r="Q260">
        <v>74.599999999999994</v>
      </c>
    </row>
    <row r="261" spans="1:17" x14ac:dyDescent="0.35">
      <c r="A261" s="1">
        <v>45811</v>
      </c>
      <c r="B261" t="s">
        <v>91</v>
      </c>
      <c r="C261" t="s">
        <v>67</v>
      </c>
      <c r="D261" t="s">
        <v>92</v>
      </c>
      <c r="E261" t="s">
        <v>27</v>
      </c>
      <c r="F261">
        <v>467.85</v>
      </c>
      <c r="G261">
        <v>34.700000000000003</v>
      </c>
      <c r="H261">
        <v>93.32</v>
      </c>
      <c r="I261">
        <v>96.94</v>
      </c>
      <c r="J261">
        <v>75.55</v>
      </c>
      <c r="K261" t="s">
        <v>47</v>
      </c>
      <c r="L261">
        <v>8.5</v>
      </c>
      <c r="M261">
        <v>2.2000000000000002</v>
      </c>
      <c r="N261" t="s">
        <v>29</v>
      </c>
      <c r="O261">
        <v>12</v>
      </c>
      <c r="P261" t="s">
        <v>23</v>
      </c>
      <c r="Q261">
        <v>61</v>
      </c>
    </row>
    <row r="262" spans="1:17" x14ac:dyDescent="0.35">
      <c r="A262" s="1">
        <v>45811</v>
      </c>
      <c r="B262" t="s">
        <v>86</v>
      </c>
      <c r="C262" t="s">
        <v>25</v>
      </c>
      <c r="D262" t="s">
        <v>87</v>
      </c>
      <c r="E262" t="s">
        <v>27</v>
      </c>
      <c r="F262">
        <v>376.4</v>
      </c>
      <c r="G262">
        <v>20.100000000000001</v>
      </c>
      <c r="H262">
        <v>96.51</v>
      </c>
      <c r="I262">
        <v>96.67</v>
      </c>
      <c r="J262">
        <v>81.05</v>
      </c>
      <c r="K262" t="s">
        <v>47</v>
      </c>
      <c r="L262">
        <v>7.3</v>
      </c>
      <c r="M262">
        <v>4.5999999999999996</v>
      </c>
      <c r="N262" t="s">
        <v>29</v>
      </c>
      <c r="O262">
        <v>9</v>
      </c>
      <c r="P262" t="s">
        <v>30</v>
      </c>
      <c r="Q262">
        <v>58.5</v>
      </c>
    </row>
    <row r="263" spans="1:17" x14ac:dyDescent="0.35">
      <c r="A263" s="1">
        <v>45811</v>
      </c>
      <c r="B263" t="s">
        <v>31</v>
      </c>
      <c r="C263" t="s">
        <v>18</v>
      </c>
      <c r="D263" t="s">
        <v>32</v>
      </c>
      <c r="E263" t="s">
        <v>27</v>
      </c>
      <c r="F263">
        <v>325.42</v>
      </c>
      <c r="G263">
        <v>46.1</v>
      </c>
      <c r="H263">
        <v>94.48</v>
      </c>
      <c r="I263">
        <v>94.1</v>
      </c>
      <c r="J263">
        <v>80.569999999999993</v>
      </c>
      <c r="K263" t="s">
        <v>28</v>
      </c>
      <c r="L263">
        <v>8.3000000000000007</v>
      </c>
      <c r="M263">
        <v>4.7</v>
      </c>
      <c r="N263" t="s">
        <v>39</v>
      </c>
      <c r="O263">
        <v>14</v>
      </c>
      <c r="P263" t="s">
        <v>23</v>
      </c>
      <c r="Q263">
        <v>59.8</v>
      </c>
    </row>
    <row r="264" spans="1:17" x14ac:dyDescent="0.35">
      <c r="A264" s="1">
        <v>45811</v>
      </c>
      <c r="B264" t="s">
        <v>91</v>
      </c>
      <c r="C264" t="s">
        <v>67</v>
      </c>
      <c r="D264" t="s">
        <v>92</v>
      </c>
      <c r="E264" t="s">
        <v>27</v>
      </c>
      <c r="F264">
        <v>476.11</v>
      </c>
      <c r="G264">
        <v>32.200000000000003</v>
      </c>
      <c r="H264">
        <v>97.33</v>
      </c>
      <c r="I264">
        <v>96.61</v>
      </c>
      <c r="J264">
        <v>84.89</v>
      </c>
      <c r="K264" t="s">
        <v>34</v>
      </c>
      <c r="L264">
        <v>9</v>
      </c>
      <c r="M264">
        <v>2.5</v>
      </c>
      <c r="N264" t="s">
        <v>29</v>
      </c>
      <c r="O264">
        <v>8</v>
      </c>
      <c r="P264" t="s">
        <v>43</v>
      </c>
      <c r="Q264">
        <v>63.8</v>
      </c>
    </row>
    <row r="265" spans="1:17" x14ac:dyDescent="0.35">
      <c r="A265" s="1">
        <v>45811</v>
      </c>
      <c r="B265" t="s">
        <v>76</v>
      </c>
      <c r="C265" t="s">
        <v>45</v>
      </c>
      <c r="D265" t="s">
        <v>77</v>
      </c>
      <c r="E265" t="s">
        <v>27</v>
      </c>
      <c r="F265">
        <v>872.33</v>
      </c>
      <c r="G265">
        <v>435.9</v>
      </c>
      <c r="H265">
        <v>93.26</v>
      </c>
      <c r="I265">
        <v>98.18</v>
      </c>
      <c r="J265">
        <v>80.61</v>
      </c>
      <c r="K265" t="s">
        <v>34</v>
      </c>
      <c r="L265">
        <v>8.3000000000000007</v>
      </c>
      <c r="M265">
        <v>1.6</v>
      </c>
      <c r="N265" t="s">
        <v>39</v>
      </c>
      <c r="O265">
        <v>15</v>
      </c>
      <c r="P265" t="s">
        <v>23</v>
      </c>
      <c r="Q265">
        <v>64.8</v>
      </c>
    </row>
    <row r="266" spans="1:17" x14ac:dyDescent="0.35">
      <c r="A266" s="1">
        <v>45811</v>
      </c>
      <c r="B266" t="s">
        <v>59</v>
      </c>
      <c r="C266" t="s">
        <v>60</v>
      </c>
      <c r="D266" t="s">
        <v>61</v>
      </c>
      <c r="E266" t="s">
        <v>62</v>
      </c>
      <c r="F266">
        <v>448.32</v>
      </c>
      <c r="G266">
        <v>173.6</v>
      </c>
      <c r="H266">
        <v>87.24</v>
      </c>
      <c r="I266">
        <v>93.09</v>
      </c>
      <c r="J266">
        <v>88.09</v>
      </c>
      <c r="K266" t="s">
        <v>63</v>
      </c>
      <c r="L266">
        <v>8.4</v>
      </c>
      <c r="N266" t="s">
        <v>35</v>
      </c>
      <c r="O266">
        <v>5</v>
      </c>
      <c r="P266" t="s">
        <v>43</v>
      </c>
      <c r="Q266">
        <v>74.5</v>
      </c>
    </row>
    <row r="267" spans="1:17" x14ac:dyDescent="0.35">
      <c r="A267" s="1">
        <v>45811</v>
      </c>
      <c r="B267" t="s">
        <v>80</v>
      </c>
      <c r="C267" t="s">
        <v>45</v>
      </c>
      <c r="D267" t="s">
        <v>81</v>
      </c>
      <c r="E267" t="s">
        <v>33</v>
      </c>
      <c r="F267">
        <v>806.25</v>
      </c>
      <c r="G267">
        <v>657.4</v>
      </c>
      <c r="H267">
        <v>93.22</v>
      </c>
      <c r="I267">
        <v>99.49</v>
      </c>
      <c r="J267">
        <v>72.13</v>
      </c>
      <c r="K267" t="s">
        <v>34</v>
      </c>
      <c r="L267">
        <v>9</v>
      </c>
      <c r="M267">
        <v>2.8</v>
      </c>
      <c r="N267" t="s">
        <v>22</v>
      </c>
      <c r="O267">
        <v>9</v>
      </c>
      <c r="P267" t="s">
        <v>23</v>
      </c>
      <c r="Q267">
        <v>63.9</v>
      </c>
    </row>
    <row r="268" spans="1:17" x14ac:dyDescent="0.35">
      <c r="A268" s="1">
        <v>45811</v>
      </c>
      <c r="B268" t="s">
        <v>44</v>
      </c>
      <c r="C268" t="s">
        <v>45</v>
      </c>
      <c r="D268" t="s">
        <v>46</v>
      </c>
      <c r="E268" t="s">
        <v>27</v>
      </c>
      <c r="F268">
        <v>707.12</v>
      </c>
      <c r="G268">
        <v>700.5</v>
      </c>
      <c r="H268">
        <v>97.26</v>
      </c>
      <c r="I268">
        <v>99.06</v>
      </c>
      <c r="J268">
        <v>82.19</v>
      </c>
      <c r="K268" t="s">
        <v>47</v>
      </c>
      <c r="L268">
        <v>9.1999999999999993</v>
      </c>
      <c r="M268">
        <v>1.6</v>
      </c>
      <c r="N268" t="s">
        <v>29</v>
      </c>
      <c r="O268">
        <v>11</v>
      </c>
      <c r="P268" t="s">
        <v>23</v>
      </c>
      <c r="Q268">
        <v>67.400000000000006</v>
      </c>
    </row>
    <row r="269" spans="1:17" x14ac:dyDescent="0.35">
      <c r="A269" s="1">
        <v>45811</v>
      </c>
      <c r="B269" t="s">
        <v>74</v>
      </c>
      <c r="C269" t="s">
        <v>67</v>
      </c>
      <c r="D269" t="s">
        <v>75</v>
      </c>
      <c r="E269" t="s">
        <v>27</v>
      </c>
      <c r="F269">
        <v>208.94</v>
      </c>
      <c r="G269">
        <v>27.4</v>
      </c>
      <c r="H269">
        <v>92.45</v>
      </c>
      <c r="I269">
        <v>93.01</v>
      </c>
      <c r="J269">
        <v>79.510000000000005</v>
      </c>
      <c r="K269" t="s">
        <v>28</v>
      </c>
      <c r="L269">
        <v>7.7</v>
      </c>
      <c r="M269">
        <v>1.6</v>
      </c>
      <c r="N269" t="s">
        <v>29</v>
      </c>
      <c r="O269">
        <v>12</v>
      </c>
      <c r="P269" t="s">
        <v>23</v>
      </c>
      <c r="Q269">
        <v>59.8</v>
      </c>
    </row>
    <row r="270" spans="1:17" x14ac:dyDescent="0.35">
      <c r="A270" s="1">
        <v>45811</v>
      </c>
      <c r="B270" t="s">
        <v>78</v>
      </c>
      <c r="C270" t="s">
        <v>41</v>
      </c>
      <c r="D270" t="s">
        <v>79</v>
      </c>
      <c r="E270" t="s">
        <v>27</v>
      </c>
      <c r="F270">
        <v>629.54999999999995</v>
      </c>
      <c r="G270">
        <v>26.3</v>
      </c>
      <c r="H270">
        <v>92.96</v>
      </c>
      <c r="I270">
        <v>97.7</v>
      </c>
      <c r="J270">
        <v>80.959999999999994</v>
      </c>
      <c r="K270" t="s">
        <v>34</v>
      </c>
      <c r="L270">
        <v>8.6</v>
      </c>
      <c r="M270">
        <v>5</v>
      </c>
      <c r="N270" t="s">
        <v>39</v>
      </c>
      <c r="O270">
        <v>8</v>
      </c>
      <c r="P270" t="s">
        <v>43</v>
      </c>
      <c r="Q270">
        <v>60.1</v>
      </c>
    </row>
    <row r="271" spans="1:17" x14ac:dyDescent="0.35">
      <c r="A271" s="1">
        <v>45811</v>
      </c>
      <c r="B271" t="s">
        <v>86</v>
      </c>
      <c r="C271" t="s">
        <v>25</v>
      </c>
      <c r="D271" t="s">
        <v>87</v>
      </c>
      <c r="E271" t="s">
        <v>27</v>
      </c>
      <c r="F271">
        <v>635.26</v>
      </c>
      <c r="G271">
        <v>41.5</v>
      </c>
      <c r="H271">
        <v>97.17</v>
      </c>
      <c r="I271">
        <v>98.12</v>
      </c>
      <c r="J271">
        <v>79.459999999999994</v>
      </c>
      <c r="K271" t="s">
        <v>47</v>
      </c>
      <c r="L271">
        <v>8.1999999999999993</v>
      </c>
      <c r="M271">
        <v>1.8</v>
      </c>
      <c r="N271" t="s">
        <v>39</v>
      </c>
      <c r="O271">
        <v>15</v>
      </c>
      <c r="P271" t="s">
        <v>30</v>
      </c>
      <c r="Q271">
        <v>62.4</v>
      </c>
    </row>
    <row r="272" spans="1:17" x14ac:dyDescent="0.35">
      <c r="A272" s="1">
        <v>45811</v>
      </c>
      <c r="B272" t="s">
        <v>97</v>
      </c>
      <c r="C272" t="s">
        <v>72</v>
      </c>
      <c r="D272" t="s">
        <v>98</v>
      </c>
      <c r="E272" t="s">
        <v>33</v>
      </c>
      <c r="F272">
        <v>102.41</v>
      </c>
      <c r="G272">
        <v>99.2</v>
      </c>
      <c r="H272">
        <v>92.67</v>
      </c>
      <c r="I272">
        <v>94.71</v>
      </c>
      <c r="J272">
        <v>76.849999999999994</v>
      </c>
      <c r="K272" t="s">
        <v>47</v>
      </c>
      <c r="L272">
        <v>7.5</v>
      </c>
      <c r="M272">
        <v>4.0999999999999996</v>
      </c>
      <c r="N272" t="s">
        <v>35</v>
      </c>
      <c r="O272">
        <v>9</v>
      </c>
      <c r="P272" t="s">
        <v>43</v>
      </c>
      <c r="Q272">
        <v>59.1</v>
      </c>
    </row>
    <row r="273" spans="1:17" x14ac:dyDescent="0.35">
      <c r="A273" s="1">
        <v>45811</v>
      </c>
      <c r="B273" t="s">
        <v>44</v>
      </c>
      <c r="C273" t="s">
        <v>45</v>
      </c>
      <c r="D273" t="s">
        <v>46</v>
      </c>
      <c r="E273" t="s">
        <v>27</v>
      </c>
      <c r="F273">
        <v>619.71</v>
      </c>
      <c r="G273">
        <v>634.29999999999995</v>
      </c>
      <c r="H273">
        <v>95.89</v>
      </c>
      <c r="I273">
        <v>98.72</v>
      </c>
      <c r="J273">
        <v>75.55</v>
      </c>
      <c r="K273" t="s">
        <v>28</v>
      </c>
      <c r="L273">
        <v>8.1</v>
      </c>
      <c r="M273">
        <v>4</v>
      </c>
      <c r="N273" t="s">
        <v>29</v>
      </c>
      <c r="O273">
        <v>10</v>
      </c>
      <c r="P273" t="s">
        <v>23</v>
      </c>
      <c r="Q273">
        <v>62.5</v>
      </c>
    </row>
    <row r="274" spans="1:17" x14ac:dyDescent="0.35">
      <c r="A274" s="1">
        <v>45811</v>
      </c>
      <c r="B274" t="s">
        <v>76</v>
      </c>
      <c r="C274" t="s">
        <v>45</v>
      </c>
      <c r="D274" t="s">
        <v>77</v>
      </c>
      <c r="E274" t="s">
        <v>27</v>
      </c>
      <c r="F274">
        <v>855.64</v>
      </c>
      <c r="G274">
        <v>610.1</v>
      </c>
      <c r="H274">
        <v>96.85</v>
      </c>
      <c r="I274">
        <v>98.25</v>
      </c>
      <c r="J274">
        <v>79.38</v>
      </c>
      <c r="K274" t="s">
        <v>34</v>
      </c>
      <c r="L274">
        <v>8.5</v>
      </c>
      <c r="M274">
        <v>4</v>
      </c>
      <c r="N274" t="s">
        <v>39</v>
      </c>
      <c r="O274">
        <v>12</v>
      </c>
      <c r="P274" t="s">
        <v>23</v>
      </c>
      <c r="Q274">
        <v>63.9</v>
      </c>
    </row>
    <row r="275" spans="1:17" x14ac:dyDescent="0.35">
      <c r="A275" s="1">
        <v>45812</v>
      </c>
      <c r="B275" t="s">
        <v>95</v>
      </c>
      <c r="C275" t="s">
        <v>49</v>
      </c>
      <c r="D275" t="s">
        <v>96</v>
      </c>
      <c r="E275" t="s">
        <v>33</v>
      </c>
      <c r="F275">
        <v>373.6</v>
      </c>
      <c r="G275">
        <v>190.3</v>
      </c>
      <c r="H275">
        <v>97.18</v>
      </c>
      <c r="I275">
        <v>94.73</v>
      </c>
      <c r="J275">
        <v>71.48</v>
      </c>
      <c r="K275" t="s">
        <v>47</v>
      </c>
      <c r="L275">
        <v>7.1</v>
      </c>
      <c r="M275">
        <v>3.4</v>
      </c>
      <c r="N275" t="s">
        <v>35</v>
      </c>
      <c r="O275">
        <v>10</v>
      </c>
      <c r="P275" t="s">
        <v>43</v>
      </c>
      <c r="Q275">
        <v>60.1</v>
      </c>
    </row>
    <row r="276" spans="1:17" x14ac:dyDescent="0.35">
      <c r="A276" s="1">
        <v>45812</v>
      </c>
      <c r="B276" t="s">
        <v>71</v>
      </c>
      <c r="C276" t="s">
        <v>72</v>
      </c>
      <c r="D276" t="s">
        <v>73</v>
      </c>
      <c r="E276" t="s">
        <v>33</v>
      </c>
      <c r="F276">
        <v>184.05</v>
      </c>
      <c r="G276">
        <v>211.8</v>
      </c>
      <c r="H276">
        <v>92.96</v>
      </c>
      <c r="I276">
        <v>96.19</v>
      </c>
      <c r="J276">
        <v>71.400000000000006</v>
      </c>
      <c r="K276" t="s">
        <v>47</v>
      </c>
      <c r="L276">
        <v>7.6</v>
      </c>
      <c r="M276">
        <v>2.9</v>
      </c>
      <c r="N276" t="s">
        <v>22</v>
      </c>
      <c r="O276">
        <v>5</v>
      </c>
      <c r="P276" t="s">
        <v>43</v>
      </c>
      <c r="Q276">
        <v>60.8</v>
      </c>
    </row>
    <row r="277" spans="1:17" x14ac:dyDescent="0.35">
      <c r="A277" s="1">
        <v>45812</v>
      </c>
      <c r="B277" t="s">
        <v>55</v>
      </c>
      <c r="C277" t="s">
        <v>56</v>
      </c>
      <c r="D277">
        <v>4</v>
      </c>
      <c r="E277" t="s">
        <v>57</v>
      </c>
      <c r="F277">
        <v>30</v>
      </c>
      <c r="G277">
        <v>127.8</v>
      </c>
      <c r="H277">
        <v>88.18</v>
      </c>
      <c r="I277">
        <v>96.16</v>
      </c>
      <c r="J277">
        <v>70.42</v>
      </c>
      <c r="K277" t="s">
        <v>58</v>
      </c>
      <c r="L277">
        <v>7.8</v>
      </c>
      <c r="N277" t="s">
        <v>35</v>
      </c>
      <c r="O277">
        <v>3</v>
      </c>
      <c r="P277" t="s">
        <v>43</v>
      </c>
      <c r="Q277">
        <v>69.599999999999994</v>
      </c>
    </row>
    <row r="278" spans="1:17" x14ac:dyDescent="0.35">
      <c r="A278" s="1">
        <v>45812</v>
      </c>
      <c r="B278" t="s">
        <v>24</v>
      </c>
      <c r="C278" t="s">
        <v>25</v>
      </c>
      <c r="D278" t="s">
        <v>26</v>
      </c>
      <c r="E278" t="s">
        <v>27</v>
      </c>
      <c r="F278">
        <v>608.57000000000005</v>
      </c>
      <c r="G278">
        <v>59.7</v>
      </c>
      <c r="H278">
        <v>93.85</v>
      </c>
      <c r="I278">
        <v>97.61</v>
      </c>
      <c r="J278">
        <v>81.44</v>
      </c>
      <c r="K278" t="s">
        <v>47</v>
      </c>
      <c r="L278">
        <v>8.3000000000000007</v>
      </c>
      <c r="M278">
        <v>3.7</v>
      </c>
      <c r="N278" t="s">
        <v>39</v>
      </c>
      <c r="O278">
        <v>8</v>
      </c>
      <c r="P278" t="s">
        <v>30</v>
      </c>
      <c r="Q278">
        <v>61.4</v>
      </c>
    </row>
    <row r="279" spans="1:17" x14ac:dyDescent="0.35">
      <c r="A279" s="1">
        <v>45812</v>
      </c>
      <c r="B279" t="s">
        <v>89</v>
      </c>
      <c r="C279" t="s">
        <v>67</v>
      </c>
      <c r="D279" t="s">
        <v>90</v>
      </c>
      <c r="E279" t="s">
        <v>27</v>
      </c>
      <c r="F279">
        <v>599.24</v>
      </c>
      <c r="G279">
        <v>29.2</v>
      </c>
      <c r="H279">
        <v>92.42</v>
      </c>
      <c r="I279">
        <v>94.37</v>
      </c>
      <c r="J279">
        <v>81.97</v>
      </c>
      <c r="K279" t="s">
        <v>28</v>
      </c>
      <c r="L279">
        <v>8.6999999999999993</v>
      </c>
      <c r="M279">
        <v>2.8</v>
      </c>
      <c r="N279" t="s">
        <v>29</v>
      </c>
      <c r="O279">
        <v>15</v>
      </c>
      <c r="P279" t="s">
        <v>43</v>
      </c>
      <c r="Q279">
        <v>61.3</v>
      </c>
    </row>
    <row r="280" spans="1:17" x14ac:dyDescent="0.35">
      <c r="A280" s="1">
        <v>45812</v>
      </c>
      <c r="B280" t="s">
        <v>59</v>
      </c>
      <c r="C280" t="s">
        <v>60</v>
      </c>
      <c r="D280" t="s">
        <v>61</v>
      </c>
      <c r="E280" t="s">
        <v>62</v>
      </c>
      <c r="F280">
        <v>407.54</v>
      </c>
      <c r="G280">
        <v>177.4</v>
      </c>
      <c r="H280">
        <v>87.1</v>
      </c>
      <c r="I280">
        <v>94.25</v>
      </c>
      <c r="J280">
        <v>86.08</v>
      </c>
      <c r="K280" t="s">
        <v>34</v>
      </c>
      <c r="L280">
        <v>8.6999999999999993</v>
      </c>
      <c r="N280" t="s">
        <v>35</v>
      </c>
      <c r="O280">
        <v>6</v>
      </c>
      <c r="P280" t="s">
        <v>43</v>
      </c>
      <c r="Q280">
        <v>74.900000000000006</v>
      </c>
    </row>
    <row r="281" spans="1:17" x14ac:dyDescent="0.35">
      <c r="A281" s="1">
        <v>45812</v>
      </c>
      <c r="B281" t="s">
        <v>95</v>
      </c>
      <c r="C281" t="s">
        <v>49</v>
      </c>
      <c r="D281" t="s">
        <v>96</v>
      </c>
      <c r="E281" t="s">
        <v>33</v>
      </c>
      <c r="F281">
        <v>387.73</v>
      </c>
      <c r="G281">
        <v>144.19999999999999</v>
      </c>
      <c r="H281">
        <v>97.83</v>
      </c>
      <c r="I281">
        <v>94.37</v>
      </c>
      <c r="J281">
        <v>76.099999999999994</v>
      </c>
      <c r="K281" t="s">
        <v>28</v>
      </c>
      <c r="L281">
        <v>7.9</v>
      </c>
      <c r="M281">
        <v>1.6</v>
      </c>
      <c r="N281" t="s">
        <v>35</v>
      </c>
      <c r="O281">
        <v>5</v>
      </c>
      <c r="P281" t="s">
        <v>23</v>
      </c>
      <c r="Q281">
        <v>63</v>
      </c>
    </row>
    <row r="282" spans="1:17" x14ac:dyDescent="0.35">
      <c r="A282" s="1">
        <v>45812</v>
      </c>
      <c r="B282" t="s">
        <v>71</v>
      </c>
      <c r="C282" t="s">
        <v>72</v>
      </c>
      <c r="D282" t="s">
        <v>73</v>
      </c>
      <c r="E282" t="s">
        <v>33</v>
      </c>
      <c r="F282">
        <v>252.04</v>
      </c>
      <c r="G282">
        <v>203.8</v>
      </c>
      <c r="H282">
        <v>92.3</v>
      </c>
      <c r="I282">
        <v>95.05</v>
      </c>
      <c r="J282">
        <v>78.63</v>
      </c>
      <c r="K282" t="s">
        <v>34</v>
      </c>
      <c r="L282">
        <v>7.6</v>
      </c>
      <c r="M282">
        <v>3.2</v>
      </c>
      <c r="N282" t="s">
        <v>35</v>
      </c>
      <c r="O282">
        <v>8</v>
      </c>
      <c r="P282" t="s">
        <v>23</v>
      </c>
      <c r="Q282">
        <v>61.5</v>
      </c>
    </row>
    <row r="283" spans="1:17" x14ac:dyDescent="0.35">
      <c r="A283" s="1">
        <v>45812</v>
      </c>
      <c r="B283" t="s">
        <v>84</v>
      </c>
      <c r="C283" t="s">
        <v>18</v>
      </c>
      <c r="D283" t="s">
        <v>85</v>
      </c>
      <c r="E283" t="s">
        <v>33</v>
      </c>
      <c r="F283">
        <v>156.69999999999999</v>
      </c>
      <c r="G283">
        <v>177.2</v>
      </c>
      <c r="H283">
        <v>92.58</v>
      </c>
      <c r="I283">
        <v>94.92</v>
      </c>
      <c r="J283">
        <v>78.08</v>
      </c>
      <c r="K283" t="s">
        <v>28</v>
      </c>
      <c r="L283">
        <v>7.6</v>
      </c>
      <c r="M283">
        <v>4.8</v>
      </c>
      <c r="N283" t="s">
        <v>22</v>
      </c>
      <c r="O283">
        <v>6</v>
      </c>
      <c r="P283" t="s">
        <v>23</v>
      </c>
      <c r="Q283">
        <v>60.4</v>
      </c>
    </row>
    <row r="284" spans="1:17" x14ac:dyDescent="0.35">
      <c r="A284" s="1">
        <v>45812</v>
      </c>
      <c r="B284" t="s">
        <v>97</v>
      </c>
      <c r="C284" t="s">
        <v>72</v>
      </c>
      <c r="D284" t="s">
        <v>98</v>
      </c>
      <c r="E284" t="s">
        <v>33</v>
      </c>
      <c r="F284">
        <v>229.28</v>
      </c>
      <c r="G284">
        <v>210</v>
      </c>
      <c r="H284">
        <v>95.24</v>
      </c>
      <c r="I284">
        <v>96.67</v>
      </c>
      <c r="J284">
        <v>71.25</v>
      </c>
      <c r="K284" t="s">
        <v>28</v>
      </c>
      <c r="L284">
        <v>8.1</v>
      </c>
      <c r="M284">
        <v>3</v>
      </c>
      <c r="N284" t="s">
        <v>35</v>
      </c>
      <c r="O284">
        <v>5</v>
      </c>
      <c r="P284" t="s">
        <v>43</v>
      </c>
      <c r="Q284">
        <v>62</v>
      </c>
    </row>
    <row r="285" spans="1:17" x14ac:dyDescent="0.35">
      <c r="A285" s="1">
        <v>45812</v>
      </c>
      <c r="B285" t="s">
        <v>86</v>
      </c>
      <c r="C285" t="s">
        <v>25</v>
      </c>
      <c r="D285" t="s">
        <v>87</v>
      </c>
      <c r="E285" t="s">
        <v>27</v>
      </c>
      <c r="F285">
        <v>220.23</v>
      </c>
      <c r="G285">
        <v>40.200000000000003</v>
      </c>
      <c r="H285">
        <v>94.71</v>
      </c>
      <c r="I285">
        <v>96.14</v>
      </c>
      <c r="J285">
        <v>80.73</v>
      </c>
      <c r="K285" t="s">
        <v>47</v>
      </c>
      <c r="L285">
        <v>7.2</v>
      </c>
      <c r="M285">
        <v>4.7</v>
      </c>
      <c r="N285" t="s">
        <v>39</v>
      </c>
      <c r="O285">
        <v>8</v>
      </c>
      <c r="P285" t="s">
        <v>30</v>
      </c>
      <c r="Q285">
        <v>58.3</v>
      </c>
    </row>
    <row r="286" spans="1:17" x14ac:dyDescent="0.35">
      <c r="A286" s="1">
        <v>45812</v>
      </c>
      <c r="B286" t="s">
        <v>93</v>
      </c>
      <c r="C286" t="s">
        <v>37</v>
      </c>
      <c r="D286" t="s">
        <v>94</v>
      </c>
      <c r="E286" t="s">
        <v>33</v>
      </c>
      <c r="F286">
        <v>362.03</v>
      </c>
      <c r="G286">
        <v>162</v>
      </c>
      <c r="H286">
        <v>97.95</v>
      </c>
      <c r="I286">
        <v>94.19</v>
      </c>
      <c r="J286">
        <v>70.08</v>
      </c>
      <c r="K286" t="s">
        <v>28</v>
      </c>
      <c r="L286">
        <v>7.2</v>
      </c>
      <c r="M286">
        <v>2.6</v>
      </c>
      <c r="N286" t="s">
        <v>35</v>
      </c>
      <c r="O286">
        <v>5</v>
      </c>
      <c r="P286" t="s">
        <v>23</v>
      </c>
      <c r="Q286">
        <v>60.5</v>
      </c>
    </row>
    <row r="287" spans="1:17" x14ac:dyDescent="0.35">
      <c r="A287" s="1">
        <v>45812</v>
      </c>
      <c r="B287" t="s">
        <v>48</v>
      </c>
      <c r="C287" t="s">
        <v>49</v>
      </c>
      <c r="D287" t="s">
        <v>50</v>
      </c>
      <c r="E287" t="s">
        <v>27</v>
      </c>
      <c r="F287">
        <v>280.22000000000003</v>
      </c>
      <c r="G287">
        <v>71.900000000000006</v>
      </c>
      <c r="H287">
        <v>93.44</v>
      </c>
      <c r="I287">
        <v>95.2</v>
      </c>
      <c r="J287">
        <v>75.75</v>
      </c>
      <c r="K287" t="s">
        <v>28</v>
      </c>
      <c r="L287">
        <v>7.7</v>
      </c>
      <c r="M287">
        <v>3.7</v>
      </c>
      <c r="N287" t="s">
        <v>29</v>
      </c>
      <c r="O287">
        <v>10</v>
      </c>
      <c r="P287" t="s">
        <v>43</v>
      </c>
      <c r="Q287">
        <v>59.2</v>
      </c>
    </row>
    <row r="288" spans="1:17" x14ac:dyDescent="0.35">
      <c r="A288" s="1">
        <v>45812</v>
      </c>
      <c r="B288" t="s">
        <v>101</v>
      </c>
      <c r="C288" t="s">
        <v>45</v>
      </c>
      <c r="D288" t="s">
        <v>102</v>
      </c>
      <c r="E288" t="s">
        <v>27</v>
      </c>
      <c r="F288">
        <v>734.41</v>
      </c>
      <c r="G288">
        <v>939.2</v>
      </c>
      <c r="H288">
        <v>92.83</v>
      </c>
      <c r="I288">
        <v>98.33</v>
      </c>
      <c r="J288">
        <v>79.47</v>
      </c>
      <c r="K288" t="s">
        <v>47</v>
      </c>
      <c r="L288">
        <v>9.5</v>
      </c>
      <c r="M288">
        <v>2</v>
      </c>
      <c r="N288" t="s">
        <v>39</v>
      </c>
      <c r="O288">
        <v>10</v>
      </c>
      <c r="P288" t="s">
        <v>23</v>
      </c>
      <c r="Q288">
        <v>66.3</v>
      </c>
    </row>
    <row r="289" spans="1:17" x14ac:dyDescent="0.35">
      <c r="A289" s="1">
        <v>45812</v>
      </c>
      <c r="B289" t="s">
        <v>36</v>
      </c>
      <c r="C289" t="s">
        <v>37</v>
      </c>
      <c r="D289" t="s">
        <v>38</v>
      </c>
      <c r="E289" t="s">
        <v>27</v>
      </c>
      <c r="F289">
        <v>295.02</v>
      </c>
      <c r="G289">
        <v>31.3</v>
      </c>
      <c r="H289">
        <v>94.02</v>
      </c>
      <c r="I289">
        <v>95.98</v>
      </c>
      <c r="J289">
        <v>84.14</v>
      </c>
      <c r="K289" t="s">
        <v>47</v>
      </c>
      <c r="L289">
        <v>7.2</v>
      </c>
      <c r="M289">
        <v>4.2</v>
      </c>
      <c r="N289" t="s">
        <v>39</v>
      </c>
      <c r="O289">
        <v>15</v>
      </c>
      <c r="P289" t="s">
        <v>23</v>
      </c>
      <c r="Q289">
        <v>58.8</v>
      </c>
    </row>
    <row r="290" spans="1:17" x14ac:dyDescent="0.35">
      <c r="A290" s="1">
        <v>45812</v>
      </c>
      <c r="B290" t="s">
        <v>59</v>
      </c>
      <c r="C290" t="s">
        <v>60</v>
      </c>
      <c r="D290" t="s">
        <v>61</v>
      </c>
      <c r="E290" t="s">
        <v>62</v>
      </c>
      <c r="F290">
        <v>506.47</v>
      </c>
      <c r="G290">
        <v>183.9</v>
      </c>
      <c r="H290">
        <v>89.05</v>
      </c>
      <c r="I290">
        <v>95.56</v>
      </c>
      <c r="J290">
        <v>87.53</v>
      </c>
      <c r="K290" t="s">
        <v>63</v>
      </c>
      <c r="L290">
        <v>8.6</v>
      </c>
      <c r="N290" t="s">
        <v>35</v>
      </c>
      <c r="O290">
        <v>3</v>
      </c>
      <c r="P290" t="s">
        <v>23</v>
      </c>
      <c r="Q290">
        <v>75.599999999999994</v>
      </c>
    </row>
    <row r="291" spans="1:17" x14ac:dyDescent="0.35">
      <c r="A291" s="1">
        <v>45812</v>
      </c>
      <c r="B291" t="s">
        <v>55</v>
      </c>
      <c r="C291" t="s">
        <v>56</v>
      </c>
      <c r="D291">
        <v>4</v>
      </c>
      <c r="E291" t="s">
        <v>57</v>
      </c>
      <c r="F291">
        <v>30</v>
      </c>
      <c r="G291">
        <v>141.5</v>
      </c>
      <c r="H291">
        <v>88.41</v>
      </c>
      <c r="I291">
        <v>96.26</v>
      </c>
      <c r="J291">
        <v>75.489999999999995</v>
      </c>
      <c r="K291" t="s">
        <v>58</v>
      </c>
      <c r="L291">
        <v>6.2</v>
      </c>
      <c r="N291" t="s">
        <v>35</v>
      </c>
      <c r="O291">
        <v>2</v>
      </c>
      <c r="P291" t="s">
        <v>43</v>
      </c>
      <c r="Q291">
        <v>67.8</v>
      </c>
    </row>
    <row r="292" spans="1:17" x14ac:dyDescent="0.35">
      <c r="A292" s="1">
        <v>45812</v>
      </c>
      <c r="B292" t="s">
        <v>55</v>
      </c>
      <c r="C292" t="s">
        <v>56</v>
      </c>
      <c r="D292">
        <v>4</v>
      </c>
      <c r="E292" t="s">
        <v>57</v>
      </c>
      <c r="F292">
        <v>30</v>
      </c>
      <c r="G292">
        <v>164.9</v>
      </c>
      <c r="H292">
        <v>86.11</v>
      </c>
      <c r="I292">
        <v>95.91</v>
      </c>
      <c r="J292">
        <v>77.45</v>
      </c>
      <c r="K292" t="s">
        <v>21</v>
      </c>
      <c r="L292">
        <v>7</v>
      </c>
      <c r="N292" t="s">
        <v>35</v>
      </c>
      <c r="O292">
        <v>4</v>
      </c>
      <c r="P292" t="s">
        <v>23</v>
      </c>
      <c r="Q292">
        <v>69.8</v>
      </c>
    </row>
    <row r="293" spans="1:17" x14ac:dyDescent="0.35">
      <c r="A293" s="1">
        <v>45812</v>
      </c>
      <c r="B293" t="s">
        <v>55</v>
      </c>
      <c r="C293" t="s">
        <v>56</v>
      </c>
      <c r="D293">
        <v>4</v>
      </c>
      <c r="E293" t="s">
        <v>57</v>
      </c>
      <c r="F293">
        <v>30</v>
      </c>
      <c r="G293">
        <v>126.3</v>
      </c>
      <c r="H293">
        <v>87.85</v>
      </c>
      <c r="I293">
        <v>93.99</v>
      </c>
      <c r="J293">
        <v>77.03</v>
      </c>
      <c r="K293" t="s">
        <v>21</v>
      </c>
      <c r="L293">
        <v>6.8</v>
      </c>
      <c r="N293" t="s">
        <v>35</v>
      </c>
      <c r="O293">
        <v>2</v>
      </c>
      <c r="P293" t="s">
        <v>23</v>
      </c>
      <c r="Q293">
        <v>68.400000000000006</v>
      </c>
    </row>
    <row r="294" spans="1:17" x14ac:dyDescent="0.35">
      <c r="A294" s="1">
        <v>45812</v>
      </c>
      <c r="B294" t="s">
        <v>55</v>
      </c>
      <c r="C294" t="s">
        <v>56</v>
      </c>
      <c r="D294">
        <v>4</v>
      </c>
      <c r="E294" t="s">
        <v>57</v>
      </c>
      <c r="F294">
        <v>30</v>
      </c>
      <c r="G294">
        <v>141.30000000000001</v>
      </c>
      <c r="H294">
        <v>91.54</v>
      </c>
      <c r="I294">
        <v>96.58</v>
      </c>
      <c r="J294">
        <v>79.33</v>
      </c>
      <c r="K294" t="s">
        <v>63</v>
      </c>
      <c r="L294">
        <v>6.3</v>
      </c>
      <c r="N294" t="s">
        <v>35</v>
      </c>
      <c r="O294">
        <v>3</v>
      </c>
      <c r="P294" t="s">
        <v>43</v>
      </c>
      <c r="Q294">
        <v>69.5</v>
      </c>
    </row>
    <row r="295" spans="1:17" x14ac:dyDescent="0.35">
      <c r="A295" s="1">
        <v>45812</v>
      </c>
      <c r="B295" t="s">
        <v>55</v>
      </c>
      <c r="C295" t="s">
        <v>56</v>
      </c>
      <c r="D295">
        <v>4</v>
      </c>
      <c r="E295" t="s">
        <v>57</v>
      </c>
      <c r="F295">
        <v>30</v>
      </c>
      <c r="G295">
        <v>126.8</v>
      </c>
      <c r="H295">
        <v>91.3</v>
      </c>
      <c r="I295">
        <v>96.61</v>
      </c>
      <c r="J295">
        <v>72.53</v>
      </c>
      <c r="K295" t="s">
        <v>63</v>
      </c>
      <c r="L295">
        <v>6.9</v>
      </c>
      <c r="N295" t="s">
        <v>35</v>
      </c>
      <c r="O295">
        <v>5</v>
      </c>
      <c r="P295" t="s">
        <v>23</v>
      </c>
      <c r="Q295">
        <v>68.900000000000006</v>
      </c>
    </row>
    <row r="296" spans="1:17" x14ac:dyDescent="0.35">
      <c r="A296" s="1">
        <v>45812</v>
      </c>
      <c r="B296" t="s">
        <v>71</v>
      </c>
      <c r="C296" t="s">
        <v>72</v>
      </c>
      <c r="D296" t="s">
        <v>73</v>
      </c>
      <c r="E296" t="s">
        <v>33</v>
      </c>
      <c r="F296">
        <v>82.1</v>
      </c>
      <c r="G296">
        <v>171.4</v>
      </c>
      <c r="H296">
        <v>95.24</v>
      </c>
      <c r="I296">
        <v>95.58</v>
      </c>
      <c r="J296">
        <v>78.33</v>
      </c>
      <c r="K296" t="s">
        <v>34</v>
      </c>
      <c r="L296">
        <v>6.6</v>
      </c>
      <c r="M296">
        <v>4.0999999999999996</v>
      </c>
      <c r="N296" t="s">
        <v>35</v>
      </c>
      <c r="O296">
        <v>10</v>
      </c>
      <c r="P296" t="s">
        <v>43</v>
      </c>
      <c r="Q296">
        <v>59.8</v>
      </c>
    </row>
    <row r="297" spans="1:17" x14ac:dyDescent="0.35">
      <c r="A297" s="1">
        <v>45812</v>
      </c>
      <c r="B297" t="s">
        <v>40</v>
      </c>
      <c r="C297" t="s">
        <v>41</v>
      </c>
      <c r="D297" t="s">
        <v>42</v>
      </c>
      <c r="E297" t="s">
        <v>27</v>
      </c>
      <c r="F297">
        <v>345.24</v>
      </c>
      <c r="G297">
        <v>35.200000000000003</v>
      </c>
      <c r="H297">
        <v>96.16</v>
      </c>
      <c r="I297">
        <v>97.2</v>
      </c>
      <c r="J297">
        <v>80.040000000000006</v>
      </c>
      <c r="K297" t="s">
        <v>34</v>
      </c>
      <c r="L297">
        <v>7.3</v>
      </c>
      <c r="M297">
        <v>4.2</v>
      </c>
      <c r="N297" t="s">
        <v>29</v>
      </c>
      <c r="O297">
        <v>15</v>
      </c>
      <c r="P297" t="s">
        <v>43</v>
      </c>
      <c r="Q297">
        <v>59</v>
      </c>
    </row>
    <row r="298" spans="1:17" x14ac:dyDescent="0.35">
      <c r="A298" s="1">
        <v>45812</v>
      </c>
      <c r="B298" t="s">
        <v>82</v>
      </c>
      <c r="C298" t="s">
        <v>72</v>
      </c>
      <c r="D298" t="s">
        <v>83</v>
      </c>
      <c r="E298" t="s">
        <v>20</v>
      </c>
      <c r="F298">
        <v>274</v>
      </c>
      <c r="G298">
        <v>85.6</v>
      </c>
      <c r="H298">
        <v>88.08</v>
      </c>
      <c r="I298">
        <v>95.99</v>
      </c>
      <c r="J298">
        <v>78.11</v>
      </c>
      <c r="K298" t="s">
        <v>21</v>
      </c>
      <c r="L298">
        <v>7.2</v>
      </c>
      <c r="N298" t="s">
        <v>35</v>
      </c>
      <c r="O298">
        <v>7</v>
      </c>
      <c r="P298" t="s">
        <v>43</v>
      </c>
      <c r="Q298">
        <v>68.900000000000006</v>
      </c>
    </row>
    <row r="299" spans="1:17" x14ac:dyDescent="0.35">
      <c r="A299" s="1">
        <v>45812</v>
      </c>
      <c r="B299" t="s">
        <v>84</v>
      </c>
      <c r="C299" t="s">
        <v>18</v>
      </c>
      <c r="D299" t="s">
        <v>85</v>
      </c>
      <c r="E299" t="s">
        <v>27</v>
      </c>
      <c r="F299">
        <v>247.23</v>
      </c>
      <c r="G299">
        <v>48.6</v>
      </c>
      <c r="H299">
        <v>95.22</v>
      </c>
      <c r="I299">
        <v>93.64</v>
      </c>
      <c r="J299">
        <v>76.2</v>
      </c>
      <c r="K299" t="s">
        <v>47</v>
      </c>
      <c r="L299">
        <v>7.6</v>
      </c>
      <c r="M299">
        <v>2.6</v>
      </c>
      <c r="N299" t="s">
        <v>39</v>
      </c>
      <c r="O299">
        <v>11</v>
      </c>
      <c r="P299" t="s">
        <v>23</v>
      </c>
      <c r="Q299">
        <v>59.4</v>
      </c>
    </row>
    <row r="300" spans="1:17" x14ac:dyDescent="0.35">
      <c r="A300" s="1">
        <v>45812</v>
      </c>
      <c r="B300" t="s">
        <v>55</v>
      </c>
      <c r="C300" t="s">
        <v>56</v>
      </c>
      <c r="D300">
        <v>4</v>
      </c>
      <c r="E300" t="s">
        <v>57</v>
      </c>
      <c r="F300">
        <v>30</v>
      </c>
      <c r="G300">
        <v>124.1</v>
      </c>
      <c r="H300">
        <v>87.74</v>
      </c>
      <c r="I300">
        <v>95.82</v>
      </c>
      <c r="J300">
        <v>78.91</v>
      </c>
      <c r="K300" t="s">
        <v>21</v>
      </c>
      <c r="L300">
        <v>7.7</v>
      </c>
      <c r="N300" t="s">
        <v>35</v>
      </c>
      <c r="O300">
        <v>5</v>
      </c>
      <c r="P300" t="s">
        <v>23</v>
      </c>
      <c r="Q300">
        <v>70.8</v>
      </c>
    </row>
    <row r="301" spans="1:17" x14ac:dyDescent="0.35">
      <c r="A301" s="1">
        <v>45812</v>
      </c>
      <c r="B301" t="s">
        <v>51</v>
      </c>
      <c r="C301" t="s">
        <v>45</v>
      </c>
      <c r="D301" t="s">
        <v>52</v>
      </c>
      <c r="E301" t="s">
        <v>27</v>
      </c>
      <c r="F301">
        <v>961.93</v>
      </c>
      <c r="G301">
        <v>538.29999999999995</v>
      </c>
      <c r="H301">
        <v>94.65</v>
      </c>
      <c r="I301">
        <v>99.5</v>
      </c>
      <c r="J301">
        <v>83.52</v>
      </c>
      <c r="K301" t="s">
        <v>47</v>
      </c>
      <c r="L301">
        <v>8.8000000000000007</v>
      </c>
      <c r="M301">
        <v>4.5</v>
      </c>
      <c r="N301" t="s">
        <v>39</v>
      </c>
      <c r="O301">
        <v>12</v>
      </c>
      <c r="P301" t="s">
        <v>23</v>
      </c>
      <c r="Q301">
        <v>64.599999999999994</v>
      </c>
    </row>
    <row r="302" spans="1:17" x14ac:dyDescent="0.35">
      <c r="A302" s="1">
        <v>45812</v>
      </c>
      <c r="B302" t="s">
        <v>78</v>
      </c>
      <c r="C302" t="s">
        <v>41</v>
      </c>
      <c r="D302" t="s">
        <v>79</v>
      </c>
      <c r="E302" t="s">
        <v>27</v>
      </c>
      <c r="F302">
        <v>235.59</v>
      </c>
      <c r="G302">
        <v>62.7</v>
      </c>
      <c r="H302">
        <v>96.3</v>
      </c>
      <c r="I302">
        <v>96.7</v>
      </c>
      <c r="J302">
        <v>76.930000000000007</v>
      </c>
      <c r="K302" t="s">
        <v>28</v>
      </c>
      <c r="L302">
        <v>7.4</v>
      </c>
      <c r="M302">
        <v>2.2999999999999998</v>
      </c>
      <c r="N302" t="s">
        <v>39</v>
      </c>
      <c r="O302">
        <v>8</v>
      </c>
      <c r="P302" t="s">
        <v>43</v>
      </c>
      <c r="Q302">
        <v>60.4</v>
      </c>
    </row>
    <row r="303" spans="1:17" x14ac:dyDescent="0.35">
      <c r="A303" s="1">
        <v>45812</v>
      </c>
      <c r="B303" t="s">
        <v>84</v>
      </c>
      <c r="C303" t="s">
        <v>18</v>
      </c>
      <c r="D303" t="s">
        <v>85</v>
      </c>
      <c r="E303" t="s">
        <v>33</v>
      </c>
      <c r="F303">
        <v>230.71</v>
      </c>
      <c r="G303">
        <v>155.9</v>
      </c>
      <c r="H303">
        <v>94.61</v>
      </c>
      <c r="I303">
        <v>96.41</v>
      </c>
      <c r="J303">
        <v>74.87</v>
      </c>
      <c r="K303" t="s">
        <v>28</v>
      </c>
      <c r="L303">
        <v>7.1</v>
      </c>
      <c r="M303">
        <v>4.9000000000000004</v>
      </c>
      <c r="N303" t="s">
        <v>35</v>
      </c>
      <c r="O303">
        <v>7</v>
      </c>
      <c r="P303" t="s">
        <v>23</v>
      </c>
      <c r="Q303">
        <v>59.3</v>
      </c>
    </row>
    <row r="304" spans="1:17" x14ac:dyDescent="0.35">
      <c r="A304" s="1">
        <v>45812</v>
      </c>
      <c r="B304" t="s">
        <v>48</v>
      </c>
      <c r="C304" t="s">
        <v>49</v>
      </c>
      <c r="D304" t="s">
        <v>50</v>
      </c>
      <c r="E304" t="s">
        <v>33</v>
      </c>
      <c r="F304">
        <v>424.83</v>
      </c>
      <c r="G304">
        <v>141.4</v>
      </c>
      <c r="H304">
        <v>94.3</v>
      </c>
      <c r="I304">
        <v>95.64</v>
      </c>
      <c r="J304">
        <v>77.260000000000005</v>
      </c>
      <c r="K304" t="s">
        <v>47</v>
      </c>
      <c r="L304">
        <v>8.3000000000000007</v>
      </c>
      <c r="M304">
        <v>4.0999999999999996</v>
      </c>
      <c r="N304" t="s">
        <v>35</v>
      </c>
      <c r="O304">
        <v>10</v>
      </c>
      <c r="P304" t="s">
        <v>23</v>
      </c>
      <c r="Q304">
        <v>61.8</v>
      </c>
    </row>
    <row r="305" spans="1:17" x14ac:dyDescent="0.35">
      <c r="A305" s="1">
        <v>45812</v>
      </c>
      <c r="B305" t="s">
        <v>59</v>
      </c>
      <c r="C305" t="s">
        <v>60</v>
      </c>
      <c r="D305" t="s">
        <v>61</v>
      </c>
      <c r="E305" t="s">
        <v>62</v>
      </c>
      <c r="F305">
        <v>460.23</v>
      </c>
      <c r="G305">
        <v>176</v>
      </c>
      <c r="H305">
        <v>91.84</v>
      </c>
      <c r="I305">
        <v>96.9</v>
      </c>
      <c r="J305">
        <v>91.26</v>
      </c>
      <c r="K305" t="s">
        <v>63</v>
      </c>
      <c r="L305">
        <v>8.3000000000000007</v>
      </c>
      <c r="N305" t="s">
        <v>35</v>
      </c>
      <c r="O305">
        <v>6</v>
      </c>
      <c r="P305" t="s">
        <v>23</v>
      </c>
      <c r="Q305">
        <v>76.599999999999994</v>
      </c>
    </row>
    <row r="306" spans="1:17" x14ac:dyDescent="0.35">
      <c r="A306" s="1">
        <v>45812</v>
      </c>
      <c r="B306" t="s">
        <v>101</v>
      </c>
      <c r="C306" t="s">
        <v>45</v>
      </c>
      <c r="D306" t="s">
        <v>102</v>
      </c>
      <c r="E306" t="s">
        <v>27</v>
      </c>
      <c r="F306">
        <v>971.39</v>
      </c>
      <c r="G306">
        <v>1671.5</v>
      </c>
      <c r="H306">
        <v>93.79</v>
      </c>
      <c r="I306">
        <v>98.59</v>
      </c>
      <c r="J306">
        <v>76.069999999999993</v>
      </c>
      <c r="K306" t="s">
        <v>47</v>
      </c>
      <c r="L306">
        <v>8.6999999999999993</v>
      </c>
      <c r="M306">
        <v>4.5999999999999996</v>
      </c>
      <c r="N306" t="s">
        <v>29</v>
      </c>
      <c r="O306">
        <v>11</v>
      </c>
      <c r="P306" t="s">
        <v>23</v>
      </c>
      <c r="Q306">
        <v>62.8</v>
      </c>
    </row>
    <row r="307" spans="1:17" x14ac:dyDescent="0.35">
      <c r="A307" s="1">
        <v>45812</v>
      </c>
      <c r="B307" t="s">
        <v>84</v>
      </c>
      <c r="C307" t="s">
        <v>18</v>
      </c>
      <c r="D307" t="s">
        <v>85</v>
      </c>
      <c r="E307" t="s">
        <v>33</v>
      </c>
      <c r="F307">
        <v>298.35000000000002</v>
      </c>
      <c r="G307">
        <v>139.30000000000001</v>
      </c>
      <c r="H307">
        <v>95.91</v>
      </c>
      <c r="I307">
        <v>95.92</v>
      </c>
      <c r="J307">
        <v>78.790000000000006</v>
      </c>
      <c r="K307" t="s">
        <v>28</v>
      </c>
      <c r="L307">
        <v>8.1</v>
      </c>
      <c r="M307">
        <v>5</v>
      </c>
      <c r="N307" t="s">
        <v>35</v>
      </c>
      <c r="O307">
        <v>8</v>
      </c>
      <c r="P307" t="s">
        <v>23</v>
      </c>
      <c r="Q307">
        <v>61.4</v>
      </c>
    </row>
    <row r="308" spans="1:17" x14ac:dyDescent="0.35">
      <c r="A308" s="1">
        <v>45812</v>
      </c>
      <c r="B308" t="s">
        <v>59</v>
      </c>
      <c r="C308" t="s">
        <v>60</v>
      </c>
      <c r="D308" t="s">
        <v>61</v>
      </c>
      <c r="E308" t="s">
        <v>62</v>
      </c>
      <c r="F308">
        <v>541.67999999999995</v>
      </c>
      <c r="G308">
        <v>186.5</v>
      </c>
      <c r="H308">
        <v>85.33</v>
      </c>
      <c r="I308">
        <v>94.41</v>
      </c>
      <c r="J308">
        <v>88.19</v>
      </c>
      <c r="K308" t="s">
        <v>63</v>
      </c>
      <c r="L308">
        <v>8.9</v>
      </c>
      <c r="N308" t="s">
        <v>35</v>
      </c>
      <c r="O308">
        <v>4</v>
      </c>
      <c r="P308" t="s">
        <v>23</v>
      </c>
      <c r="Q308">
        <v>75.400000000000006</v>
      </c>
    </row>
    <row r="309" spans="1:17" x14ac:dyDescent="0.35">
      <c r="A309" s="1">
        <v>45812</v>
      </c>
      <c r="B309" t="s">
        <v>101</v>
      </c>
      <c r="C309" t="s">
        <v>45</v>
      </c>
      <c r="D309" t="s">
        <v>102</v>
      </c>
      <c r="E309" t="s">
        <v>27</v>
      </c>
      <c r="F309">
        <v>797.46</v>
      </c>
      <c r="G309">
        <v>1046</v>
      </c>
      <c r="H309">
        <v>97.57</v>
      </c>
      <c r="I309">
        <v>98.97</v>
      </c>
      <c r="J309">
        <v>81.41</v>
      </c>
      <c r="K309" t="s">
        <v>88</v>
      </c>
      <c r="L309">
        <v>8.4</v>
      </c>
      <c r="M309">
        <v>3.5</v>
      </c>
      <c r="N309" t="s">
        <v>29</v>
      </c>
      <c r="O309">
        <v>8</v>
      </c>
      <c r="P309" t="s">
        <v>23</v>
      </c>
      <c r="Q309">
        <v>64.7</v>
      </c>
    </row>
    <row r="310" spans="1:17" x14ac:dyDescent="0.35">
      <c r="A310" s="1">
        <v>45812</v>
      </c>
      <c r="B310" t="s">
        <v>51</v>
      </c>
      <c r="C310" t="s">
        <v>45</v>
      </c>
      <c r="D310" t="s">
        <v>52</v>
      </c>
      <c r="E310" t="s">
        <v>27</v>
      </c>
      <c r="F310">
        <v>945.8</v>
      </c>
      <c r="G310">
        <v>588</v>
      </c>
      <c r="H310">
        <v>92.68</v>
      </c>
      <c r="I310">
        <v>99.21</v>
      </c>
      <c r="J310">
        <v>79.19</v>
      </c>
      <c r="K310" t="s">
        <v>88</v>
      </c>
      <c r="L310">
        <v>8.4</v>
      </c>
      <c r="M310">
        <v>1.7</v>
      </c>
      <c r="N310" t="s">
        <v>39</v>
      </c>
      <c r="O310">
        <v>15</v>
      </c>
      <c r="P310" t="s">
        <v>23</v>
      </c>
      <c r="Q310">
        <v>64.7</v>
      </c>
    </row>
    <row r="311" spans="1:17" x14ac:dyDescent="0.35">
      <c r="A311" s="1">
        <v>45812</v>
      </c>
      <c r="B311" t="s">
        <v>36</v>
      </c>
      <c r="C311" t="s">
        <v>37</v>
      </c>
      <c r="D311" t="s">
        <v>38</v>
      </c>
      <c r="E311" t="s">
        <v>27</v>
      </c>
      <c r="F311">
        <v>411.97</v>
      </c>
      <c r="G311">
        <v>19.600000000000001</v>
      </c>
      <c r="H311">
        <v>96.89</v>
      </c>
      <c r="I311">
        <v>93.89</v>
      </c>
      <c r="J311">
        <v>83.57</v>
      </c>
      <c r="K311" t="s">
        <v>47</v>
      </c>
      <c r="L311">
        <v>9</v>
      </c>
      <c r="M311">
        <v>2.6</v>
      </c>
      <c r="N311" t="s">
        <v>29</v>
      </c>
      <c r="O311">
        <v>9</v>
      </c>
      <c r="P311" t="s">
        <v>23</v>
      </c>
      <c r="Q311">
        <v>62.7</v>
      </c>
    </row>
    <row r="312" spans="1:17" x14ac:dyDescent="0.35">
      <c r="A312" s="1">
        <v>45812</v>
      </c>
      <c r="B312" t="s">
        <v>44</v>
      </c>
      <c r="C312" t="s">
        <v>45</v>
      </c>
      <c r="D312" t="s">
        <v>46</v>
      </c>
      <c r="E312" t="s">
        <v>33</v>
      </c>
      <c r="F312">
        <v>392.62</v>
      </c>
      <c r="G312">
        <v>281.3</v>
      </c>
      <c r="H312">
        <v>97.83</v>
      </c>
      <c r="I312">
        <v>98.54</v>
      </c>
      <c r="J312">
        <v>78.489999999999995</v>
      </c>
      <c r="K312" t="s">
        <v>34</v>
      </c>
      <c r="L312">
        <v>7.7</v>
      </c>
      <c r="M312">
        <v>2.2999999999999998</v>
      </c>
      <c r="N312" t="s">
        <v>35</v>
      </c>
      <c r="O312">
        <v>10</v>
      </c>
      <c r="P312" t="s">
        <v>23</v>
      </c>
      <c r="Q312">
        <v>63.8</v>
      </c>
    </row>
    <row r="313" spans="1:17" x14ac:dyDescent="0.35">
      <c r="A313" s="1">
        <v>45812</v>
      </c>
      <c r="B313" t="s">
        <v>59</v>
      </c>
      <c r="C313" t="s">
        <v>60</v>
      </c>
      <c r="D313" t="s">
        <v>61</v>
      </c>
      <c r="E313" t="s">
        <v>62</v>
      </c>
      <c r="F313">
        <v>334.37</v>
      </c>
      <c r="G313">
        <v>180.5</v>
      </c>
      <c r="H313">
        <v>88.46</v>
      </c>
      <c r="I313">
        <v>93.87</v>
      </c>
      <c r="J313">
        <v>88.43</v>
      </c>
      <c r="K313" t="s">
        <v>34</v>
      </c>
      <c r="L313">
        <v>7.9</v>
      </c>
      <c r="N313" t="s">
        <v>35</v>
      </c>
      <c r="O313">
        <v>5</v>
      </c>
      <c r="P313" t="s">
        <v>23</v>
      </c>
      <c r="Q313">
        <v>74</v>
      </c>
    </row>
    <row r="314" spans="1:17" x14ac:dyDescent="0.35">
      <c r="A314" s="1">
        <v>45812</v>
      </c>
      <c r="B314" t="s">
        <v>59</v>
      </c>
      <c r="C314" t="s">
        <v>60</v>
      </c>
      <c r="D314" t="s">
        <v>61</v>
      </c>
      <c r="E314" t="s">
        <v>62</v>
      </c>
      <c r="F314">
        <v>409.97</v>
      </c>
      <c r="G314">
        <v>177.3</v>
      </c>
      <c r="H314">
        <v>87.54</v>
      </c>
      <c r="I314">
        <v>94.3</v>
      </c>
      <c r="J314">
        <v>87.79</v>
      </c>
      <c r="K314" t="s">
        <v>63</v>
      </c>
      <c r="L314">
        <v>8.4</v>
      </c>
      <c r="N314" t="s">
        <v>35</v>
      </c>
      <c r="O314">
        <v>4</v>
      </c>
      <c r="P314" t="s">
        <v>43</v>
      </c>
      <c r="Q314">
        <v>74.7</v>
      </c>
    </row>
    <row r="315" spans="1:17" x14ac:dyDescent="0.35">
      <c r="A315" s="1">
        <v>45812</v>
      </c>
      <c r="B315" t="s">
        <v>55</v>
      </c>
      <c r="C315" t="s">
        <v>56</v>
      </c>
      <c r="D315">
        <v>4</v>
      </c>
      <c r="E315" t="s">
        <v>57</v>
      </c>
      <c r="F315">
        <v>30</v>
      </c>
      <c r="G315">
        <v>145.80000000000001</v>
      </c>
      <c r="H315">
        <v>88.22</v>
      </c>
      <c r="I315">
        <v>93.58</v>
      </c>
      <c r="J315">
        <v>79.430000000000007</v>
      </c>
      <c r="K315" t="s">
        <v>58</v>
      </c>
      <c r="L315">
        <v>7</v>
      </c>
      <c r="N315" t="s">
        <v>35</v>
      </c>
      <c r="O315">
        <v>5</v>
      </c>
      <c r="P315" t="s">
        <v>43</v>
      </c>
      <c r="Q315">
        <v>69.7</v>
      </c>
    </row>
    <row r="316" spans="1:17" x14ac:dyDescent="0.35">
      <c r="A316" s="1">
        <v>45812</v>
      </c>
      <c r="B316" t="s">
        <v>76</v>
      </c>
      <c r="C316" t="s">
        <v>45</v>
      </c>
      <c r="D316" t="s">
        <v>77</v>
      </c>
      <c r="E316" t="s">
        <v>27</v>
      </c>
      <c r="F316">
        <v>397.77</v>
      </c>
      <c r="G316">
        <v>662.9</v>
      </c>
      <c r="H316">
        <v>92.35</v>
      </c>
      <c r="I316">
        <v>99.22</v>
      </c>
      <c r="J316">
        <v>82.22</v>
      </c>
      <c r="K316" t="s">
        <v>34</v>
      </c>
      <c r="L316">
        <v>8</v>
      </c>
      <c r="M316">
        <v>3.4</v>
      </c>
      <c r="N316" t="s">
        <v>39</v>
      </c>
      <c r="O316">
        <v>9</v>
      </c>
      <c r="P316" t="s">
        <v>23</v>
      </c>
      <c r="Q316">
        <v>63.4</v>
      </c>
    </row>
    <row r="317" spans="1:17" x14ac:dyDescent="0.35">
      <c r="A317" s="1">
        <v>45812</v>
      </c>
      <c r="B317" t="s">
        <v>24</v>
      </c>
      <c r="C317" t="s">
        <v>25</v>
      </c>
      <c r="D317" t="s">
        <v>26</v>
      </c>
      <c r="E317" t="s">
        <v>27</v>
      </c>
      <c r="F317">
        <v>265.64</v>
      </c>
      <c r="G317">
        <v>39.5</v>
      </c>
      <c r="H317">
        <v>94.91</v>
      </c>
      <c r="I317">
        <v>96.39</v>
      </c>
      <c r="J317">
        <v>78.010000000000005</v>
      </c>
      <c r="K317" t="s">
        <v>47</v>
      </c>
      <c r="L317">
        <v>7.9</v>
      </c>
      <c r="M317">
        <v>3.9</v>
      </c>
      <c r="N317" t="s">
        <v>29</v>
      </c>
      <c r="O317">
        <v>9</v>
      </c>
      <c r="P317" t="s">
        <v>30</v>
      </c>
      <c r="Q317">
        <v>59.6</v>
      </c>
    </row>
    <row r="318" spans="1:17" x14ac:dyDescent="0.35">
      <c r="A318" s="1">
        <v>45812</v>
      </c>
      <c r="B318" t="s">
        <v>48</v>
      </c>
      <c r="C318" t="s">
        <v>49</v>
      </c>
      <c r="D318" t="s">
        <v>50</v>
      </c>
      <c r="E318" t="s">
        <v>33</v>
      </c>
      <c r="F318">
        <v>498.83</v>
      </c>
      <c r="G318">
        <v>146.30000000000001</v>
      </c>
      <c r="H318">
        <v>92.24</v>
      </c>
      <c r="I318">
        <v>95.19</v>
      </c>
      <c r="J318">
        <v>76.680000000000007</v>
      </c>
      <c r="K318" t="s">
        <v>34</v>
      </c>
      <c r="L318">
        <v>8</v>
      </c>
      <c r="M318">
        <v>2.2999999999999998</v>
      </c>
      <c r="N318" t="s">
        <v>35</v>
      </c>
      <c r="O318">
        <v>6</v>
      </c>
      <c r="P318" t="s">
        <v>43</v>
      </c>
      <c r="Q318">
        <v>62.1</v>
      </c>
    </row>
    <row r="319" spans="1:17" x14ac:dyDescent="0.35">
      <c r="A319" s="1">
        <v>45812</v>
      </c>
      <c r="B319" t="s">
        <v>89</v>
      </c>
      <c r="C319" t="s">
        <v>67</v>
      </c>
      <c r="D319" t="s">
        <v>90</v>
      </c>
      <c r="E319" t="s">
        <v>27</v>
      </c>
      <c r="F319">
        <v>686.91</v>
      </c>
      <c r="G319">
        <v>48.3</v>
      </c>
      <c r="H319">
        <v>94.94</v>
      </c>
      <c r="I319">
        <v>96.16</v>
      </c>
      <c r="J319">
        <v>81.849999999999994</v>
      </c>
      <c r="K319" t="s">
        <v>28</v>
      </c>
      <c r="L319">
        <v>9.3000000000000007</v>
      </c>
      <c r="M319">
        <v>3.8</v>
      </c>
      <c r="N319" t="s">
        <v>29</v>
      </c>
      <c r="O319">
        <v>13</v>
      </c>
      <c r="P319" t="s">
        <v>23</v>
      </c>
      <c r="Q319">
        <v>62.8</v>
      </c>
    </row>
    <row r="320" spans="1:17" x14ac:dyDescent="0.35">
      <c r="A320" s="1">
        <v>45812</v>
      </c>
      <c r="B320" t="s">
        <v>59</v>
      </c>
      <c r="C320" t="s">
        <v>60</v>
      </c>
      <c r="D320" t="s">
        <v>61</v>
      </c>
      <c r="E320" t="s">
        <v>62</v>
      </c>
      <c r="F320">
        <v>426.55</v>
      </c>
      <c r="G320">
        <v>191.6</v>
      </c>
      <c r="H320">
        <v>91.25</v>
      </c>
      <c r="I320">
        <v>94.12</v>
      </c>
      <c r="J320">
        <v>89.43</v>
      </c>
      <c r="K320" t="s">
        <v>34</v>
      </c>
      <c r="L320">
        <v>9.4</v>
      </c>
      <c r="N320" t="s">
        <v>35</v>
      </c>
      <c r="O320">
        <v>5</v>
      </c>
      <c r="P320" t="s">
        <v>23</v>
      </c>
      <c r="Q320">
        <v>77.8</v>
      </c>
    </row>
    <row r="321" spans="1:17" x14ac:dyDescent="0.35">
      <c r="A321" s="1">
        <v>45812</v>
      </c>
      <c r="B321" t="s">
        <v>99</v>
      </c>
      <c r="C321" t="s">
        <v>72</v>
      </c>
      <c r="D321" t="s">
        <v>100</v>
      </c>
      <c r="E321" t="s">
        <v>27</v>
      </c>
      <c r="F321">
        <v>290.72000000000003</v>
      </c>
      <c r="G321">
        <v>33.1</v>
      </c>
      <c r="H321">
        <v>95.85</v>
      </c>
      <c r="I321">
        <v>94.6</v>
      </c>
      <c r="J321">
        <v>84.81</v>
      </c>
      <c r="K321" t="s">
        <v>28</v>
      </c>
      <c r="L321">
        <v>7.5</v>
      </c>
      <c r="M321">
        <v>1.6</v>
      </c>
      <c r="N321" t="s">
        <v>39</v>
      </c>
      <c r="O321">
        <v>12</v>
      </c>
      <c r="P321" t="s">
        <v>43</v>
      </c>
      <c r="Q321">
        <v>61.3</v>
      </c>
    </row>
    <row r="322" spans="1:17" x14ac:dyDescent="0.35">
      <c r="A322" s="1">
        <v>45812</v>
      </c>
      <c r="B322" t="s">
        <v>59</v>
      </c>
      <c r="C322" t="s">
        <v>60</v>
      </c>
      <c r="D322" t="s">
        <v>61</v>
      </c>
      <c r="E322" t="s">
        <v>62</v>
      </c>
      <c r="F322">
        <v>322.10000000000002</v>
      </c>
      <c r="G322">
        <v>176.5</v>
      </c>
      <c r="H322">
        <v>87.55</v>
      </c>
      <c r="I322">
        <v>96.09</v>
      </c>
      <c r="J322">
        <v>88.66</v>
      </c>
      <c r="K322" t="s">
        <v>63</v>
      </c>
      <c r="L322">
        <v>7.1</v>
      </c>
      <c r="N322" t="s">
        <v>35</v>
      </c>
      <c r="O322">
        <v>6</v>
      </c>
      <c r="P322" t="s">
        <v>43</v>
      </c>
      <c r="Q322">
        <v>72.7</v>
      </c>
    </row>
    <row r="323" spans="1:17" x14ac:dyDescent="0.35">
      <c r="A323" s="1">
        <v>45812</v>
      </c>
      <c r="B323" t="s">
        <v>24</v>
      </c>
      <c r="C323" t="s">
        <v>25</v>
      </c>
      <c r="D323" t="s">
        <v>26</v>
      </c>
      <c r="E323" t="s">
        <v>27</v>
      </c>
      <c r="F323">
        <v>492.8</v>
      </c>
      <c r="G323">
        <v>38.5</v>
      </c>
      <c r="H323">
        <v>92.47</v>
      </c>
      <c r="I323">
        <v>97.54</v>
      </c>
      <c r="J323">
        <v>82.19</v>
      </c>
      <c r="K323" t="s">
        <v>28</v>
      </c>
      <c r="L323">
        <v>9.5</v>
      </c>
      <c r="M323">
        <v>3.2</v>
      </c>
      <c r="N323" t="s">
        <v>39</v>
      </c>
      <c r="O323">
        <v>14</v>
      </c>
      <c r="P323" t="s">
        <v>30</v>
      </c>
      <c r="Q323">
        <v>63.2</v>
      </c>
    </row>
    <row r="324" spans="1:17" x14ac:dyDescent="0.35">
      <c r="A324" s="1">
        <v>45812</v>
      </c>
      <c r="B324" t="s">
        <v>55</v>
      </c>
      <c r="C324" t="s">
        <v>56</v>
      </c>
      <c r="D324">
        <v>4</v>
      </c>
      <c r="E324" t="s">
        <v>57</v>
      </c>
      <c r="F324">
        <v>30</v>
      </c>
      <c r="G324">
        <v>142.30000000000001</v>
      </c>
      <c r="H324">
        <v>85.58</v>
      </c>
      <c r="I324">
        <v>95.74</v>
      </c>
      <c r="J324">
        <v>71.010000000000005</v>
      </c>
      <c r="K324" t="s">
        <v>63</v>
      </c>
      <c r="L324">
        <v>7.6</v>
      </c>
      <c r="N324" t="s">
        <v>35</v>
      </c>
      <c r="O324">
        <v>2</v>
      </c>
      <c r="P324" t="s">
        <v>43</v>
      </c>
      <c r="Q324">
        <v>69.099999999999994</v>
      </c>
    </row>
    <row r="325" spans="1:17" x14ac:dyDescent="0.35">
      <c r="A325" s="1">
        <v>45812</v>
      </c>
      <c r="B325" t="s">
        <v>36</v>
      </c>
      <c r="C325" t="s">
        <v>37</v>
      </c>
      <c r="D325" t="s">
        <v>38</v>
      </c>
      <c r="E325" t="s">
        <v>33</v>
      </c>
      <c r="F325">
        <v>412.61</v>
      </c>
      <c r="G325">
        <v>213.8</v>
      </c>
      <c r="H325">
        <v>97.83</v>
      </c>
      <c r="I325">
        <v>93.45</v>
      </c>
      <c r="J325">
        <v>71.790000000000006</v>
      </c>
      <c r="K325" t="s">
        <v>34</v>
      </c>
      <c r="L325">
        <v>8.8000000000000007</v>
      </c>
      <c r="M325">
        <v>2.8</v>
      </c>
      <c r="N325" t="s">
        <v>35</v>
      </c>
      <c r="O325">
        <v>6</v>
      </c>
      <c r="P325" t="s">
        <v>23</v>
      </c>
      <c r="Q325">
        <v>63.3</v>
      </c>
    </row>
    <row r="326" spans="1:17" x14ac:dyDescent="0.35">
      <c r="A326" s="1">
        <v>45812</v>
      </c>
      <c r="B326" t="s">
        <v>69</v>
      </c>
      <c r="C326" t="s">
        <v>18</v>
      </c>
      <c r="D326" t="s">
        <v>70</v>
      </c>
      <c r="E326" t="s">
        <v>20</v>
      </c>
      <c r="F326">
        <v>219.02</v>
      </c>
      <c r="G326">
        <v>138.30000000000001</v>
      </c>
      <c r="H326">
        <v>92.55</v>
      </c>
      <c r="I326">
        <v>95.85</v>
      </c>
      <c r="J326">
        <v>78.17</v>
      </c>
      <c r="K326" t="s">
        <v>58</v>
      </c>
      <c r="L326">
        <v>7.8</v>
      </c>
      <c r="N326" t="s">
        <v>35</v>
      </c>
      <c r="O326">
        <v>6</v>
      </c>
      <c r="P326" t="s">
        <v>23</v>
      </c>
      <c r="Q326">
        <v>72.2</v>
      </c>
    </row>
    <row r="327" spans="1:17" x14ac:dyDescent="0.35">
      <c r="A327" s="1">
        <v>45812</v>
      </c>
      <c r="B327" t="s">
        <v>101</v>
      </c>
      <c r="C327" t="s">
        <v>45</v>
      </c>
      <c r="D327" t="s">
        <v>102</v>
      </c>
      <c r="E327" t="s">
        <v>27</v>
      </c>
      <c r="F327">
        <v>260.07</v>
      </c>
      <c r="G327">
        <v>760.4</v>
      </c>
      <c r="H327">
        <v>96.05</v>
      </c>
      <c r="I327">
        <v>99.46</v>
      </c>
      <c r="J327">
        <v>76.349999999999994</v>
      </c>
      <c r="K327" t="s">
        <v>47</v>
      </c>
      <c r="L327">
        <v>7.6</v>
      </c>
      <c r="M327">
        <v>4.3</v>
      </c>
      <c r="N327" t="s">
        <v>39</v>
      </c>
      <c r="O327">
        <v>11</v>
      </c>
      <c r="P327" t="s">
        <v>23</v>
      </c>
      <c r="Q327">
        <v>61.8</v>
      </c>
    </row>
    <row r="328" spans="1:17" x14ac:dyDescent="0.35">
      <c r="A328" s="1">
        <v>45812</v>
      </c>
      <c r="B328" t="s">
        <v>59</v>
      </c>
      <c r="C328" t="s">
        <v>60</v>
      </c>
      <c r="D328" t="s">
        <v>61</v>
      </c>
      <c r="E328" t="s">
        <v>62</v>
      </c>
      <c r="F328">
        <v>384.74</v>
      </c>
      <c r="G328">
        <v>175.7</v>
      </c>
      <c r="H328">
        <v>90.76</v>
      </c>
      <c r="I328">
        <v>93.61</v>
      </c>
      <c r="J328">
        <v>90.98</v>
      </c>
      <c r="K328" t="s">
        <v>34</v>
      </c>
      <c r="L328">
        <v>7.3</v>
      </c>
      <c r="N328" t="s">
        <v>35</v>
      </c>
      <c r="O328">
        <v>4</v>
      </c>
      <c r="P328" t="s">
        <v>23</v>
      </c>
      <c r="Q328">
        <v>73.7</v>
      </c>
    </row>
    <row r="329" spans="1:17" x14ac:dyDescent="0.35">
      <c r="A329" s="1">
        <v>45812</v>
      </c>
      <c r="B329" t="s">
        <v>55</v>
      </c>
      <c r="C329" t="s">
        <v>56</v>
      </c>
      <c r="D329">
        <v>4</v>
      </c>
      <c r="E329" t="s">
        <v>57</v>
      </c>
      <c r="F329">
        <v>30</v>
      </c>
      <c r="G329">
        <v>125</v>
      </c>
      <c r="H329">
        <v>90.93</v>
      </c>
      <c r="I329">
        <v>96.03</v>
      </c>
      <c r="J329">
        <v>75.8</v>
      </c>
      <c r="K329" t="s">
        <v>58</v>
      </c>
      <c r="L329">
        <v>7.4</v>
      </c>
      <c r="N329" t="s">
        <v>35</v>
      </c>
      <c r="O329">
        <v>4</v>
      </c>
      <c r="P329" t="s">
        <v>23</v>
      </c>
      <c r="Q329">
        <v>70.3</v>
      </c>
    </row>
    <row r="330" spans="1:17" x14ac:dyDescent="0.35">
      <c r="A330" s="1">
        <v>45812</v>
      </c>
      <c r="B330" t="s">
        <v>86</v>
      </c>
      <c r="C330" t="s">
        <v>25</v>
      </c>
      <c r="D330" t="s">
        <v>87</v>
      </c>
      <c r="E330" t="s">
        <v>27</v>
      </c>
      <c r="F330">
        <v>567.5</v>
      </c>
      <c r="G330">
        <v>19.3</v>
      </c>
      <c r="H330">
        <v>97.68</v>
      </c>
      <c r="I330">
        <v>96.25</v>
      </c>
      <c r="J330">
        <v>84.21</v>
      </c>
      <c r="K330" t="s">
        <v>47</v>
      </c>
      <c r="L330">
        <v>9.1</v>
      </c>
      <c r="M330">
        <v>4.5</v>
      </c>
      <c r="N330" t="s">
        <v>29</v>
      </c>
      <c r="O330">
        <v>13</v>
      </c>
      <c r="P330" t="s">
        <v>30</v>
      </c>
      <c r="Q330">
        <v>62.2</v>
      </c>
    </row>
    <row r="331" spans="1:17" x14ac:dyDescent="0.35">
      <c r="A331" s="1">
        <v>45812</v>
      </c>
      <c r="B331" t="s">
        <v>101</v>
      </c>
      <c r="C331" t="s">
        <v>45</v>
      </c>
      <c r="D331" t="s">
        <v>102</v>
      </c>
      <c r="E331" t="s">
        <v>27</v>
      </c>
      <c r="F331">
        <v>802.75</v>
      </c>
      <c r="G331">
        <v>1099.5</v>
      </c>
      <c r="H331">
        <v>94.38</v>
      </c>
      <c r="I331">
        <v>98.79</v>
      </c>
      <c r="J331">
        <v>80.34</v>
      </c>
      <c r="K331" t="s">
        <v>88</v>
      </c>
      <c r="L331">
        <v>9.5</v>
      </c>
      <c r="M331">
        <v>2.2000000000000002</v>
      </c>
      <c r="N331" t="s">
        <v>29</v>
      </c>
      <c r="O331">
        <v>9</v>
      </c>
      <c r="P331" t="s">
        <v>23</v>
      </c>
      <c r="Q331">
        <v>66.599999999999994</v>
      </c>
    </row>
    <row r="332" spans="1:17" x14ac:dyDescent="0.35">
      <c r="A332" s="1">
        <v>45812</v>
      </c>
      <c r="B332" t="s">
        <v>93</v>
      </c>
      <c r="C332" t="s">
        <v>37</v>
      </c>
      <c r="D332" t="s">
        <v>94</v>
      </c>
      <c r="E332" t="s">
        <v>33</v>
      </c>
      <c r="F332">
        <v>337.27</v>
      </c>
      <c r="G332">
        <v>186.5</v>
      </c>
      <c r="H332">
        <v>97.96</v>
      </c>
      <c r="I332">
        <v>94.35</v>
      </c>
      <c r="J332">
        <v>70.33</v>
      </c>
      <c r="K332" t="s">
        <v>47</v>
      </c>
      <c r="L332">
        <v>8.1999999999999993</v>
      </c>
      <c r="M332">
        <v>4.2</v>
      </c>
      <c r="N332" t="s">
        <v>35</v>
      </c>
      <c r="O332">
        <v>10</v>
      </c>
      <c r="P332" t="s">
        <v>23</v>
      </c>
      <c r="Q332">
        <v>61.3</v>
      </c>
    </row>
    <row r="333" spans="1:17" x14ac:dyDescent="0.35">
      <c r="A333" s="1">
        <v>45812</v>
      </c>
      <c r="B333" t="s">
        <v>64</v>
      </c>
      <c r="C333" t="s">
        <v>25</v>
      </c>
      <c r="D333" t="s">
        <v>65</v>
      </c>
      <c r="E333" t="s">
        <v>27</v>
      </c>
      <c r="F333">
        <v>689.46</v>
      </c>
      <c r="G333">
        <v>50.5</v>
      </c>
      <c r="H333">
        <v>94.96</v>
      </c>
      <c r="I333">
        <v>96.44</v>
      </c>
      <c r="J333">
        <v>80.069999999999993</v>
      </c>
      <c r="K333" t="s">
        <v>28</v>
      </c>
      <c r="L333">
        <v>8.4</v>
      </c>
      <c r="M333">
        <v>3.8</v>
      </c>
      <c r="N333" t="s">
        <v>29</v>
      </c>
      <c r="O333">
        <v>11</v>
      </c>
      <c r="P333" t="s">
        <v>30</v>
      </c>
      <c r="Q333">
        <v>61</v>
      </c>
    </row>
    <row r="334" spans="1:17" x14ac:dyDescent="0.35">
      <c r="A334" s="1">
        <v>45812</v>
      </c>
      <c r="B334" t="s">
        <v>99</v>
      </c>
      <c r="C334" t="s">
        <v>72</v>
      </c>
      <c r="D334" t="s">
        <v>100</v>
      </c>
      <c r="E334" t="s">
        <v>33</v>
      </c>
      <c r="F334">
        <v>205.48</v>
      </c>
      <c r="G334">
        <v>90.7</v>
      </c>
      <c r="H334">
        <v>96.54</v>
      </c>
      <c r="I334">
        <v>93.73</v>
      </c>
      <c r="J334">
        <v>70.069999999999993</v>
      </c>
      <c r="K334" t="s">
        <v>28</v>
      </c>
      <c r="L334">
        <v>7.7</v>
      </c>
      <c r="M334">
        <v>2.1</v>
      </c>
      <c r="N334" t="s">
        <v>35</v>
      </c>
      <c r="O334">
        <v>8</v>
      </c>
      <c r="P334" t="s">
        <v>23</v>
      </c>
      <c r="Q334">
        <v>60</v>
      </c>
    </row>
    <row r="335" spans="1:17" x14ac:dyDescent="0.35">
      <c r="A335" s="1">
        <v>45812</v>
      </c>
      <c r="B335" t="s">
        <v>55</v>
      </c>
      <c r="C335" t="s">
        <v>56</v>
      </c>
      <c r="D335">
        <v>4</v>
      </c>
      <c r="E335" t="s">
        <v>57</v>
      </c>
      <c r="F335">
        <v>30</v>
      </c>
      <c r="G335">
        <v>154.80000000000001</v>
      </c>
      <c r="H335">
        <v>89.1</v>
      </c>
      <c r="I335">
        <v>95.69</v>
      </c>
      <c r="J335">
        <v>72.06</v>
      </c>
      <c r="K335" t="s">
        <v>58</v>
      </c>
      <c r="L335">
        <v>7.3</v>
      </c>
      <c r="N335" t="s">
        <v>35</v>
      </c>
      <c r="O335">
        <v>4</v>
      </c>
      <c r="P335" t="s">
        <v>43</v>
      </c>
      <c r="Q335">
        <v>69.7</v>
      </c>
    </row>
    <row r="336" spans="1:17" x14ac:dyDescent="0.35">
      <c r="A336" s="1">
        <v>45812</v>
      </c>
      <c r="B336" t="s">
        <v>89</v>
      </c>
      <c r="C336" t="s">
        <v>67</v>
      </c>
      <c r="D336" t="s">
        <v>90</v>
      </c>
      <c r="E336" t="s">
        <v>27</v>
      </c>
      <c r="F336">
        <v>798.79</v>
      </c>
      <c r="G336">
        <v>22.6</v>
      </c>
      <c r="H336">
        <v>95.86</v>
      </c>
      <c r="I336">
        <v>94.56</v>
      </c>
      <c r="J336">
        <v>79.709999999999994</v>
      </c>
      <c r="K336" t="s">
        <v>34</v>
      </c>
      <c r="L336">
        <v>9.1</v>
      </c>
      <c r="M336">
        <v>4.5999999999999996</v>
      </c>
      <c r="N336" t="s">
        <v>29</v>
      </c>
      <c r="O336">
        <v>11</v>
      </c>
      <c r="P336" t="s">
        <v>43</v>
      </c>
      <c r="Q336">
        <v>60.9</v>
      </c>
    </row>
    <row r="337" spans="1:17" x14ac:dyDescent="0.35">
      <c r="A337" s="1">
        <v>45812</v>
      </c>
      <c r="B337" t="s">
        <v>71</v>
      </c>
      <c r="C337" t="s">
        <v>72</v>
      </c>
      <c r="D337" t="s">
        <v>73</v>
      </c>
      <c r="E337" t="s">
        <v>33</v>
      </c>
      <c r="F337">
        <v>195.78</v>
      </c>
      <c r="G337">
        <v>220.4</v>
      </c>
      <c r="H337">
        <v>92.73</v>
      </c>
      <c r="I337">
        <v>95.91</v>
      </c>
      <c r="J337">
        <v>78.069999999999993</v>
      </c>
      <c r="K337" t="s">
        <v>47</v>
      </c>
      <c r="L337">
        <v>6.2</v>
      </c>
      <c r="M337">
        <v>4</v>
      </c>
      <c r="N337" t="s">
        <v>35</v>
      </c>
      <c r="O337">
        <v>8</v>
      </c>
      <c r="P337" t="s">
        <v>43</v>
      </c>
      <c r="Q337">
        <v>58.8</v>
      </c>
    </row>
    <row r="338" spans="1:17" x14ac:dyDescent="0.35">
      <c r="A338" s="1">
        <v>45812</v>
      </c>
      <c r="B338" t="s">
        <v>101</v>
      </c>
      <c r="C338" t="s">
        <v>45</v>
      </c>
      <c r="D338" t="s">
        <v>102</v>
      </c>
      <c r="E338" t="s">
        <v>33</v>
      </c>
      <c r="F338">
        <v>495.5</v>
      </c>
      <c r="G338">
        <v>948.4</v>
      </c>
      <c r="H338">
        <v>93.46</v>
      </c>
      <c r="I338">
        <v>98.63</v>
      </c>
      <c r="J338">
        <v>77.17</v>
      </c>
      <c r="K338" t="s">
        <v>47</v>
      </c>
      <c r="L338">
        <v>9.1</v>
      </c>
      <c r="M338">
        <v>4.5</v>
      </c>
      <c r="N338" t="s">
        <v>35</v>
      </c>
      <c r="O338">
        <v>5</v>
      </c>
      <c r="P338" t="s">
        <v>23</v>
      </c>
      <c r="Q338">
        <v>63.7</v>
      </c>
    </row>
    <row r="339" spans="1:17" x14ac:dyDescent="0.35">
      <c r="A339" s="1">
        <v>45812</v>
      </c>
      <c r="B339" t="s">
        <v>48</v>
      </c>
      <c r="C339" t="s">
        <v>49</v>
      </c>
      <c r="D339" t="s">
        <v>50</v>
      </c>
      <c r="E339" t="s">
        <v>33</v>
      </c>
      <c r="F339">
        <v>369.36</v>
      </c>
      <c r="G339">
        <v>234.8</v>
      </c>
      <c r="H339">
        <v>96.53</v>
      </c>
      <c r="I339">
        <v>96.82</v>
      </c>
      <c r="J339">
        <v>75.58</v>
      </c>
      <c r="K339" t="s">
        <v>28</v>
      </c>
      <c r="L339">
        <v>8.1999999999999993</v>
      </c>
      <c r="M339">
        <v>2.4</v>
      </c>
      <c r="N339" t="s">
        <v>35</v>
      </c>
      <c r="O339">
        <v>9</v>
      </c>
      <c r="P339" t="s">
        <v>23</v>
      </c>
      <c r="Q339">
        <v>63.6</v>
      </c>
    </row>
    <row r="340" spans="1:17" x14ac:dyDescent="0.35">
      <c r="A340" s="1">
        <v>45812</v>
      </c>
      <c r="B340" t="s">
        <v>31</v>
      </c>
      <c r="C340" t="s">
        <v>18</v>
      </c>
      <c r="D340" t="s">
        <v>32</v>
      </c>
      <c r="E340" t="s">
        <v>33</v>
      </c>
      <c r="F340">
        <v>99</v>
      </c>
      <c r="G340">
        <v>235.4</v>
      </c>
      <c r="H340">
        <v>94.39</v>
      </c>
      <c r="I340">
        <v>93.67</v>
      </c>
      <c r="J340">
        <v>74.41</v>
      </c>
      <c r="K340" t="s">
        <v>28</v>
      </c>
      <c r="L340">
        <v>7.2</v>
      </c>
      <c r="M340">
        <v>3</v>
      </c>
      <c r="N340" t="s">
        <v>35</v>
      </c>
      <c r="O340">
        <v>8</v>
      </c>
      <c r="P340" t="s">
        <v>23</v>
      </c>
      <c r="Q340">
        <v>60.4</v>
      </c>
    </row>
    <row r="341" spans="1:17" x14ac:dyDescent="0.35">
      <c r="A341" s="1">
        <v>45812</v>
      </c>
      <c r="B341" t="s">
        <v>97</v>
      </c>
      <c r="C341" t="s">
        <v>72</v>
      </c>
      <c r="D341" t="s">
        <v>98</v>
      </c>
      <c r="E341" t="s">
        <v>33</v>
      </c>
      <c r="F341">
        <v>223.24</v>
      </c>
      <c r="G341">
        <v>190.4</v>
      </c>
      <c r="H341">
        <v>96.64</v>
      </c>
      <c r="I341">
        <v>94.93</v>
      </c>
      <c r="J341">
        <v>78.05</v>
      </c>
      <c r="K341" t="s">
        <v>34</v>
      </c>
      <c r="L341">
        <v>7.9</v>
      </c>
      <c r="M341">
        <v>3.9</v>
      </c>
      <c r="N341" t="s">
        <v>35</v>
      </c>
      <c r="O341">
        <v>7</v>
      </c>
      <c r="P341" t="s">
        <v>43</v>
      </c>
      <c r="Q341">
        <v>62.2</v>
      </c>
    </row>
    <row r="342" spans="1:17" x14ac:dyDescent="0.35">
      <c r="A342" s="1">
        <v>45812</v>
      </c>
      <c r="B342" t="s">
        <v>82</v>
      </c>
      <c r="C342" t="s">
        <v>72</v>
      </c>
      <c r="D342" t="s">
        <v>83</v>
      </c>
      <c r="E342" t="s">
        <v>20</v>
      </c>
      <c r="F342">
        <v>265.89</v>
      </c>
      <c r="G342">
        <v>96.8</v>
      </c>
      <c r="H342">
        <v>92.77</v>
      </c>
      <c r="I342">
        <v>93.26</v>
      </c>
      <c r="J342">
        <v>77.19</v>
      </c>
      <c r="K342" t="s">
        <v>21</v>
      </c>
      <c r="L342">
        <v>7.4</v>
      </c>
      <c r="N342" t="s">
        <v>22</v>
      </c>
      <c r="O342">
        <v>5</v>
      </c>
      <c r="P342" t="s">
        <v>23</v>
      </c>
      <c r="Q342">
        <v>69.7</v>
      </c>
    </row>
    <row r="343" spans="1:17" x14ac:dyDescent="0.35">
      <c r="A343" s="1">
        <v>45812</v>
      </c>
      <c r="B343" t="s">
        <v>86</v>
      </c>
      <c r="C343" t="s">
        <v>25</v>
      </c>
      <c r="D343" t="s">
        <v>87</v>
      </c>
      <c r="E343" t="s">
        <v>27</v>
      </c>
      <c r="F343">
        <v>244.4</v>
      </c>
      <c r="G343">
        <v>55.6</v>
      </c>
      <c r="H343">
        <v>95.15</v>
      </c>
      <c r="I343">
        <v>97.64</v>
      </c>
      <c r="J343">
        <v>82.33</v>
      </c>
      <c r="K343" t="s">
        <v>47</v>
      </c>
      <c r="L343">
        <v>7.3</v>
      </c>
      <c r="M343">
        <v>2.2000000000000002</v>
      </c>
      <c r="N343" t="s">
        <v>29</v>
      </c>
      <c r="O343">
        <v>15</v>
      </c>
      <c r="P343" t="s">
        <v>30</v>
      </c>
      <c r="Q343">
        <v>61</v>
      </c>
    </row>
    <row r="344" spans="1:17" x14ac:dyDescent="0.35">
      <c r="A344" s="1">
        <v>45812</v>
      </c>
      <c r="B344" t="s">
        <v>95</v>
      </c>
      <c r="C344" t="s">
        <v>49</v>
      </c>
      <c r="D344" t="s">
        <v>96</v>
      </c>
      <c r="E344" t="s">
        <v>27</v>
      </c>
      <c r="F344">
        <v>273.75</v>
      </c>
      <c r="G344">
        <v>23.6</v>
      </c>
      <c r="H344">
        <v>92.05</v>
      </c>
      <c r="I344">
        <v>96.58</v>
      </c>
      <c r="J344">
        <v>80.709999999999994</v>
      </c>
      <c r="K344" t="s">
        <v>47</v>
      </c>
      <c r="L344">
        <v>7.1</v>
      </c>
      <c r="M344">
        <v>2.1</v>
      </c>
      <c r="N344" t="s">
        <v>39</v>
      </c>
      <c r="O344">
        <v>8</v>
      </c>
      <c r="P344" t="s">
        <v>23</v>
      </c>
      <c r="Q344">
        <v>59.1</v>
      </c>
    </row>
    <row r="345" spans="1:17" x14ac:dyDescent="0.35">
      <c r="A345" s="1">
        <v>45812</v>
      </c>
      <c r="B345" t="s">
        <v>71</v>
      </c>
      <c r="C345" t="s">
        <v>72</v>
      </c>
      <c r="D345" t="s">
        <v>73</v>
      </c>
      <c r="E345" t="s">
        <v>27</v>
      </c>
      <c r="F345">
        <v>222.68</v>
      </c>
      <c r="G345">
        <v>50.1</v>
      </c>
      <c r="H345">
        <v>96.31</v>
      </c>
      <c r="I345">
        <v>93.72</v>
      </c>
      <c r="J345">
        <v>78.5</v>
      </c>
      <c r="K345" t="s">
        <v>47</v>
      </c>
      <c r="L345">
        <v>7.8</v>
      </c>
      <c r="M345">
        <v>3.1</v>
      </c>
      <c r="N345" t="s">
        <v>39</v>
      </c>
      <c r="O345">
        <v>14</v>
      </c>
      <c r="P345" t="s">
        <v>23</v>
      </c>
      <c r="Q345">
        <v>60</v>
      </c>
    </row>
    <row r="346" spans="1:17" x14ac:dyDescent="0.35">
      <c r="A346" s="1">
        <v>45812</v>
      </c>
      <c r="B346" t="s">
        <v>48</v>
      </c>
      <c r="C346" t="s">
        <v>49</v>
      </c>
      <c r="D346" t="s">
        <v>50</v>
      </c>
      <c r="E346" t="s">
        <v>27</v>
      </c>
      <c r="F346">
        <v>449.35</v>
      </c>
      <c r="G346">
        <v>68.400000000000006</v>
      </c>
      <c r="H346">
        <v>96.68</v>
      </c>
      <c r="I346">
        <v>95.23</v>
      </c>
      <c r="J346">
        <v>79.58</v>
      </c>
      <c r="K346" t="s">
        <v>34</v>
      </c>
      <c r="L346">
        <v>9</v>
      </c>
      <c r="M346">
        <v>2.2000000000000002</v>
      </c>
      <c r="N346" t="s">
        <v>29</v>
      </c>
      <c r="O346">
        <v>15</v>
      </c>
      <c r="P346" t="s">
        <v>43</v>
      </c>
      <c r="Q346">
        <v>63.5</v>
      </c>
    </row>
    <row r="347" spans="1:17" x14ac:dyDescent="0.35">
      <c r="A347" s="1">
        <v>45812</v>
      </c>
      <c r="B347" t="s">
        <v>55</v>
      </c>
      <c r="C347" t="s">
        <v>56</v>
      </c>
      <c r="D347">
        <v>4</v>
      </c>
      <c r="E347" t="s">
        <v>57</v>
      </c>
      <c r="F347">
        <v>30</v>
      </c>
      <c r="G347">
        <v>139.30000000000001</v>
      </c>
      <c r="H347">
        <v>85.4</v>
      </c>
      <c r="I347">
        <v>96.14</v>
      </c>
      <c r="J347">
        <v>76.64</v>
      </c>
      <c r="K347" t="s">
        <v>58</v>
      </c>
      <c r="L347">
        <v>7.1</v>
      </c>
      <c r="N347" t="s">
        <v>35</v>
      </c>
      <c r="O347">
        <v>5</v>
      </c>
      <c r="P347" t="s">
        <v>23</v>
      </c>
      <c r="Q347">
        <v>69.2</v>
      </c>
    </row>
    <row r="348" spans="1:17" x14ac:dyDescent="0.35">
      <c r="A348" s="1">
        <v>45812</v>
      </c>
      <c r="B348" t="s">
        <v>51</v>
      </c>
      <c r="C348" t="s">
        <v>45</v>
      </c>
      <c r="D348" t="s">
        <v>52</v>
      </c>
      <c r="E348" t="s">
        <v>33</v>
      </c>
      <c r="F348">
        <v>391.09</v>
      </c>
      <c r="G348">
        <v>377.5</v>
      </c>
      <c r="H348">
        <v>97.13</v>
      </c>
      <c r="I348">
        <v>98.39</v>
      </c>
      <c r="J348">
        <v>77.61</v>
      </c>
      <c r="K348" t="s">
        <v>47</v>
      </c>
      <c r="L348">
        <v>8.1999999999999993</v>
      </c>
      <c r="M348">
        <v>4.5999999999999996</v>
      </c>
      <c r="N348" t="s">
        <v>22</v>
      </c>
      <c r="O348">
        <v>9</v>
      </c>
      <c r="P348" t="s">
        <v>23</v>
      </c>
      <c r="Q348">
        <v>62.8</v>
      </c>
    </row>
    <row r="349" spans="1:17" x14ac:dyDescent="0.35">
      <c r="A349" s="1">
        <v>45812</v>
      </c>
      <c r="B349" t="s">
        <v>78</v>
      </c>
      <c r="C349" t="s">
        <v>41</v>
      </c>
      <c r="D349" t="s">
        <v>79</v>
      </c>
      <c r="E349" t="s">
        <v>27</v>
      </c>
      <c r="F349">
        <v>552.20000000000005</v>
      </c>
      <c r="G349">
        <v>37.799999999999997</v>
      </c>
      <c r="H349">
        <v>96.01</v>
      </c>
      <c r="I349">
        <v>97.25</v>
      </c>
      <c r="J349">
        <v>75.28</v>
      </c>
      <c r="K349" t="s">
        <v>28</v>
      </c>
      <c r="L349">
        <v>8.4</v>
      </c>
      <c r="M349">
        <v>4.5</v>
      </c>
      <c r="N349" t="s">
        <v>39</v>
      </c>
      <c r="O349">
        <v>14</v>
      </c>
      <c r="P349" t="s">
        <v>43</v>
      </c>
      <c r="Q349">
        <v>59.8</v>
      </c>
    </row>
    <row r="350" spans="1:17" x14ac:dyDescent="0.35">
      <c r="A350" s="1">
        <v>45812</v>
      </c>
      <c r="B350" t="s">
        <v>40</v>
      </c>
      <c r="C350" t="s">
        <v>41</v>
      </c>
      <c r="D350" t="s">
        <v>42</v>
      </c>
      <c r="E350" t="s">
        <v>27</v>
      </c>
      <c r="F350">
        <v>499.39</v>
      </c>
      <c r="G350">
        <v>54.9</v>
      </c>
      <c r="H350">
        <v>93.58</v>
      </c>
      <c r="I350">
        <v>96.5</v>
      </c>
      <c r="J350">
        <v>78.39</v>
      </c>
      <c r="K350" t="s">
        <v>47</v>
      </c>
      <c r="L350">
        <v>9.3000000000000007</v>
      </c>
      <c r="M350">
        <v>4</v>
      </c>
      <c r="N350" t="s">
        <v>39</v>
      </c>
      <c r="O350">
        <v>12</v>
      </c>
      <c r="P350" t="s">
        <v>43</v>
      </c>
      <c r="Q350">
        <v>62</v>
      </c>
    </row>
    <row r="351" spans="1:17" x14ac:dyDescent="0.35">
      <c r="A351" s="1">
        <v>45812</v>
      </c>
      <c r="B351" t="s">
        <v>59</v>
      </c>
      <c r="C351" t="s">
        <v>60</v>
      </c>
      <c r="D351" t="s">
        <v>61</v>
      </c>
      <c r="E351" t="s">
        <v>62</v>
      </c>
      <c r="F351">
        <v>546.09</v>
      </c>
      <c r="G351">
        <v>171</v>
      </c>
      <c r="H351">
        <v>88.88</v>
      </c>
      <c r="I351">
        <v>94.68</v>
      </c>
      <c r="J351">
        <v>86.31</v>
      </c>
      <c r="K351" t="s">
        <v>63</v>
      </c>
      <c r="L351">
        <v>8.6</v>
      </c>
      <c r="N351" t="s">
        <v>35</v>
      </c>
      <c r="O351">
        <v>4</v>
      </c>
      <c r="P351" t="s">
        <v>23</v>
      </c>
      <c r="Q351">
        <v>75.2</v>
      </c>
    </row>
    <row r="352" spans="1:17" x14ac:dyDescent="0.35">
      <c r="A352" s="1">
        <v>45812</v>
      </c>
      <c r="B352" t="s">
        <v>51</v>
      </c>
      <c r="C352" t="s">
        <v>45</v>
      </c>
      <c r="D352" t="s">
        <v>52</v>
      </c>
      <c r="E352" t="s">
        <v>27</v>
      </c>
      <c r="F352">
        <v>573.08000000000004</v>
      </c>
      <c r="G352">
        <v>458.3</v>
      </c>
      <c r="H352">
        <v>93.02</v>
      </c>
      <c r="I352">
        <v>98.44</v>
      </c>
      <c r="J352">
        <v>75.680000000000007</v>
      </c>
      <c r="K352" t="s">
        <v>47</v>
      </c>
      <c r="L352">
        <v>8.5</v>
      </c>
      <c r="M352">
        <v>1.7</v>
      </c>
      <c r="N352" t="s">
        <v>39</v>
      </c>
      <c r="O352">
        <v>15</v>
      </c>
      <c r="P352" t="s">
        <v>23</v>
      </c>
      <c r="Q352">
        <v>64.2</v>
      </c>
    </row>
    <row r="353" spans="1:17" x14ac:dyDescent="0.35">
      <c r="A353" s="1">
        <v>45812</v>
      </c>
      <c r="B353" t="s">
        <v>97</v>
      </c>
      <c r="C353" t="s">
        <v>72</v>
      </c>
      <c r="D353" t="s">
        <v>98</v>
      </c>
      <c r="E353" t="s">
        <v>33</v>
      </c>
      <c r="F353">
        <v>70.11</v>
      </c>
      <c r="G353">
        <v>157.4</v>
      </c>
      <c r="H353">
        <v>94.45</v>
      </c>
      <c r="I353">
        <v>93.41</v>
      </c>
      <c r="J353">
        <v>70.540000000000006</v>
      </c>
      <c r="K353" t="s">
        <v>28</v>
      </c>
      <c r="L353">
        <v>6.5</v>
      </c>
      <c r="M353">
        <v>1.8</v>
      </c>
      <c r="N353" t="s">
        <v>35</v>
      </c>
      <c r="O353">
        <v>7</v>
      </c>
      <c r="P353" t="s">
        <v>23</v>
      </c>
      <c r="Q353">
        <v>59.2</v>
      </c>
    </row>
    <row r="354" spans="1:17" x14ac:dyDescent="0.35">
      <c r="A354" s="1">
        <v>45812</v>
      </c>
      <c r="B354" t="s">
        <v>89</v>
      </c>
      <c r="C354" t="s">
        <v>67</v>
      </c>
      <c r="D354" t="s">
        <v>90</v>
      </c>
      <c r="E354" t="s">
        <v>27</v>
      </c>
      <c r="F354">
        <v>554.32000000000005</v>
      </c>
      <c r="G354">
        <v>52.9</v>
      </c>
      <c r="H354">
        <v>96.41</v>
      </c>
      <c r="I354">
        <v>96.78</v>
      </c>
      <c r="J354">
        <v>75.94</v>
      </c>
      <c r="K354" t="s">
        <v>28</v>
      </c>
      <c r="L354">
        <v>8.8000000000000007</v>
      </c>
      <c r="M354">
        <v>4.3</v>
      </c>
      <c r="N354" t="s">
        <v>39</v>
      </c>
      <c r="O354">
        <v>8</v>
      </c>
      <c r="P354" t="s">
        <v>23</v>
      </c>
      <c r="Q354">
        <v>61</v>
      </c>
    </row>
    <row r="355" spans="1:17" x14ac:dyDescent="0.35">
      <c r="A355" s="1">
        <v>45812</v>
      </c>
      <c r="B355" t="s">
        <v>55</v>
      </c>
      <c r="C355" t="s">
        <v>56</v>
      </c>
      <c r="D355">
        <v>4</v>
      </c>
      <c r="E355" t="s">
        <v>57</v>
      </c>
      <c r="F355">
        <v>30</v>
      </c>
      <c r="G355">
        <v>139.5</v>
      </c>
      <c r="H355">
        <v>86.91</v>
      </c>
      <c r="I355">
        <v>95.18</v>
      </c>
      <c r="J355">
        <v>70.39</v>
      </c>
      <c r="K355" t="s">
        <v>63</v>
      </c>
      <c r="L355">
        <v>6.9</v>
      </c>
      <c r="N355" t="s">
        <v>35</v>
      </c>
      <c r="O355">
        <v>3</v>
      </c>
      <c r="P355" t="s">
        <v>23</v>
      </c>
      <c r="Q355">
        <v>67.599999999999994</v>
      </c>
    </row>
    <row r="356" spans="1:17" x14ac:dyDescent="0.35">
      <c r="A356" s="1">
        <v>45812</v>
      </c>
      <c r="B356" t="s">
        <v>86</v>
      </c>
      <c r="C356" t="s">
        <v>25</v>
      </c>
      <c r="D356" t="s">
        <v>87</v>
      </c>
      <c r="E356" t="s">
        <v>27</v>
      </c>
      <c r="F356">
        <v>274.51</v>
      </c>
      <c r="G356">
        <v>38.1</v>
      </c>
      <c r="H356">
        <v>92.01</v>
      </c>
      <c r="I356">
        <v>96.45</v>
      </c>
      <c r="J356">
        <v>79.64</v>
      </c>
      <c r="K356" t="s">
        <v>47</v>
      </c>
      <c r="L356">
        <v>8.5</v>
      </c>
      <c r="M356">
        <v>3.8</v>
      </c>
      <c r="N356" t="s">
        <v>29</v>
      </c>
      <c r="O356">
        <v>14</v>
      </c>
      <c r="P356" t="s">
        <v>30</v>
      </c>
      <c r="Q356">
        <v>60.4</v>
      </c>
    </row>
    <row r="357" spans="1:17" x14ac:dyDescent="0.35">
      <c r="A357" s="1">
        <v>45812</v>
      </c>
      <c r="B357" t="s">
        <v>55</v>
      </c>
      <c r="C357" t="s">
        <v>56</v>
      </c>
      <c r="D357">
        <v>4</v>
      </c>
      <c r="E357" t="s">
        <v>57</v>
      </c>
      <c r="F357">
        <v>30</v>
      </c>
      <c r="G357">
        <v>155.6</v>
      </c>
      <c r="H357">
        <v>88.25</v>
      </c>
      <c r="I357">
        <v>96.12</v>
      </c>
      <c r="J357">
        <v>74.03</v>
      </c>
      <c r="K357" t="s">
        <v>58</v>
      </c>
      <c r="L357">
        <v>6.1</v>
      </c>
      <c r="N357" t="s">
        <v>35</v>
      </c>
      <c r="O357">
        <v>3</v>
      </c>
      <c r="P357" t="s">
        <v>43</v>
      </c>
      <c r="Q357">
        <v>67.599999999999994</v>
      </c>
    </row>
    <row r="358" spans="1:17" x14ac:dyDescent="0.35">
      <c r="A358" s="1">
        <v>45812</v>
      </c>
      <c r="B358" t="s">
        <v>66</v>
      </c>
      <c r="C358" t="s">
        <v>67</v>
      </c>
      <c r="D358" t="s">
        <v>68</v>
      </c>
      <c r="E358" t="s">
        <v>27</v>
      </c>
      <c r="F358">
        <v>621.48</v>
      </c>
      <c r="G358">
        <v>19.100000000000001</v>
      </c>
      <c r="H358">
        <v>95.4</v>
      </c>
      <c r="I358">
        <v>96.54</v>
      </c>
      <c r="J358">
        <v>77.41</v>
      </c>
      <c r="K358" t="s">
        <v>34</v>
      </c>
      <c r="L358">
        <v>8.4</v>
      </c>
      <c r="M358">
        <v>2.4</v>
      </c>
      <c r="N358" t="s">
        <v>39</v>
      </c>
      <c r="O358">
        <v>10</v>
      </c>
      <c r="P358" t="s">
        <v>23</v>
      </c>
      <c r="Q358">
        <v>61</v>
      </c>
    </row>
    <row r="359" spans="1:17" x14ac:dyDescent="0.35">
      <c r="A359" s="1">
        <v>45812</v>
      </c>
      <c r="B359" t="s">
        <v>74</v>
      </c>
      <c r="C359" t="s">
        <v>67</v>
      </c>
      <c r="D359" t="s">
        <v>75</v>
      </c>
      <c r="E359" t="s">
        <v>27</v>
      </c>
      <c r="F359">
        <v>149.38999999999999</v>
      </c>
      <c r="G359">
        <v>64.099999999999994</v>
      </c>
      <c r="H359">
        <v>97.22</v>
      </c>
      <c r="I359">
        <v>94.75</v>
      </c>
      <c r="J359">
        <v>77.42</v>
      </c>
      <c r="K359" t="s">
        <v>28</v>
      </c>
      <c r="L359">
        <v>6.8</v>
      </c>
      <c r="M359">
        <v>5</v>
      </c>
      <c r="N359" t="s">
        <v>29</v>
      </c>
      <c r="O359">
        <v>13</v>
      </c>
      <c r="P359" t="s">
        <v>23</v>
      </c>
      <c r="Q359">
        <v>57.5</v>
      </c>
    </row>
    <row r="360" spans="1:17" x14ac:dyDescent="0.35">
      <c r="A360" s="1">
        <v>45812</v>
      </c>
      <c r="B360" t="s">
        <v>95</v>
      </c>
      <c r="C360" t="s">
        <v>49</v>
      </c>
      <c r="D360" t="s">
        <v>96</v>
      </c>
      <c r="E360" t="s">
        <v>33</v>
      </c>
      <c r="F360">
        <v>449.23</v>
      </c>
      <c r="G360">
        <v>127.7</v>
      </c>
      <c r="H360">
        <v>97.42</v>
      </c>
      <c r="I360">
        <v>93.18</v>
      </c>
      <c r="J360">
        <v>74.33</v>
      </c>
      <c r="K360" t="s">
        <v>28</v>
      </c>
      <c r="L360">
        <v>8.6</v>
      </c>
      <c r="M360">
        <v>2.4</v>
      </c>
      <c r="N360" t="s">
        <v>35</v>
      </c>
      <c r="O360">
        <v>10</v>
      </c>
      <c r="P360" t="s">
        <v>23</v>
      </c>
      <c r="Q360">
        <v>62.8</v>
      </c>
    </row>
    <row r="361" spans="1:17" x14ac:dyDescent="0.35">
      <c r="A361" s="1">
        <v>45812</v>
      </c>
      <c r="B361" t="s">
        <v>51</v>
      </c>
      <c r="C361" t="s">
        <v>45</v>
      </c>
      <c r="D361" t="s">
        <v>52</v>
      </c>
      <c r="E361" t="s">
        <v>33</v>
      </c>
      <c r="F361">
        <v>269.56</v>
      </c>
      <c r="G361">
        <v>246.1</v>
      </c>
      <c r="H361">
        <v>94.85</v>
      </c>
      <c r="I361">
        <v>98.5</v>
      </c>
      <c r="J361">
        <v>71.78</v>
      </c>
      <c r="K361" t="s">
        <v>47</v>
      </c>
      <c r="L361">
        <v>8.3000000000000007</v>
      </c>
      <c r="M361">
        <v>2.1</v>
      </c>
      <c r="N361" t="s">
        <v>22</v>
      </c>
      <c r="O361">
        <v>5</v>
      </c>
      <c r="P361" t="s">
        <v>23</v>
      </c>
      <c r="Q361">
        <v>63.3</v>
      </c>
    </row>
    <row r="362" spans="1:17" x14ac:dyDescent="0.35">
      <c r="A362" s="1">
        <v>45812</v>
      </c>
      <c r="B362" t="s">
        <v>17</v>
      </c>
      <c r="C362" t="s">
        <v>18</v>
      </c>
      <c r="D362" t="s">
        <v>19</v>
      </c>
      <c r="E362" t="s">
        <v>20</v>
      </c>
      <c r="F362">
        <v>295.64</v>
      </c>
      <c r="G362">
        <v>106.4</v>
      </c>
      <c r="H362">
        <v>90.89</v>
      </c>
      <c r="I362">
        <v>96.98</v>
      </c>
      <c r="J362">
        <v>70.73</v>
      </c>
      <c r="K362" t="s">
        <v>21</v>
      </c>
      <c r="L362">
        <v>8.5</v>
      </c>
      <c r="N362" t="s">
        <v>35</v>
      </c>
      <c r="O362">
        <v>10</v>
      </c>
      <c r="P362" t="s">
        <v>23</v>
      </c>
      <c r="Q362">
        <v>71.3</v>
      </c>
    </row>
    <row r="363" spans="1:17" x14ac:dyDescent="0.35">
      <c r="A363" s="1">
        <v>45812</v>
      </c>
      <c r="B363" t="s">
        <v>48</v>
      </c>
      <c r="C363" t="s">
        <v>49</v>
      </c>
      <c r="D363" t="s">
        <v>50</v>
      </c>
      <c r="E363" t="s">
        <v>27</v>
      </c>
      <c r="F363">
        <v>398.74</v>
      </c>
      <c r="G363">
        <v>49.7</v>
      </c>
      <c r="H363">
        <v>95.3</v>
      </c>
      <c r="I363">
        <v>93.84</v>
      </c>
      <c r="J363">
        <v>83.47</v>
      </c>
      <c r="K363" t="s">
        <v>34</v>
      </c>
      <c r="L363">
        <v>7.9</v>
      </c>
      <c r="M363">
        <v>2.2999999999999998</v>
      </c>
      <c r="N363" t="s">
        <v>39</v>
      </c>
      <c r="O363">
        <v>10</v>
      </c>
      <c r="P363" t="s">
        <v>23</v>
      </c>
      <c r="Q363">
        <v>61.4</v>
      </c>
    </row>
    <row r="364" spans="1:17" x14ac:dyDescent="0.35">
      <c r="A364" s="1">
        <v>45812</v>
      </c>
      <c r="B364" t="s">
        <v>86</v>
      </c>
      <c r="C364" t="s">
        <v>25</v>
      </c>
      <c r="D364" t="s">
        <v>87</v>
      </c>
      <c r="E364" t="s">
        <v>27</v>
      </c>
      <c r="F364">
        <v>216.13</v>
      </c>
      <c r="G364">
        <v>60.2</v>
      </c>
      <c r="H364">
        <v>93.18</v>
      </c>
      <c r="I364">
        <v>97.52</v>
      </c>
      <c r="J364">
        <v>78.790000000000006</v>
      </c>
      <c r="K364" t="s">
        <v>28</v>
      </c>
      <c r="L364">
        <v>8.1</v>
      </c>
      <c r="M364">
        <v>3.4</v>
      </c>
      <c r="N364" t="s">
        <v>29</v>
      </c>
      <c r="O364">
        <v>14</v>
      </c>
      <c r="P364" t="s">
        <v>30</v>
      </c>
      <c r="Q364">
        <v>60.7</v>
      </c>
    </row>
    <row r="365" spans="1:17" x14ac:dyDescent="0.35">
      <c r="A365" s="1">
        <v>45812</v>
      </c>
      <c r="B365" t="s">
        <v>55</v>
      </c>
      <c r="C365" t="s">
        <v>56</v>
      </c>
      <c r="D365">
        <v>4</v>
      </c>
      <c r="E365" t="s">
        <v>57</v>
      </c>
      <c r="F365">
        <v>30</v>
      </c>
      <c r="G365">
        <v>165.1</v>
      </c>
      <c r="H365">
        <v>87.73</v>
      </c>
      <c r="I365">
        <v>95.91</v>
      </c>
      <c r="J365">
        <v>74.03</v>
      </c>
      <c r="K365" t="s">
        <v>63</v>
      </c>
      <c r="L365">
        <v>7</v>
      </c>
      <c r="N365" t="s">
        <v>35</v>
      </c>
      <c r="O365">
        <v>5</v>
      </c>
      <c r="P365" t="s">
        <v>43</v>
      </c>
      <c r="Q365">
        <v>69.5</v>
      </c>
    </row>
    <row r="366" spans="1:17" x14ac:dyDescent="0.35">
      <c r="A366" s="1">
        <v>45812</v>
      </c>
      <c r="B366" t="s">
        <v>71</v>
      </c>
      <c r="C366" t="s">
        <v>72</v>
      </c>
      <c r="D366" t="s">
        <v>73</v>
      </c>
      <c r="E366" t="s">
        <v>33</v>
      </c>
      <c r="F366">
        <v>256.95</v>
      </c>
      <c r="G366">
        <v>135</v>
      </c>
      <c r="H366">
        <v>92.15</v>
      </c>
      <c r="I366">
        <v>94.74</v>
      </c>
      <c r="J366">
        <v>73.239999999999995</v>
      </c>
      <c r="K366" t="s">
        <v>47</v>
      </c>
      <c r="L366">
        <v>7.5</v>
      </c>
      <c r="M366">
        <v>4.4000000000000004</v>
      </c>
      <c r="N366" t="s">
        <v>35</v>
      </c>
      <c r="O366">
        <v>7</v>
      </c>
      <c r="P366" t="s">
        <v>23</v>
      </c>
      <c r="Q366">
        <v>58.9</v>
      </c>
    </row>
    <row r="367" spans="1:17" x14ac:dyDescent="0.35">
      <c r="A367" s="1">
        <v>45812</v>
      </c>
      <c r="B367" t="s">
        <v>24</v>
      </c>
      <c r="C367" t="s">
        <v>25</v>
      </c>
      <c r="D367" t="s">
        <v>26</v>
      </c>
      <c r="E367" t="s">
        <v>27</v>
      </c>
      <c r="F367">
        <v>685.51</v>
      </c>
      <c r="G367">
        <v>50.7</v>
      </c>
      <c r="H367">
        <v>96.32</v>
      </c>
      <c r="I367">
        <v>98.47</v>
      </c>
      <c r="J367">
        <v>78.13</v>
      </c>
      <c r="K367" t="s">
        <v>28</v>
      </c>
      <c r="L367">
        <v>8.1999999999999993</v>
      </c>
      <c r="M367">
        <v>4.7</v>
      </c>
      <c r="N367" t="s">
        <v>39</v>
      </c>
      <c r="O367">
        <v>12</v>
      </c>
      <c r="P367" t="s">
        <v>30</v>
      </c>
      <c r="Q367">
        <v>60.4</v>
      </c>
    </row>
    <row r="368" spans="1:17" x14ac:dyDescent="0.35">
      <c r="A368" s="1">
        <v>45812</v>
      </c>
      <c r="B368" t="s">
        <v>76</v>
      </c>
      <c r="C368" t="s">
        <v>45</v>
      </c>
      <c r="D368" t="s">
        <v>77</v>
      </c>
      <c r="E368" t="s">
        <v>27</v>
      </c>
      <c r="F368">
        <v>673.35</v>
      </c>
      <c r="G368">
        <v>361.3</v>
      </c>
      <c r="H368">
        <v>92.69</v>
      </c>
      <c r="I368">
        <v>99.01</v>
      </c>
      <c r="J368">
        <v>80.67</v>
      </c>
      <c r="K368" t="s">
        <v>47</v>
      </c>
      <c r="L368">
        <v>9.3000000000000007</v>
      </c>
      <c r="M368">
        <v>4.8</v>
      </c>
      <c r="N368" t="s">
        <v>39</v>
      </c>
      <c r="O368">
        <v>15</v>
      </c>
      <c r="P368" t="s">
        <v>23</v>
      </c>
      <c r="Q368">
        <v>64.400000000000006</v>
      </c>
    </row>
    <row r="369" spans="1:17" x14ac:dyDescent="0.35">
      <c r="A369" s="1">
        <v>45812</v>
      </c>
      <c r="B369" t="s">
        <v>55</v>
      </c>
      <c r="C369" t="s">
        <v>56</v>
      </c>
      <c r="D369">
        <v>4</v>
      </c>
      <c r="E369" t="s">
        <v>57</v>
      </c>
      <c r="F369">
        <v>30</v>
      </c>
      <c r="G369">
        <v>153.9</v>
      </c>
      <c r="H369">
        <v>86.79</v>
      </c>
      <c r="I369">
        <v>95.25</v>
      </c>
      <c r="J369">
        <v>76.94</v>
      </c>
      <c r="K369" t="s">
        <v>63</v>
      </c>
      <c r="L369">
        <v>6.6</v>
      </c>
      <c r="N369" t="s">
        <v>35</v>
      </c>
      <c r="O369">
        <v>3</v>
      </c>
      <c r="P369" t="s">
        <v>43</v>
      </c>
      <c r="Q369">
        <v>68.7</v>
      </c>
    </row>
    <row r="370" spans="1:17" x14ac:dyDescent="0.35">
      <c r="A370" s="1">
        <v>45812</v>
      </c>
      <c r="B370" t="s">
        <v>59</v>
      </c>
      <c r="C370" t="s">
        <v>60</v>
      </c>
      <c r="D370" t="s">
        <v>61</v>
      </c>
      <c r="E370" t="s">
        <v>62</v>
      </c>
      <c r="F370">
        <v>414.69</v>
      </c>
      <c r="G370">
        <v>169.6</v>
      </c>
      <c r="H370">
        <v>89.08</v>
      </c>
      <c r="I370">
        <v>94.28</v>
      </c>
      <c r="J370">
        <v>89.22</v>
      </c>
      <c r="K370" t="s">
        <v>34</v>
      </c>
      <c r="L370">
        <v>8.6</v>
      </c>
      <c r="N370" t="s">
        <v>35</v>
      </c>
      <c r="O370">
        <v>6</v>
      </c>
      <c r="P370" t="s">
        <v>43</v>
      </c>
      <c r="Q370">
        <v>75.7</v>
      </c>
    </row>
    <row r="371" spans="1:17" x14ac:dyDescent="0.35">
      <c r="A371" s="1">
        <v>45812</v>
      </c>
      <c r="B371" t="s">
        <v>69</v>
      </c>
      <c r="C371" t="s">
        <v>18</v>
      </c>
      <c r="D371" t="s">
        <v>70</v>
      </c>
      <c r="E371" t="s">
        <v>20</v>
      </c>
      <c r="F371">
        <v>182.24</v>
      </c>
      <c r="G371">
        <v>89</v>
      </c>
      <c r="H371">
        <v>93.12</v>
      </c>
      <c r="I371">
        <v>93.59</v>
      </c>
      <c r="J371">
        <v>75.66</v>
      </c>
      <c r="K371" t="s">
        <v>21</v>
      </c>
      <c r="L371">
        <v>7.3</v>
      </c>
      <c r="N371" t="s">
        <v>35</v>
      </c>
      <c r="O371">
        <v>9</v>
      </c>
      <c r="P371" t="s">
        <v>23</v>
      </c>
      <c r="Q371">
        <v>69.2</v>
      </c>
    </row>
    <row r="372" spans="1:17" x14ac:dyDescent="0.35">
      <c r="A372" s="1">
        <v>45812</v>
      </c>
      <c r="B372" t="s">
        <v>74</v>
      </c>
      <c r="C372" t="s">
        <v>67</v>
      </c>
      <c r="D372" t="s">
        <v>75</v>
      </c>
      <c r="E372" t="s">
        <v>27</v>
      </c>
      <c r="F372">
        <v>500.13</v>
      </c>
      <c r="G372">
        <v>44.9</v>
      </c>
      <c r="H372">
        <v>95.83</v>
      </c>
      <c r="I372">
        <v>93.89</v>
      </c>
      <c r="J372">
        <v>77.510000000000005</v>
      </c>
      <c r="K372" t="s">
        <v>47</v>
      </c>
      <c r="L372">
        <v>9.3000000000000007</v>
      </c>
      <c r="M372">
        <v>3.5</v>
      </c>
      <c r="N372" t="s">
        <v>39</v>
      </c>
      <c r="O372">
        <v>8</v>
      </c>
      <c r="P372" t="s">
        <v>43</v>
      </c>
      <c r="Q372">
        <v>61.9</v>
      </c>
    </row>
    <row r="373" spans="1:17" x14ac:dyDescent="0.35">
      <c r="A373" s="1">
        <v>45812</v>
      </c>
      <c r="B373" t="s">
        <v>69</v>
      </c>
      <c r="C373" t="s">
        <v>18</v>
      </c>
      <c r="D373" t="s">
        <v>70</v>
      </c>
      <c r="E373" t="s">
        <v>20</v>
      </c>
      <c r="F373">
        <v>247.79</v>
      </c>
      <c r="G373">
        <v>137.69999999999999</v>
      </c>
      <c r="H373">
        <v>92.38</v>
      </c>
      <c r="I373">
        <v>95.72</v>
      </c>
      <c r="J373">
        <v>74.42</v>
      </c>
      <c r="K373" t="s">
        <v>63</v>
      </c>
      <c r="L373">
        <v>7.9</v>
      </c>
      <c r="N373" t="s">
        <v>35</v>
      </c>
      <c r="O373">
        <v>8</v>
      </c>
      <c r="P373" t="s">
        <v>23</v>
      </c>
      <c r="Q373">
        <v>71.599999999999994</v>
      </c>
    </row>
    <row r="374" spans="1:17" x14ac:dyDescent="0.35">
      <c r="A374" s="1">
        <v>45812</v>
      </c>
      <c r="B374" t="s">
        <v>78</v>
      </c>
      <c r="C374" t="s">
        <v>41</v>
      </c>
      <c r="D374" t="s">
        <v>79</v>
      </c>
      <c r="E374" t="s">
        <v>27</v>
      </c>
      <c r="F374">
        <v>380.29</v>
      </c>
      <c r="G374">
        <v>50.9</v>
      </c>
      <c r="H374">
        <v>95.16</v>
      </c>
      <c r="I374">
        <v>96.75</v>
      </c>
      <c r="J374">
        <v>84.14</v>
      </c>
      <c r="K374" t="s">
        <v>34</v>
      </c>
      <c r="L374">
        <v>7.3</v>
      </c>
      <c r="M374">
        <v>4.0999999999999996</v>
      </c>
      <c r="N374" t="s">
        <v>29</v>
      </c>
      <c r="O374">
        <v>15</v>
      </c>
      <c r="P374" t="s">
        <v>43</v>
      </c>
      <c r="Q374">
        <v>59.8</v>
      </c>
    </row>
    <row r="375" spans="1:17" x14ac:dyDescent="0.35">
      <c r="A375" s="1">
        <v>45812</v>
      </c>
      <c r="B375" t="s">
        <v>59</v>
      </c>
      <c r="C375" t="s">
        <v>60</v>
      </c>
      <c r="D375" t="s">
        <v>61</v>
      </c>
      <c r="E375" t="s">
        <v>62</v>
      </c>
      <c r="F375">
        <v>394.74</v>
      </c>
      <c r="G375">
        <v>171.6</v>
      </c>
      <c r="H375">
        <v>91.52</v>
      </c>
      <c r="I375">
        <v>96.43</v>
      </c>
      <c r="J375">
        <v>88.87</v>
      </c>
      <c r="K375" t="s">
        <v>34</v>
      </c>
      <c r="L375">
        <v>7.3</v>
      </c>
      <c r="N375" t="s">
        <v>35</v>
      </c>
      <c r="O375">
        <v>4</v>
      </c>
      <c r="P375" t="s">
        <v>23</v>
      </c>
      <c r="Q375">
        <v>74</v>
      </c>
    </row>
    <row r="376" spans="1:17" x14ac:dyDescent="0.35">
      <c r="A376" s="1">
        <v>45813</v>
      </c>
      <c r="B376" t="s">
        <v>31</v>
      </c>
      <c r="C376" t="s">
        <v>18</v>
      </c>
      <c r="D376" t="s">
        <v>32</v>
      </c>
      <c r="E376" t="s">
        <v>33</v>
      </c>
      <c r="F376">
        <v>253.44</v>
      </c>
      <c r="G376">
        <v>156.6</v>
      </c>
      <c r="H376">
        <v>92.32</v>
      </c>
      <c r="I376">
        <v>96.6</v>
      </c>
      <c r="J376">
        <v>77.06</v>
      </c>
      <c r="K376" t="s">
        <v>28</v>
      </c>
      <c r="L376">
        <v>7.7</v>
      </c>
      <c r="M376">
        <v>1.8</v>
      </c>
      <c r="N376" t="s">
        <v>22</v>
      </c>
      <c r="O376">
        <v>9</v>
      </c>
      <c r="P376" t="s">
        <v>23</v>
      </c>
      <c r="Q376">
        <v>62.4</v>
      </c>
    </row>
    <row r="377" spans="1:17" x14ac:dyDescent="0.35">
      <c r="A377" s="1">
        <v>45813</v>
      </c>
      <c r="B377" t="s">
        <v>66</v>
      </c>
      <c r="C377" t="s">
        <v>67</v>
      </c>
      <c r="D377" t="s">
        <v>68</v>
      </c>
      <c r="E377" t="s">
        <v>27</v>
      </c>
      <c r="F377">
        <v>402.04</v>
      </c>
      <c r="G377">
        <v>47.2</v>
      </c>
      <c r="H377">
        <v>93.2</v>
      </c>
      <c r="I377">
        <v>94.61</v>
      </c>
      <c r="J377">
        <v>81.25</v>
      </c>
      <c r="K377" t="s">
        <v>34</v>
      </c>
      <c r="L377">
        <v>9</v>
      </c>
      <c r="M377">
        <v>3.4</v>
      </c>
      <c r="N377" t="s">
        <v>39</v>
      </c>
      <c r="O377">
        <v>10</v>
      </c>
      <c r="P377" t="s">
        <v>23</v>
      </c>
      <c r="Q377">
        <v>61.8</v>
      </c>
    </row>
    <row r="378" spans="1:17" x14ac:dyDescent="0.35">
      <c r="A378" s="1">
        <v>45813</v>
      </c>
      <c r="B378" t="s">
        <v>59</v>
      </c>
      <c r="C378" t="s">
        <v>60</v>
      </c>
      <c r="D378" t="s">
        <v>61</v>
      </c>
      <c r="E378" t="s">
        <v>62</v>
      </c>
      <c r="F378">
        <v>326.66000000000003</v>
      </c>
      <c r="G378">
        <v>189.2</v>
      </c>
      <c r="H378">
        <v>88.1</v>
      </c>
      <c r="I378">
        <v>95.29</v>
      </c>
      <c r="J378">
        <v>90.31</v>
      </c>
      <c r="K378" t="s">
        <v>63</v>
      </c>
      <c r="L378">
        <v>8.5</v>
      </c>
      <c r="N378" t="s">
        <v>35</v>
      </c>
      <c r="O378">
        <v>5</v>
      </c>
      <c r="P378" t="s">
        <v>43</v>
      </c>
      <c r="Q378">
        <v>75.7</v>
      </c>
    </row>
    <row r="379" spans="1:17" x14ac:dyDescent="0.35">
      <c r="A379" s="1">
        <v>45813</v>
      </c>
      <c r="B379" t="s">
        <v>97</v>
      </c>
      <c r="C379" t="s">
        <v>72</v>
      </c>
      <c r="D379" t="s">
        <v>98</v>
      </c>
      <c r="E379" t="s">
        <v>33</v>
      </c>
      <c r="F379">
        <v>143.41</v>
      </c>
      <c r="G379">
        <v>238.1</v>
      </c>
      <c r="H379">
        <v>95.44</v>
      </c>
      <c r="I379">
        <v>93.8</v>
      </c>
      <c r="J379">
        <v>72.52</v>
      </c>
      <c r="K379" t="s">
        <v>34</v>
      </c>
      <c r="L379">
        <v>7.4</v>
      </c>
      <c r="M379">
        <v>2.2999999999999998</v>
      </c>
      <c r="N379" t="s">
        <v>22</v>
      </c>
      <c r="O379">
        <v>8</v>
      </c>
      <c r="P379" t="s">
        <v>43</v>
      </c>
      <c r="Q379">
        <v>61.1</v>
      </c>
    </row>
    <row r="380" spans="1:17" x14ac:dyDescent="0.35">
      <c r="A380" s="1">
        <v>45813</v>
      </c>
      <c r="B380" t="s">
        <v>36</v>
      </c>
      <c r="C380" t="s">
        <v>37</v>
      </c>
      <c r="D380" t="s">
        <v>38</v>
      </c>
      <c r="E380" t="s">
        <v>27</v>
      </c>
      <c r="F380">
        <v>200.3</v>
      </c>
      <c r="G380">
        <v>21.6</v>
      </c>
      <c r="H380">
        <v>92.83</v>
      </c>
      <c r="I380">
        <v>96.18</v>
      </c>
      <c r="J380">
        <v>76.52</v>
      </c>
      <c r="K380" t="s">
        <v>47</v>
      </c>
      <c r="L380">
        <v>8.3000000000000007</v>
      </c>
      <c r="M380">
        <v>4</v>
      </c>
      <c r="N380" t="s">
        <v>39</v>
      </c>
      <c r="O380">
        <v>12</v>
      </c>
      <c r="P380" t="s">
        <v>23</v>
      </c>
      <c r="Q380">
        <v>59.2</v>
      </c>
    </row>
    <row r="381" spans="1:17" x14ac:dyDescent="0.35">
      <c r="A381" s="1">
        <v>45813</v>
      </c>
      <c r="B381" t="s">
        <v>55</v>
      </c>
      <c r="C381" t="s">
        <v>56</v>
      </c>
      <c r="D381">
        <v>4</v>
      </c>
      <c r="E381" t="s">
        <v>57</v>
      </c>
      <c r="F381">
        <v>30</v>
      </c>
      <c r="G381">
        <v>127.7</v>
      </c>
      <c r="H381">
        <v>91.51</v>
      </c>
      <c r="I381">
        <v>94.38</v>
      </c>
      <c r="J381">
        <v>74.540000000000006</v>
      </c>
      <c r="K381" t="s">
        <v>58</v>
      </c>
      <c r="L381">
        <v>6.6</v>
      </c>
      <c r="N381" t="s">
        <v>35</v>
      </c>
      <c r="O381">
        <v>3</v>
      </c>
      <c r="P381" t="s">
        <v>43</v>
      </c>
      <c r="Q381">
        <v>68.3</v>
      </c>
    </row>
    <row r="382" spans="1:17" x14ac:dyDescent="0.35">
      <c r="A382" s="1">
        <v>45813</v>
      </c>
      <c r="B382" t="s">
        <v>84</v>
      </c>
      <c r="C382" t="s">
        <v>18</v>
      </c>
      <c r="D382" t="s">
        <v>85</v>
      </c>
      <c r="E382" t="s">
        <v>27</v>
      </c>
      <c r="F382">
        <v>127.11</v>
      </c>
      <c r="G382">
        <v>52.7</v>
      </c>
      <c r="H382">
        <v>94.18</v>
      </c>
      <c r="I382">
        <v>95.07</v>
      </c>
      <c r="J382">
        <v>84.55</v>
      </c>
      <c r="K382" t="s">
        <v>47</v>
      </c>
      <c r="L382">
        <v>7.6</v>
      </c>
      <c r="M382">
        <v>2.1</v>
      </c>
      <c r="N382" t="s">
        <v>39</v>
      </c>
      <c r="O382">
        <v>12</v>
      </c>
      <c r="P382" t="s">
        <v>23</v>
      </c>
      <c r="Q382">
        <v>61.3</v>
      </c>
    </row>
    <row r="383" spans="1:17" x14ac:dyDescent="0.35">
      <c r="A383" s="1">
        <v>45813</v>
      </c>
      <c r="B383" t="s">
        <v>55</v>
      </c>
      <c r="C383" t="s">
        <v>56</v>
      </c>
      <c r="D383">
        <v>4</v>
      </c>
      <c r="E383" t="s">
        <v>57</v>
      </c>
      <c r="F383">
        <v>30</v>
      </c>
      <c r="G383">
        <v>131.19999999999999</v>
      </c>
      <c r="H383">
        <v>88.33</v>
      </c>
      <c r="I383">
        <v>94.63</v>
      </c>
      <c r="J383">
        <v>70</v>
      </c>
      <c r="K383" t="s">
        <v>58</v>
      </c>
      <c r="L383">
        <v>8</v>
      </c>
      <c r="N383" t="s">
        <v>35</v>
      </c>
      <c r="O383">
        <v>2</v>
      </c>
      <c r="P383" t="s">
        <v>23</v>
      </c>
      <c r="Q383">
        <v>69.7</v>
      </c>
    </row>
    <row r="384" spans="1:17" x14ac:dyDescent="0.35">
      <c r="A384" s="1">
        <v>45813</v>
      </c>
      <c r="B384" t="s">
        <v>55</v>
      </c>
      <c r="C384" t="s">
        <v>56</v>
      </c>
      <c r="D384">
        <v>4</v>
      </c>
      <c r="E384" t="s">
        <v>57</v>
      </c>
      <c r="F384">
        <v>30</v>
      </c>
      <c r="G384">
        <v>141.69999999999999</v>
      </c>
      <c r="H384">
        <v>91.11</v>
      </c>
      <c r="I384">
        <v>93.53</v>
      </c>
      <c r="J384">
        <v>71.73</v>
      </c>
      <c r="K384" t="s">
        <v>21</v>
      </c>
      <c r="L384">
        <v>7.7</v>
      </c>
      <c r="N384" t="s">
        <v>35</v>
      </c>
      <c r="O384">
        <v>4</v>
      </c>
      <c r="P384" t="s">
        <v>43</v>
      </c>
      <c r="Q384">
        <v>70</v>
      </c>
    </row>
    <row r="385" spans="1:17" x14ac:dyDescent="0.35">
      <c r="A385" s="1">
        <v>45813</v>
      </c>
      <c r="B385" t="s">
        <v>93</v>
      </c>
      <c r="C385" t="s">
        <v>37</v>
      </c>
      <c r="D385" t="s">
        <v>94</v>
      </c>
      <c r="E385" t="s">
        <v>27</v>
      </c>
      <c r="F385">
        <v>333.26</v>
      </c>
      <c r="G385">
        <v>39.4</v>
      </c>
      <c r="H385">
        <v>97.7</v>
      </c>
      <c r="I385">
        <v>96.96</v>
      </c>
      <c r="J385">
        <v>78.25</v>
      </c>
      <c r="K385" t="s">
        <v>47</v>
      </c>
      <c r="L385">
        <v>7.8</v>
      </c>
      <c r="M385">
        <v>3.7</v>
      </c>
      <c r="N385" t="s">
        <v>39</v>
      </c>
      <c r="O385">
        <v>8</v>
      </c>
      <c r="P385" t="s">
        <v>23</v>
      </c>
      <c r="Q385">
        <v>60.1</v>
      </c>
    </row>
    <row r="386" spans="1:17" x14ac:dyDescent="0.35">
      <c r="A386" s="1">
        <v>45813</v>
      </c>
      <c r="B386" t="s">
        <v>55</v>
      </c>
      <c r="C386" t="s">
        <v>56</v>
      </c>
      <c r="D386">
        <v>4</v>
      </c>
      <c r="E386" t="s">
        <v>57</v>
      </c>
      <c r="F386">
        <v>30</v>
      </c>
      <c r="G386">
        <v>144.30000000000001</v>
      </c>
      <c r="H386">
        <v>88.85</v>
      </c>
      <c r="I386">
        <v>94.77</v>
      </c>
      <c r="J386">
        <v>72.05</v>
      </c>
      <c r="K386" t="s">
        <v>58</v>
      </c>
      <c r="L386">
        <v>7.7</v>
      </c>
      <c r="N386" t="s">
        <v>35</v>
      </c>
      <c r="O386">
        <v>2</v>
      </c>
      <c r="P386" t="s">
        <v>23</v>
      </c>
      <c r="Q386">
        <v>70</v>
      </c>
    </row>
    <row r="387" spans="1:17" x14ac:dyDescent="0.35">
      <c r="A387" s="1">
        <v>45813</v>
      </c>
      <c r="B387" t="s">
        <v>91</v>
      </c>
      <c r="C387" t="s">
        <v>67</v>
      </c>
      <c r="D387" t="s">
        <v>92</v>
      </c>
      <c r="E387" t="s">
        <v>27</v>
      </c>
      <c r="F387">
        <v>366.45</v>
      </c>
      <c r="G387">
        <v>41.3</v>
      </c>
      <c r="H387">
        <v>93.24</v>
      </c>
      <c r="I387">
        <v>93.86</v>
      </c>
      <c r="J387">
        <v>83.24</v>
      </c>
      <c r="K387" t="s">
        <v>28</v>
      </c>
      <c r="L387">
        <v>8</v>
      </c>
      <c r="M387">
        <v>3</v>
      </c>
      <c r="N387" t="s">
        <v>29</v>
      </c>
      <c r="O387">
        <v>10</v>
      </c>
      <c r="P387" t="s">
        <v>43</v>
      </c>
      <c r="Q387">
        <v>60.5</v>
      </c>
    </row>
    <row r="388" spans="1:17" x14ac:dyDescent="0.35">
      <c r="A388" s="1">
        <v>45813</v>
      </c>
      <c r="B388" t="s">
        <v>93</v>
      </c>
      <c r="C388" t="s">
        <v>37</v>
      </c>
      <c r="D388" t="s">
        <v>94</v>
      </c>
      <c r="E388" t="s">
        <v>27</v>
      </c>
      <c r="F388">
        <v>486.59</v>
      </c>
      <c r="G388">
        <v>35.700000000000003</v>
      </c>
      <c r="H388">
        <v>96.14</v>
      </c>
      <c r="I388">
        <v>95.22</v>
      </c>
      <c r="J388">
        <v>80.680000000000007</v>
      </c>
      <c r="K388" t="s">
        <v>47</v>
      </c>
      <c r="L388">
        <v>8.6999999999999993</v>
      </c>
      <c r="M388">
        <v>2.2000000000000002</v>
      </c>
      <c r="N388" t="s">
        <v>39</v>
      </c>
      <c r="O388">
        <v>14</v>
      </c>
      <c r="P388" t="s">
        <v>23</v>
      </c>
      <c r="Q388">
        <v>62.4</v>
      </c>
    </row>
    <row r="389" spans="1:17" x14ac:dyDescent="0.35">
      <c r="A389" s="1">
        <v>45813</v>
      </c>
      <c r="B389" t="s">
        <v>59</v>
      </c>
      <c r="C389" t="s">
        <v>60</v>
      </c>
      <c r="D389" t="s">
        <v>61</v>
      </c>
      <c r="E389" t="s">
        <v>62</v>
      </c>
      <c r="F389">
        <v>358.52</v>
      </c>
      <c r="G389">
        <v>170.9</v>
      </c>
      <c r="H389">
        <v>90.65</v>
      </c>
      <c r="I389">
        <v>94.32</v>
      </c>
      <c r="J389">
        <v>89.09</v>
      </c>
      <c r="K389" t="s">
        <v>34</v>
      </c>
      <c r="L389">
        <v>8.1999999999999993</v>
      </c>
      <c r="N389" t="s">
        <v>35</v>
      </c>
      <c r="O389">
        <v>4</v>
      </c>
      <c r="P389" t="s">
        <v>23</v>
      </c>
      <c r="Q389">
        <v>75.2</v>
      </c>
    </row>
    <row r="390" spans="1:17" x14ac:dyDescent="0.35">
      <c r="A390" s="1">
        <v>45813</v>
      </c>
      <c r="B390" t="s">
        <v>71</v>
      </c>
      <c r="C390" t="s">
        <v>72</v>
      </c>
      <c r="D390" t="s">
        <v>73</v>
      </c>
      <c r="E390" t="s">
        <v>33</v>
      </c>
      <c r="F390">
        <v>228.78</v>
      </c>
      <c r="G390">
        <v>164.8</v>
      </c>
      <c r="H390">
        <v>94.93</v>
      </c>
      <c r="I390">
        <v>94.07</v>
      </c>
      <c r="J390">
        <v>79.13</v>
      </c>
      <c r="K390" t="s">
        <v>28</v>
      </c>
      <c r="L390">
        <v>7.1</v>
      </c>
      <c r="M390">
        <v>3.8</v>
      </c>
      <c r="N390" t="s">
        <v>35</v>
      </c>
      <c r="O390">
        <v>9</v>
      </c>
      <c r="P390" t="s">
        <v>43</v>
      </c>
      <c r="Q390">
        <v>60.6</v>
      </c>
    </row>
    <row r="391" spans="1:17" x14ac:dyDescent="0.35">
      <c r="A391" s="1">
        <v>45813</v>
      </c>
      <c r="B391" t="s">
        <v>31</v>
      </c>
      <c r="C391" t="s">
        <v>18</v>
      </c>
      <c r="D391" t="s">
        <v>32</v>
      </c>
      <c r="E391" t="s">
        <v>33</v>
      </c>
      <c r="F391">
        <v>289.39</v>
      </c>
      <c r="G391">
        <v>95</v>
      </c>
      <c r="H391">
        <v>96.86</v>
      </c>
      <c r="I391">
        <v>94.85</v>
      </c>
      <c r="J391">
        <v>70.03</v>
      </c>
      <c r="K391" t="s">
        <v>47</v>
      </c>
      <c r="L391">
        <v>7.8</v>
      </c>
      <c r="M391">
        <v>4.2</v>
      </c>
      <c r="N391" t="s">
        <v>22</v>
      </c>
      <c r="O391">
        <v>9</v>
      </c>
      <c r="P391" t="s">
        <v>23</v>
      </c>
      <c r="Q391">
        <v>59</v>
      </c>
    </row>
    <row r="392" spans="1:17" x14ac:dyDescent="0.35">
      <c r="A392" s="1">
        <v>45813</v>
      </c>
      <c r="B392" t="s">
        <v>97</v>
      </c>
      <c r="C392" t="s">
        <v>72</v>
      </c>
      <c r="D392" t="s">
        <v>98</v>
      </c>
      <c r="E392" t="s">
        <v>33</v>
      </c>
      <c r="F392">
        <v>272.2</v>
      </c>
      <c r="G392">
        <v>98.3</v>
      </c>
      <c r="H392">
        <v>97.09</v>
      </c>
      <c r="I392">
        <v>95.81</v>
      </c>
      <c r="J392">
        <v>76.95</v>
      </c>
      <c r="K392" t="s">
        <v>28</v>
      </c>
      <c r="L392">
        <v>7.8</v>
      </c>
      <c r="M392">
        <v>2.2999999999999998</v>
      </c>
      <c r="N392" t="s">
        <v>35</v>
      </c>
      <c r="O392">
        <v>9</v>
      </c>
      <c r="P392" t="s">
        <v>23</v>
      </c>
      <c r="Q392">
        <v>61.7</v>
      </c>
    </row>
    <row r="393" spans="1:17" x14ac:dyDescent="0.35">
      <c r="A393" s="1">
        <v>45813</v>
      </c>
      <c r="B393" t="s">
        <v>78</v>
      </c>
      <c r="C393" t="s">
        <v>41</v>
      </c>
      <c r="D393" t="s">
        <v>79</v>
      </c>
      <c r="E393" t="s">
        <v>27</v>
      </c>
      <c r="F393">
        <v>282.8</v>
      </c>
      <c r="G393">
        <v>39.5</v>
      </c>
      <c r="H393">
        <v>93.81</v>
      </c>
      <c r="I393">
        <v>97.87</v>
      </c>
      <c r="J393">
        <v>82.52</v>
      </c>
      <c r="K393" t="s">
        <v>28</v>
      </c>
      <c r="L393">
        <v>7.4</v>
      </c>
      <c r="M393">
        <v>3.9</v>
      </c>
      <c r="N393" t="s">
        <v>29</v>
      </c>
      <c r="O393">
        <v>12</v>
      </c>
      <c r="P393" t="s">
        <v>43</v>
      </c>
      <c r="Q393">
        <v>59.6</v>
      </c>
    </row>
    <row r="394" spans="1:17" x14ac:dyDescent="0.35">
      <c r="A394" s="1">
        <v>45813</v>
      </c>
      <c r="B394" t="s">
        <v>84</v>
      </c>
      <c r="C394" t="s">
        <v>18</v>
      </c>
      <c r="D394" t="s">
        <v>85</v>
      </c>
      <c r="E394" t="s">
        <v>33</v>
      </c>
      <c r="F394">
        <v>287.23</v>
      </c>
      <c r="G394">
        <v>185.3</v>
      </c>
      <c r="H394">
        <v>97.32</v>
      </c>
      <c r="I394">
        <v>96.27</v>
      </c>
      <c r="J394">
        <v>73.61</v>
      </c>
      <c r="K394" t="s">
        <v>47</v>
      </c>
      <c r="L394">
        <v>8</v>
      </c>
      <c r="M394">
        <v>2.2999999999999998</v>
      </c>
      <c r="N394" t="s">
        <v>22</v>
      </c>
      <c r="O394">
        <v>7</v>
      </c>
      <c r="P394" t="s">
        <v>23</v>
      </c>
      <c r="Q394">
        <v>63</v>
      </c>
    </row>
    <row r="395" spans="1:17" x14ac:dyDescent="0.35">
      <c r="A395" s="1">
        <v>45813</v>
      </c>
      <c r="B395" t="s">
        <v>55</v>
      </c>
      <c r="C395" t="s">
        <v>56</v>
      </c>
      <c r="D395">
        <v>4</v>
      </c>
      <c r="E395" t="s">
        <v>57</v>
      </c>
      <c r="F395">
        <v>30</v>
      </c>
      <c r="G395">
        <v>128.19999999999999</v>
      </c>
      <c r="H395">
        <v>90.5</v>
      </c>
      <c r="I395">
        <v>95.28</v>
      </c>
      <c r="J395">
        <v>71.14</v>
      </c>
      <c r="K395" t="s">
        <v>21</v>
      </c>
      <c r="L395">
        <v>6.5</v>
      </c>
      <c r="N395" t="s">
        <v>35</v>
      </c>
      <c r="O395">
        <v>4</v>
      </c>
      <c r="P395" t="s">
        <v>43</v>
      </c>
      <c r="Q395">
        <v>67.400000000000006</v>
      </c>
    </row>
    <row r="396" spans="1:17" x14ac:dyDescent="0.35">
      <c r="A396" s="1">
        <v>45813</v>
      </c>
      <c r="B396" t="s">
        <v>93</v>
      </c>
      <c r="C396" t="s">
        <v>37</v>
      </c>
      <c r="D396" t="s">
        <v>94</v>
      </c>
      <c r="E396" t="s">
        <v>33</v>
      </c>
      <c r="F396">
        <v>350.74</v>
      </c>
      <c r="G396">
        <v>192.7</v>
      </c>
      <c r="H396">
        <v>92.92</v>
      </c>
      <c r="I396">
        <v>96.34</v>
      </c>
      <c r="J396">
        <v>73.2</v>
      </c>
      <c r="K396" t="s">
        <v>28</v>
      </c>
      <c r="L396">
        <v>7.3</v>
      </c>
      <c r="M396">
        <v>5</v>
      </c>
      <c r="N396" t="s">
        <v>35</v>
      </c>
      <c r="O396">
        <v>10</v>
      </c>
      <c r="P396" t="s">
        <v>23</v>
      </c>
      <c r="Q396">
        <v>59.2</v>
      </c>
    </row>
    <row r="397" spans="1:17" x14ac:dyDescent="0.35">
      <c r="A397" s="1">
        <v>45813</v>
      </c>
      <c r="B397" t="s">
        <v>99</v>
      </c>
      <c r="C397" t="s">
        <v>72</v>
      </c>
      <c r="D397" t="s">
        <v>100</v>
      </c>
      <c r="E397" t="s">
        <v>33</v>
      </c>
      <c r="F397">
        <v>94.64</v>
      </c>
      <c r="G397">
        <v>160</v>
      </c>
      <c r="H397">
        <v>94.76</v>
      </c>
      <c r="I397">
        <v>94.58</v>
      </c>
      <c r="J397">
        <v>71.400000000000006</v>
      </c>
      <c r="K397" t="s">
        <v>28</v>
      </c>
      <c r="L397">
        <v>6.6</v>
      </c>
      <c r="M397">
        <v>3.7</v>
      </c>
      <c r="N397" t="s">
        <v>35</v>
      </c>
      <c r="O397">
        <v>6</v>
      </c>
      <c r="P397" t="s">
        <v>23</v>
      </c>
      <c r="Q397">
        <v>58.5</v>
      </c>
    </row>
    <row r="398" spans="1:17" x14ac:dyDescent="0.35">
      <c r="A398" s="1">
        <v>45813</v>
      </c>
      <c r="B398" t="s">
        <v>74</v>
      </c>
      <c r="C398" t="s">
        <v>67</v>
      </c>
      <c r="D398" t="s">
        <v>75</v>
      </c>
      <c r="E398" t="s">
        <v>27</v>
      </c>
      <c r="F398">
        <v>721.8</v>
      </c>
      <c r="G398">
        <v>58.1</v>
      </c>
      <c r="H398">
        <v>92.93</v>
      </c>
      <c r="I398">
        <v>94.13</v>
      </c>
      <c r="J398">
        <v>77.11</v>
      </c>
      <c r="K398" t="s">
        <v>34</v>
      </c>
      <c r="L398">
        <v>8.3000000000000007</v>
      </c>
      <c r="M398">
        <v>3.7</v>
      </c>
      <c r="N398" t="s">
        <v>29</v>
      </c>
      <c r="O398">
        <v>15</v>
      </c>
      <c r="P398" t="s">
        <v>23</v>
      </c>
      <c r="Q398">
        <v>59.9</v>
      </c>
    </row>
    <row r="399" spans="1:17" x14ac:dyDescent="0.35">
      <c r="A399" s="1">
        <v>45813</v>
      </c>
      <c r="B399" t="s">
        <v>59</v>
      </c>
      <c r="C399" t="s">
        <v>60</v>
      </c>
      <c r="D399" t="s">
        <v>61</v>
      </c>
      <c r="E399" t="s">
        <v>62</v>
      </c>
      <c r="F399">
        <v>309.36</v>
      </c>
      <c r="G399">
        <v>179.8</v>
      </c>
      <c r="H399">
        <v>87.68</v>
      </c>
      <c r="I399">
        <v>95.3</v>
      </c>
      <c r="J399">
        <v>91.73</v>
      </c>
      <c r="K399" t="s">
        <v>63</v>
      </c>
      <c r="L399">
        <v>8.1</v>
      </c>
      <c r="N399" t="s">
        <v>35</v>
      </c>
      <c r="O399">
        <v>6</v>
      </c>
      <c r="P399" t="s">
        <v>23</v>
      </c>
      <c r="Q399">
        <v>75.099999999999994</v>
      </c>
    </row>
    <row r="400" spans="1:17" x14ac:dyDescent="0.35">
      <c r="A400" s="1">
        <v>45813</v>
      </c>
      <c r="B400" t="s">
        <v>80</v>
      </c>
      <c r="C400" t="s">
        <v>45</v>
      </c>
      <c r="D400" t="s">
        <v>81</v>
      </c>
      <c r="E400" t="s">
        <v>33</v>
      </c>
      <c r="F400">
        <v>923.73</v>
      </c>
      <c r="G400">
        <v>364.1</v>
      </c>
      <c r="H400">
        <v>97.76</v>
      </c>
      <c r="I400">
        <v>98.49</v>
      </c>
      <c r="J400">
        <v>75.72</v>
      </c>
      <c r="K400" t="s">
        <v>47</v>
      </c>
      <c r="L400">
        <v>9.3000000000000007</v>
      </c>
      <c r="M400">
        <v>3.7</v>
      </c>
      <c r="N400" t="s">
        <v>35</v>
      </c>
      <c r="O400">
        <v>6</v>
      </c>
      <c r="P400" t="s">
        <v>23</v>
      </c>
      <c r="Q400">
        <v>65</v>
      </c>
    </row>
    <row r="401" spans="1:17" x14ac:dyDescent="0.35">
      <c r="A401" s="1">
        <v>45813</v>
      </c>
      <c r="B401" t="s">
        <v>95</v>
      </c>
      <c r="C401" t="s">
        <v>49</v>
      </c>
      <c r="D401" t="s">
        <v>96</v>
      </c>
      <c r="E401" t="s">
        <v>27</v>
      </c>
      <c r="F401">
        <v>231.52</v>
      </c>
      <c r="G401">
        <v>41.5</v>
      </c>
      <c r="H401">
        <v>96.37</v>
      </c>
      <c r="I401">
        <v>94.25</v>
      </c>
      <c r="J401">
        <v>81.06</v>
      </c>
      <c r="K401" t="s">
        <v>28</v>
      </c>
      <c r="L401">
        <v>7.2</v>
      </c>
      <c r="M401">
        <v>4.5999999999999996</v>
      </c>
      <c r="N401" t="s">
        <v>29</v>
      </c>
      <c r="O401">
        <v>8</v>
      </c>
      <c r="P401" t="s">
        <v>23</v>
      </c>
      <c r="Q401">
        <v>58.4</v>
      </c>
    </row>
    <row r="402" spans="1:17" x14ac:dyDescent="0.35">
      <c r="A402" s="1">
        <v>45813</v>
      </c>
      <c r="B402" t="s">
        <v>80</v>
      </c>
      <c r="C402" t="s">
        <v>45</v>
      </c>
      <c r="D402" t="s">
        <v>81</v>
      </c>
      <c r="E402" t="s">
        <v>27</v>
      </c>
      <c r="F402">
        <v>608.78</v>
      </c>
      <c r="G402">
        <v>281.8</v>
      </c>
      <c r="H402">
        <v>97.37</v>
      </c>
      <c r="I402">
        <v>98.18</v>
      </c>
      <c r="J402">
        <v>78.88</v>
      </c>
      <c r="K402" t="s">
        <v>34</v>
      </c>
      <c r="L402">
        <v>9</v>
      </c>
      <c r="M402">
        <v>2.5</v>
      </c>
      <c r="N402" t="s">
        <v>39</v>
      </c>
      <c r="O402">
        <v>14</v>
      </c>
      <c r="P402" t="s">
        <v>23</v>
      </c>
      <c r="Q402">
        <v>65.7</v>
      </c>
    </row>
    <row r="403" spans="1:17" x14ac:dyDescent="0.35">
      <c r="A403" s="1">
        <v>45813</v>
      </c>
      <c r="B403" t="s">
        <v>84</v>
      </c>
      <c r="C403" t="s">
        <v>18</v>
      </c>
      <c r="D403" t="s">
        <v>85</v>
      </c>
      <c r="E403" t="s">
        <v>33</v>
      </c>
      <c r="F403">
        <v>152.94999999999999</v>
      </c>
      <c r="G403">
        <v>180.8</v>
      </c>
      <c r="H403">
        <v>92.54</v>
      </c>
      <c r="I403">
        <v>94.92</v>
      </c>
      <c r="J403">
        <v>73.05</v>
      </c>
      <c r="K403" t="s">
        <v>28</v>
      </c>
      <c r="L403">
        <v>6.9</v>
      </c>
      <c r="M403">
        <v>3.5</v>
      </c>
      <c r="N403" t="s">
        <v>35</v>
      </c>
      <c r="O403">
        <v>8</v>
      </c>
      <c r="P403" t="s">
        <v>23</v>
      </c>
      <c r="Q403">
        <v>59.3</v>
      </c>
    </row>
    <row r="404" spans="1:17" x14ac:dyDescent="0.35">
      <c r="A404" s="1">
        <v>45813</v>
      </c>
      <c r="B404" t="s">
        <v>51</v>
      </c>
      <c r="C404" t="s">
        <v>45</v>
      </c>
      <c r="D404" t="s">
        <v>52</v>
      </c>
      <c r="E404" t="s">
        <v>33</v>
      </c>
      <c r="F404">
        <v>656.05</v>
      </c>
      <c r="G404">
        <v>273</v>
      </c>
      <c r="H404">
        <v>94.27</v>
      </c>
      <c r="I404">
        <v>98.2</v>
      </c>
      <c r="J404">
        <v>70.17</v>
      </c>
      <c r="K404" t="s">
        <v>47</v>
      </c>
      <c r="L404">
        <v>9.1999999999999993</v>
      </c>
      <c r="M404">
        <v>3.6</v>
      </c>
      <c r="N404" t="s">
        <v>35</v>
      </c>
      <c r="O404">
        <v>9</v>
      </c>
      <c r="P404" t="s">
        <v>23</v>
      </c>
      <c r="Q404">
        <v>63.4</v>
      </c>
    </row>
    <row r="405" spans="1:17" x14ac:dyDescent="0.35">
      <c r="A405" s="1">
        <v>45813</v>
      </c>
      <c r="B405" t="s">
        <v>86</v>
      </c>
      <c r="C405" t="s">
        <v>25</v>
      </c>
      <c r="D405" t="s">
        <v>87</v>
      </c>
      <c r="E405" t="s">
        <v>27</v>
      </c>
      <c r="F405">
        <v>739.26</v>
      </c>
      <c r="G405">
        <v>46.5</v>
      </c>
      <c r="H405">
        <v>92.88</v>
      </c>
      <c r="I405">
        <v>96.45</v>
      </c>
      <c r="J405">
        <v>77.099999999999994</v>
      </c>
      <c r="K405" t="s">
        <v>34</v>
      </c>
      <c r="L405">
        <v>9.1</v>
      </c>
      <c r="M405">
        <v>2</v>
      </c>
      <c r="N405" t="s">
        <v>39</v>
      </c>
      <c r="O405">
        <v>10</v>
      </c>
      <c r="P405" t="s">
        <v>30</v>
      </c>
      <c r="Q405">
        <v>62.5</v>
      </c>
    </row>
    <row r="406" spans="1:17" x14ac:dyDescent="0.35">
      <c r="A406" s="1">
        <v>45813</v>
      </c>
      <c r="B406" t="s">
        <v>97</v>
      </c>
      <c r="C406" t="s">
        <v>72</v>
      </c>
      <c r="D406" t="s">
        <v>98</v>
      </c>
      <c r="E406" t="s">
        <v>27</v>
      </c>
      <c r="F406">
        <v>298.08</v>
      </c>
      <c r="G406">
        <v>22.4</v>
      </c>
      <c r="H406">
        <v>92.24</v>
      </c>
      <c r="I406">
        <v>93</v>
      </c>
      <c r="J406">
        <v>84.23</v>
      </c>
      <c r="K406" t="s">
        <v>47</v>
      </c>
      <c r="L406">
        <v>8.3000000000000007</v>
      </c>
      <c r="M406">
        <v>4.4000000000000004</v>
      </c>
      <c r="N406" t="s">
        <v>29</v>
      </c>
      <c r="O406">
        <v>12</v>
      </c>
      <c r="P406" t="s">
        <v>23</v>
      </c>
      <c r="Q406">
        <v>59.6</v>
      </c>
    </row>
    <row r="407" spans="1:17" x14ac:dyDescent="0.35">
      <c r="A407" s="1">
        <v>45813</v>
      </c>
      <c r="B407" t="s">
        <v>78</v>
      </c>
      <c r="C407" t="s">
        <v>41</v>
      </c>
      <c r="D407" t="s">
        <v>79</v>
      </c>
      <c r="E407" t="s">
        <v>27</v>
      </c>
      <c r="F407">
        <v>280</v>
      </c>
      <c r="G407">
        <v>48.8</v>
      </c>
      <c r="H407">
        <v>95.99</v>
      </c>
      <c r="I407">
        <v>97.12</v>
      </c>
      <c r="J407">
        <v>84.97</v>
      </c>
      <c r="K407" t="s">
        <v>34</v>
      </c>
      <c r="L407">
        <v>7.8</v>
      </c>
      <c r="M407">
        <v>3.2</v>
      </c>
      <c r="N407" t="s">
        <v>39</v>
      </c>
      <c r="O407">
        <v>10</v>
      </c>
      <c r="P407" t="s">
        <v>43</v>
      </c>
      <c r="Q407">
        <v>61.5</v>
      </c>
    </row>
    <row r="408" spans="1:17" x14ac:dyDescent="0.35">
      <c r="A408" s="1">
        <v>45813</v>
      </c>
      <c r="B408" t="s">
        <v>80</v>
      </c>
      <c r="C408" t="s">
        <v>45</v>
      </c>
      <c r="D408" t="s">
        <v>81</v>
      </c>
      <c r="E408" t="s">
        <v>27</v>
      </c>
      <c r="F408">
        <v>336.05</v>
      </c>
      <c r="G408">
        <v>467.4</v>
      </c>
      <c r="H408">
        <v>94.7</v>
      </c>
      <c r="I408">
        <v>98.75</v>
      </c>
      <c r="J408">
        <v>80.790000000000006</v>
      </c>
      <c r="K408" t="s">
        <v>47</v>
      </c>
      <c r="L408">
        <v>8.3000000000000007</v>
      </c>
      <c r="M408">
        <v>2.2999999999999998</v>
      </c>
      <c r="N408" t="s">
        <v>39</v>
      </c>
      <c r="O408">
        <v>8</v>
      </c>
      <c r="P408" t="s">
        <v>23</v>
      </c>
      <c r="Q408">
        <v>64.7</v>
      </c>
    </row>
    <row r="409" spans="1:17" x14ac:dyDescent="0.35">
      <c r="A409" s="1">
        <v>45813</v>
      </c>
      <c r="B409" t="s">
        <v>95</v>
      </c>
      <c r="C409" t="s">
        <v>49</v>
      </c>
      <c r="D409" t="s">
        <v>96</v>
      </c>
      <c r="E409" t="s">
        <v>27</v>
      </c>
      <c r="F409">
        <v>267.83999999999997</v>
      </c>
      <c r="G409">
        <v>25.1</v>
      </c>
      <c r="H409">
        <v>96.89</v>
      </c>
      <c r="I409">
        <v>96.99</v>
      </c>
      <c r="J409">
        <v>82.05</v>
      </c>
      <c r="K409" t="s">
        <v>28</v>
      </c>
      <c r="L409">
        <v>7.7</v>
      </c>
      <c r="M409">
        <v>1.7</v>
      </c>
      <c r="N409" t="s">
        <v>39</v>
      </c>
      <c r="O409">
        <v>13</v>
      </c>
      <c r="P409" t="s">
        <v>43</v>
      </c>
      <c r="Q409">
        <v>61.5</v>
      </c>
    </row>
    <row r="410" spans="1:17" x14ac:dyDescent="0.35">
      <c r="A410" s="1">
        <v>45813</v>
      </c>
      <c r="B410" t="s">
        <v>69</v>
      </c>
      <c r="C410" t="s">
        <v>18</v>
      </c>
      <c r="D410" t="s">
        <v>70</v>
      </c>
      <c r="E410" t="s">
        <v>20</v>
      </c>
      <c r="F410">
        <v>295.87</v>
      </c>
      <c r="G410">
        <v>136.1</v>
      </c>
      <c r="H410">
        <v>90.09</v>
      </c>
      <c r="I410">
        <v>93.22</v>
      </c>
      <c r="J410">
        <v>78.540000000000006</v>
      </c>
      <c r="K410" t="s">
        <v>58</v>
      </c>
      <c r="L410">
        <v>8.5</v>
      </c>
      <c r="N410" t="s">
        <v>35</v>
      </c>
      <c r="O410">
        <v>9</v>
      </c>
      <c r="P410" t="s">
        <v>23</v>
      </c>
      <c r="Q410">
        <v>72.599999999999994</v>
      </c>
    </row>
    <row r="411" spans="1:17" x14ac:dyDescent="0.35">
      <c r="A411" s="1">
        <v>45813</v>
      </c>
      <c r="B411" t="s">
        <v>78</v>
      </c>
      <c r="C411" t="s">
        <v>41</v>
      </c>
      <c r="D411" t="s">
        <v>79</v>
      </c>
      <c r="E411" t="s">
        <v>27</v>
      </c>
      <c r="F411">
        <v>293.24</v>
      </c>
      <c r="G411">
        <v>51.5</v>
      </c>
      <c r="H411">
        <v>93.09</v>
      </c>
      <c r="I411">
        <v>96.55</v>
      </c>
      <c r="J411">
        <v>78.45</v>
      </c>
      <c r="K411" t="s">
        <v>28</v>
      </c>
      <c r="L411">
        <v>8.4</v>
      </c>
      <c r="M411">
        <v>3.6</v>
      </c>
      <c r="N411" t="s">
        <v>39</v>
      </c>
      <c r="O411">
        <v>15</v>
      </c>
      <c r="P411" t="s">
        <v>43</v>
      </c>
      <c r="Q411">
        <v>60.6</v>
      </c>
    </row>
    <row r="412" spans="1:17" x14ac:dyDescent="0.35">
      <c r="A412" s="1">
        <v>45813</v>
      </c>
      <c r="B412" t="s">
        <v>69</v>
      </c>
      <c r="C412" t="s">
        <v>18</v>
      </c>
      <c r="D412" t="s">
        <v>70</v>
      </c>
      <c r="E412" t="s">
        <v>20</v>
      </c>
      <c r="F412">
        <v>141.9</v>
      </c>
      <c r="G412">
        <v>98.5</v>
      </c>
      <c r="H412">
        <v>90.17</v>
      </c>
      <c r="I412">
        <v>94.45</v>
      </c>
      <c r="J412">
        <v>74.09</v>
      </c>
      <c r="K412" t="s">
        <v>21</v>
      </c>
      <c r="L412">
        <v>7.6</v>
      </c>
      <c r="N412" t="s">
        <v>35</v>
      </c>
      <c r="O412">
        <v>10</v>
      </c>
      <c r="P412" t="s">
        <v>23</v>
      </c>
      <c r="Q412">
        <v>69.3</v>
      </c>
    </row>
    <row r="413" spans="1:17" x14ac:dyDescent="0.35">
      <c r="A413" s="1">
        <v>45813</v>
      </c>
      <c r="B413" t="s">
        <v>17</v>
      </c>
      <c r="C413" t="s">
        <v>18</v>
      </c>
      <c r="D413" t="s">
        <v>19</v>
      </c>
      <c r="E413" t="s">
        <v>20</v>
      </c>
      <c r="F413">
        <v>327.37</v>
      </c>
      <c r="G413">
        <v>95.9</v>
      </c>
      <c r="H413">
        <v>90.74</v>
      </c>
      <c r="I413">
        <v>96.82</v>
      </c>
      <c r="J413">
        <v>74.62</v>
      </c>
      <c r="K413" t="s">
        <v>58</v>
      </c>
      <c r="L413">
        <v>7.2</v>
      </c>
      <c r="N413" t="s">
        <v>35</v>
      </c>
      <c r="O413">
        <v>6</v>
      </c>
      <c r="P413" t="s">
        <v>23</v>
      </c>
      <c r="Q413">
        <v>69.099999999999994</v>
      </c>
    </row>
    <row r="414" spans="1:17" x14ac:dyDescent="0.35">
      <c r="A414" s="1">
        <v>45813</v>
      </c>
      <c r="B414" t="s">
        <v>59</v>
      </c>
      <c r="C414" t="s">
        <v>60</v>
      </c>
      <c r="D414" t="s">
        <v>61</v>
      </c>
      <c r="E414" t="s">
        <v>62</v>
      </c>
      <c r="F414">
        <v>521.24</v>
      </c>
      <c r="G414">
        <v>184</v>
      </c>
      <c r="H414">
        <v>87.55</v>
      </c>
      <c r="I414">
        <v>93.94</v>
      </c>
      <c r="J414">
        <v>86.72</v>
      </c>
      <c r="K414" t="s">
        <v>63</v>
      </c>
      <c r="L414">
        <v>9.4</v>
      </c>
      <c r="N414" t="s">
        <v>35</v>
      </c>
      <c r="O414">
        <v>3</v>
      </c>
      <c r="P414" t="s">
        <v>43</v>
      </c>
      <c r="Q414">
        <v>76.400000000000006</v>
      </c>
    </row>
    <row r="415" spans="1:17" x14ac:dyDescent="0.35">
      <c r="A415" s="1">
        <v>45813</v>
      </c>
      <c r="B415" t="s">
        <v>78</v>
      </c>
      <c r="C415" t="s">
        <v>41</v>
      </c>
      <c r="D415" t="s">
        <v>79</v>
      </c>
      <c r="E415" t="s">
        <v>27</v>
      </c>
      <c r="F415">
        <v>667.1</v>
      </c>
      <c r="G415">
        <v>70.8</v>
      </c>
      <c r="H415">
        <v>96.76</v>
      </c>
      <c r="I415">
        <v>98.13</v>
      </c>
      <c r="J415">
        <v>76.98</v>
      </c>
      <c r="K415" t="s">
        <v>28</v>
      </c>
      <c r="L415">
        <v>9.5</v>
      </c>
      <c r="M415">
        <v>1.9</v>
      </c>
      <c r="N415" t="s">
        <v>39</v>
      </c>
      <c r="O415">
        <v>14</v>
      </c>
      <c r="P415" t="s">
        <v>43</v>
      </c>
      <c r="Q415">
        <v>64.599999999999994</v>
      </c>
    </row>
    <row r="416" spans="1:17" x14ac:dyDescent="0.35">
      <c r="A416" s="1">
        <v>45813</v>
      </c>
      <c r="B416" t="s">
        <v>99</v>
      </c>
      <c r="C416" t="s">
        <v>72</v>
      </c>
      <c r="D416" t="s">
        <v>100</v>
      </c>
      <c r="E416" t="s">
        <v>27</v>
      </c>
      <c r="F416">
        <v>148.53</v>
      </c>
      <c r="G416">
        <v>28.2</v>
      </c>
      <c r="H416">
        <v>92.73</v>
      </c>
      <c r="I416">
        <v>96.39</v>
      </c>
      <c r="J416">
        <v>79.55</v>
      </c>
      <c r="K416" t="s">
        <v>28</v>
      </c>
      <c r="L416">
        <v>6.4</v>
      </c>
      <c r="M416">
        <v>3.7</v>
      </c>
      <c r="N416" t="s">
        <v>39</v>
      </c>
      <c r="O416">
        <v>8</v>
      </c>
      <c r="P416" t="s">
        <v>23</v>
      </c>
      <c r="Q416">
        <v>56.9</v>
      </c>
    </row>
    <row r="417" spans="1:17" x14ac:dyDescent="0.35">
      <c r="A417" s="1">
        <v>45813</v>
      </c>
      <c r="B417" t="s">
        <v>93</v>
      </c>
      <c r="C417" t="s">
        <v>37</v>
      </c>
      <c r="D417" t="s">
        <v>94</v>
      </c>
      <c r="E417" t="s">
        <v>27</v>
      </c>
      <c r="F417">
        <v>399.68</v>
      </c>
      <c r="G417">
        <v>42.1</v>
      </c>
      <c r="H417">
        <v>97.43</v>
      </c>
      <c r="I417">
        <v>95.45</v>
      </c>
      <c r="J417">
        <v>81.209999999999994</v>
      </c>
      <c r="K417" t="s">
        <v>47</v>
      </c>
      <c r="L417">
        <v>8</v>
      </c>
      <c r="M417">
        <v>2.6</v>
      </c>
      <c r="N417" t="s">
        <v>39</v>
      </c>
      <c r="O417">
        <v>9</v>
      </c>
      <c r="P417" t="s">
        <v>23</v>
      </c>
      <c r="Q417">
        <v>61.5</v>
      </c>
    </row>
    <row r="418" spans="1:17" x14ac:dyDescent="0.35">
      <c r="A418" s="1">
        <v>45813</v>
      </c>
      <c r="B418" t="s">
        <v>53</v>
      </c>
      <c r="C418" t="s">
        <v>41</v>
      </c>
      <c r="D418" t="s">
        <v>54</v>
      </c>
      <c r="E418" t="s">
        <v>27</v>
      </c>
      <c r="F418">
        <v>661.03</v>
      </c>
      <c r="G418">
        <v>69.599999999999994</v>
      </c>
      <c r="H418">
        <v>96.61</v>
      </c>
      <c r="I418">
        <v>96.55</v>
      </c>
      <c r="J418">
        <v>76.52</v>
      </c>
      <c r="K418" t="s">
        <v>34</v>
      </c>
      <c r="L418">
        <v>8.5</v>
      </c>
      <c r="M418">
        <v>3.8</v>
      </c>
      <c r="N418" t="s">
        <v>39</v>
      </c>
      <c r="O418">
        <v>11</v>
      </c>
      <c r="P418" t="s">
        <v>43</v>
      </c>
      <c r="Q418">
        <v>61.3</v>
      </c>
    </row>
    <row r="419" spans="1:17" x14ac:dyDescent="0.35">
      <c r="A419" s="1">
        <v>45813</v>
      </c>
      <c r="B419" t="s">
        <v>86</v>
      </c>
      <c r="C419" t="s">
        <v>25</v>
      </c>
      <c r="D419" t="s">
        <v>87</v>
      </c>
      <c r="E419" t="s">
        <v>27</v>
      </c>
      <c r="F419">
        <v>340.17</v>
      </c>
      <c r="G419">
        <v>47.8</v>
      </c>
      <c r="H419">
        <v>92.94</v>
      </c>
      <c r="I419">
        <v>96.96</v>
      </c>
      <c r="J419">
        <v>80.180000000000007</v>
      </c>
      <c r="K419" t="s">
        <v>47</v>
      </c>
      <c r="L419">
        <v>8.4</v>
      </c>
      <c r="M419">
        <v>1.6</v>
      </c>
      <c r="N419" t="s">
        <v>29</v>
      </c>
      <c r="O419">
        <v>10</v>
      </c>
      <c r="P419" t="s">
        <v>30</v>
      </c>
      <c r="Q419">
        <v>62.2</v>
      </c>
    </row>
    <row r="420" spans="1:17" x14ac:dyDescent="0.35">
      <c r="A420" s="1">
        <v>45813</v>
      </c>
      <c r="B420" t="s">
        <v>55</v>
      </c>
      <c r="C420" t="s">
        <v>56</v>
      </c>
      <c r="D420">
        <v>4</v>
      </c>
      <c r="E420" t="s">
        <v>57</v>
      </c>
      <c r="F420">
        <v>30</v>
      </c>
      <c r="G420">
        <v>132.5</v>
      </c>
      <c r="H420">
        <v>90.91</v>
      </c>
      <c r="I420">
        <v>95.6</v>
      </c>
      <c r="J420">
        <v>76.790000000000006</v>
      </c>
      <c r="K420" t="s">
        <v>58</v>
      </c>
      <c r="L420">
        <v>6.2</v>
      </c>
      <c r="N420" t="s">
        <v>35</v>
      </c>
      <c r="O420">
        <v>3</v>
      </c>
      <c r="P420" t="s">
        <v>43</v>
      </c>
      <c r="Q420">
        <v>68.2</v>
      </c>
    </row>
    <row r="421" spans="1:17" x14ac:dyDescent="0.35">
      <c r="A421" s="1">
        <v>45813</v>
      </c>
      <c r="B421" t="s">
        <v>36</v>
      </c>
      <c r="C421" t="s">
        <v>37</v>
      </c>
      <c r="D421" t="s">
        <v>38</v>
      </c>
      <c r="E421" t="s">
        <v>27</v>
      </c>
      <c r="F421">
        <v>280.29000000000002</v>
      </c>
      <c r="G421">
        <v>19.100000000000001</v>
      </c>
      <c r="H421">
        <v>93</v>
      </c>
      <c r="I421">
        <v>96.44</v>
      </c>
      <c r="J421">
        <v>81.14</v>
      </c>
      <c r="K421" t="s">
        <v>34</v>
      </c>
      <c r="L421">
        <v>8.1</v>
      </c>
      <c r="M421">
        <v>3.9</v>
      </c>
      <c r="N421" t="s">
        <v>29</v>
      </c>
      <c r="O421">
        <v>13</v>
      </c>
      <c r="P421" t="s">
        <v>23</v>
      </c>
      <c r="Q421">
        <v>59.7</v>
      </c>
    </row>
    <row r="422" spans="1:17" x14ac:dyDescent="0.35">
      <c r="A422" s="1">
        <v>45813</v>
      </c>
      <c r="B422" t="s">
        <v>64</v>
      </c>
      <c r="C422" t="s">
        <v>25</v>
      </c>
      <c r="D422" t="s">
        <v>65</v>
      </c>
      <c r="E422" t="s">
        <v>27</v>
      </c>
      <c r="F422">
        <v>429.84</v>
      </c>
      <c r="G422">
        <v>52.2</v>
      </c>
      <c r="H422">
        <v>96.8</v>
      </c>
      <c r="I422">
        <v>97.37</v>
      </c>
      <c r="J422">
        <v>78.739999999999995</v>
      </c>
      <c r="K422" t="s">
        <v>47</v>
      </c>
      <c r="L422">
        <v>8.1</v>
      </c>
      <c r="M422">
        <v>2.1</v>
      </c>
      <c r="N422" t="s">
        <v>29</v>
      </c>
      <c r="O422">
        <v>14</v>
      </c>
      <c r="P422" t="s">
        <v>30</v>
      </c>
      <c r="Q422">
        <v>62</v>
      </c>
    </row>
    <row r="423" spans="1:17" x14ac:dyDescent="0.35">
      <c r="A423" s="1">
        <v>45813</v>
      </c>
      <c r="B423" t="s">
        <v>82</v>
      </c>
      <c r="C423" t="s">
        <v>72</v>
      </c>
      <c r="D423" t="s">
        <v>83</v>
      </c>
      <c r="E423" t="s">
        <v>20</v>
      </c>
      <c r="F423">
        <v>177.09</v>
      </c>
      <c r="G423">
        <v>116.3</v>
      </c>
      <c r="H423">
        <v>94.83</v>
      </c>
      <c r="I423">
        <v>95.3</v>
      </c>
      <c r="J423">
        <v>72.930000000000007</v>
      </c>
      <c r="K423" t="s">
        <v>58</v>
      </c>
      <c r="L423">
        <v>7.6</v>
      </c>
      <c r="N423" t="s">
        <v>35</v>
      </c>
      <c r="O423">
        <v>8</v>
      </c>
      <c r="P423" t="s">
        <v>23</v>
      </c>
      <c r="Q423">
        <v>70.599999999999994</v>
      </c>
    </row>
    <row r="424" spans="1:17" x14ac:dyDescent="0.35">
      <c r="A424" s="1">
        <v>45813</v>
      </c>
      <c r="B424" t="s">
        <v>84</v>
      </c>
      <c r="C424" t="s">
        <v>18</v>
      </c>
      <c r="D424" t="s">
        <v>85</v>
      </c>
      <c r="E424" t="s">
        <v>33</v>
      </c>
      <c r="F424">
        <v>185.52</v>
      </c>
      <c r="G424">
        <v>82.3</v>
      </c>
      <c r="H424">
        <v>94.56</v>
      </c>
      <c r="I424">
        <v>93.21</v>
      </c>
      <c r="J424">
        <v>71.099999999999994</v>
      </c>
      <c r="K424" t="s">
        <v>34</v>
      </c>
      <c r="L424">
        <v>6.6</v>
      </c>
      <c r="M424">
        <v>2.7</v>
      </c>
      <c r="N424" t="s">
        <v>35</v>
      </c>
      <c r="O424">
        <v>7</v>
      </c>
      <c r="P424" t="s">
        <v>23</v>
      </c>
      <c r="Q424">
        <v>57.3</v>
      </c>
    </row>
    <row r="425" spans="1:17" x14ac:dyDescent="0.35">
      <c r="A425" s="1">
        <v>45813</v>
      </c>
      <c r="B425" t="s">
        <v>86</v>
      </c>
      <c r="C425" t="s">
        <v>25</v>
      </c>
      <c r="D425" t="s">
        <v>87</v>
      </c>
      <c r="E425" t="s">
        <v>27</v>
      </c>
      <c r="F425">
        <v>449.14</v>
      </c>
      <c r="G425">
        <v>48.5</v>
      </c>
      <c r="H425">
        <v>93.17</v>
      </c>
      <c r="I425">
        <v>97.09</v>
      </c>
      <c r="J425">
        <v>77.55</v>
      </c>
      <c r="K425" t="s">
        <v>28</v>
      </c>
      <c r="L425">
        <v>8.5</v>
      </c>
      <c r="M425">
        <v>4</v>
      </c>
      <c r="N425" t="s">
        <v>39</v>
      </c>
      <c r="O425">
        <v>13</v>
      </c>
      <c r="P425" t="s">
        <v>30</v>
      </c>
      <c r="Q425">
        <v>60.4</v>
      </c>
    </row>
    <row r="426" spans="1:17" x14ac:dyDescent="0.35">
      <c r="A426" s="1">
        <v>45813</v>
      </c>
      <c r="B426" t="s">
        <v>59</v>
      </c>
      <c r="C426" t="s">
        <v>60</v>
      </c>
      <c r="D426" t="s">
        <v>61</v>
      </c>
      <c r="E426" t="s">
        <v>62</v>
      </c>
      <c r="F426">
        <v>471.02</v>
      </c>
      <c r="G426">
        <v>184.2</v>
      </c>
      <c r="H426">
        <v>88.5</v>
      </c>
      <c r="I426">
        <v>96</v>
      </c>
      <c r="J426">
        <v>90.93</v>
      </c>
      <c r="K426" t="s">
        <v>63</v>
      </c>
      <c r="L426">
        <v>8.9</v>
      </c>
      <c r="N426" t="s">
        <v>35</v>
      </c>
      <c r="O426">
        <v>6</v>
      </c>
      <c r="P426" t="s">
        <v>43</v>
      </c>
      <c r="Q426">
        <v>76.900000000000006</v>
      </c>
    </row>
    <row r="427" spans="1:17" x14ac:dyDescent="0.35">
      <c r="A427" s="1">
        <v>45813</v>
      </c>
      <c r="B427" t="s">
        <v>97</v>
      </c>
      <c r="C427" t="s">
        <v>72</v>
      </c>
      <c r="D427" t="s">
        <v>98</v>
      </c>
      <c r="E427" t="s">
        <v>27</v>
      </c>
      <c r="F427">
        <v>173.35</v>
      </c>
      <c r="G427">
        <v>41.3</v>
      </c>
      <c r="H427">
        <v>92.78</v>
      </c>
      <c r="I427">
        <v>95.13</v>
      </c>
      <c r="J427">
        <v>77.3</v>
      </c>
      <c r="K427" t="s">
        <v>28</v>
      </c>
      <c r="L427">
        <v>7.7</v>
      </c>
      <c r="M427">
        <v>4.3</v>
      </c>
      <c r="N427" t="s">
        <v>29</v>
      </c>
      <c r="O427">
        <v>8</v>
      </c>
      <c r="P427" t="s">
        <v>23</v>
      </c>
      <c r="Q427">
        <v>58.3</v>
      </c>
    </row>
    <row r="428" spans="1:17" x14ac:dyDescent="0.35">
      <c r="A428" s="1">
        <v>45813</v>
      </c>
      <c r="B428" t="s">
        <v>97</v>
      </c>
      <c r="C428" t="s">
        <v>72</v>
      </c>
      <c r="D428" t="s">
        <v>98</v>
      </c>
      <c r="E428" t="s">
        <v>33</v>
      </c>
      <c r="F428">
        <v>293.33999999999997</v>
      </c>
      <c r="G428">
        <v>117</v>
      </c>
      <c r="H428">
        <v>92.46</v>
      </c>
      <c r="I428">
        <v>96.07</v>
      </c>
      <c r="J428">
        <v>76.73</v>
      </c>
      <c r="K428" t="s">
        <v>34</v>
      </c>
      <c r="L428">
        <v>7.6</v>
      </c>
      <c r="M428">
        <v>1.6</v>
      </c>
      <c r="N428" t="s">
        <v>22</v>
      </c>
      <c r="O428">
        <v>5</v>
      </c>
      <c r="P428" t="s">
        <v>23</v>
      </c>
      <c r="Q428">
        <v>61.5</v>
      </c>
    </row>
    <row r="429" spans="1:17" x14ac:dyDescent="0.35">
      <c r="A429" s="1">
        <v>45813</v>
      </c>
      <c r="B429" t="s">
        <v>71</v>
      </c>
      <c r="C429" t="s">
        <v>72</v>
      </c>
      <c r="D429" t="s">
        <v>73</v>
      </c>
      <c r="E429" t="s">
        <v>33</v>
      </c>
      <c r="F429">
        <v>66.069999999999993</v>
      </c>
      <c r="G429">
        <v>146.30000000000001</v>
      </c>
      <c r="H429">
        <v>93.82</v>
      </c>
      <c r="I429">
        <v>94.1</v>
      </c>
      <c r="J429">
        <v>70.56</v>
      </c>
      <c r="K429" t="s">
        <v>28</v>
      </c>
      <c r="L429">
        <v>6.1</v>
      </c>
      <c r="M429">
        <v>3.1</v>
      </c>
      <c r="N429" t="s">
        <v>35</v>
      </c>
      <c r="O429">
        <v>7</v>
      </c>
      <c r="P429" t="s">
        <v>23</v>
      </c>
      <c r="Q429">
        <v>57.4</v>
      </c>
    </row>
    <row r="430" spans="1:17" x14ac:dyDescent="0.35">
      <c r="A430" s="1">
        <v>45813</v>
      </c>
      <c r="B430" t="s">
        <v>99</v>
      </c>
      <c r="C430" t="s">
        <v>72</v>
      </c>
      <c r="D430" t="s">
        <v>100</v>
      </c>
      <c r="E430" t="s">
        <v>33</v>
      </c>
      <c r="F430">
        <v>97.18</v>
      </c>
      <c r="G430">
        <v>177.9</v>
      </c>
      <c r="H430">
        <v>96.71</v>
      </c>
      <c r="I430">
        <v>94.48</v>
      </c>
      <c r="J430">
        <v>74.73</v>
      </c>
      <c r="K430" t="s">
        <v>28</v>
      </c>
      <c r="L430">
        <v>6.3</v>
      </c>
      <c r="M430">
        <v>4.2</v>
      </c>
      <c r="N430" t="s">
        <v>35</v>
      </c>
      <c r="O430">
        <v>5</v>
      </c>
      <c r="P430" t="s">
        <v>43</v>
      </c>
      <c r="Q430">
        <v>58.7</v>
      </c>
    </row>
    <row r="431" spans="1:17" x14ac:dyDescent="0.35">
      <c r="A431" s="1">
        <v>45813</v>
      </c>
      <c r="B431" t="s">
        <v>53</v>
      </c>
      <c r="C431" t="s">
        <v>41</v>
      </c>
      <c r="D431" t="s">
        <v>54</v>
      </c>
      <c r="E431" t="s">
        <v>27</v>
      </c>
      <c r="F431">
        <v>252.73</v>
      </c>
      <c r="G431">
        <v>46.9</v>
      </c>
      <c r="H431">
        <v>92.76</v>
      </c>
      <c r="I431">
        <v>96.24</v>
      </c>
      <c r="J431">
        <v>82.43</v>
      </c>
      <c r="K431" t="s">
        <v>34</v>
      </c>
      <c r="L431">
        <v>7.3</v>
      </c>
      <c r="M431">
        <v>4.5999999999999996</v>
      </c>
      <c r="N431" t="s">
        <v>39</v>
      </c>
      <c r="O431">
        <v>8</v>
      </c>
      <c r="P431" t="s">
        <v>43</v>
      </c>
      <c r="Q431">
        <v>58.6</v>
      </c>
    </row>
    <row r="432" spans="1:17" x14ac:dyDescent="0.35">
      <c r="A432" s="1">
        <v>45813</v>
      </c>
      <c r="B432" t="s">
        <v>86</v>
      </c>
      <c r="C432" t="s">
        <v>25</v>
      </c>
      <c r="D432" t="s">
        <v>87</v>
      </c>
      <c r="E432" t="s">
        <v>27</v>
      </c>
      <c r="F432">
        <v>693.32</v>
      </c>
      <c r="G432">
        <v>70.900000000000006</v>
      </c>
      <c r="H432">
        <v>92.09</v>
      </c>
      <c r="I432">
        <v>97.19</v>
      </c>
      <c r="J432">
        <v>80.16</v>
      </c>
      <c r="K432" t="s">
        <v>34</v>
      </c>
      <c r="L432">
        <v>8.6999999999999993</v>
      </c>
      <c r="M432">
        <v>3.2</v>
      </c>
      <c r="N432" t="s">
        <v>39</v>
      </c>
      <c r="O432">
        <v>11</v>
      </c>
      <c r="P432" t="s">
        <v>30</v>
      </c>
      <c r="Q432">
        <v>62</v>
      </c>
    </row>
    <row r="433" spans="1:17" x14ac:dyDescent="0.35">
      <c r="A433" s="1">
        <v>45813</v>
      </c>
      <c r="B433" t="s">
        <v>55</v>
      </c>
      <c r="C433" t="s">
        <v>56</v>
      </c>
      <c r="D433">
        <v>4</v>
      </c>
      <c r="E433" t="s">
        <v>57</v>
      </c>
      <c r="F433">
        <v>30</v>
      </c>
      <c r="G433">
        <v>167.9</v>
      </c>
      <c r="H433">
        <v>87.05</v>
      </c>
      <c r="I433">
        <v>95.34</v>
      </c>
      <c r="J433">
        <v>70.28</v>
      </c>
      <c r="K433" t="s">
        <v>63</v>
      </c>
      <c r="L433">
        <v>6.6</v>
      </c>
      <c r="N433" t="s">
        <v>35</v>
      </c>
      <c r="O433">
        <v>3</v>
      </c>
      <c r="P433" t="s">
        <v>23</v>
      </c>
      <c r="Q433">
        <v>67.7</v>
      </c>
    </row>
    <row r="434" spans="1:17" x14ac:dyDescent="0.35">
      <c r="A434" s="1">
        <v>45813</v>
      </c>
      <c r="B434" t="s">
        <v>64</v>
      </c>
      <c r="C434" t="s">
        <v>25</v>
      </c>
      <c r="D434" t="s">
        <v>65</v>
      </c>
      <c r="E434" t="s">
        <v>27</v>
      </c>
      <c r="F434">
        <v>449.19</v>
      </c>
      <c r="G434">
        <v>37</v>
      </c>
      <c r="H434">
        <v>95.23</v>
      </c>
      <c r="I434">
        <v>98.06</v>
      </c>
      <c r="J434">
        <v>81.84</v>
      </c>
      <c r="K434" t="s">
        <v>34</v>
      </c>
      <c r="L434">
        <v>9.1</v>
      </c>
      <c r="M434">
        <v>3.3</v>
      </c>
      <c r="N434" t="s">
        <v>29</v>
      </c>
      <c r="O434">
        <v>13</v>
      </c>
      <c r="P434" t="s">
        <v>30</v>
      </c>
      <c r="Q434">
        <v>62.9</v>
      </c>
    </row>
    <row r="435" spans="1:17" x14ac:dyDescent="0.35">
      <c r="A435" s="1">
        <v>45813</v>
      </c>
      <c r="B435" t="s">
        <v>55</v>
      </c>
      <c r="C435" t="s">
        <v>56</v>
      </c>
      <c r="D435">
        <v>4</v>
      </c>
      <c r="E435" t="s">
        <v>57</v>
      </c>
      <c r="F435">
        <v>30</v>
      </c>
      <c r="G435">
        <v>121.1</v>
      </c>
      <c r="H435">
        <v>91.65</v>
      </c>
      <c r="I435">
        <v>94.03</v>
      </c>
      <c r="J435">
        <v>76.53</v>
      </c>
      <c r="K435" t="s">
        <v>58</v>
      </c>
      <c r="L435">
        <v>7.7</v>
      </c>
      <c r="N435" t="s">
        <v>35</v>
      </c>
      <c r="O435">
        <v>5</v>
      </c>
      <c r="P435" t="s">
        <v>43</v>
      </c>
      <c r="Q435">
        <v>70.7</v>
      </c>
    </row>
    <row r="436" spans="1:17" x14ac:dyDescent="0.35">
      <c r="A436" s="1">
        <v>45813</v>
      </c>
      <c r="B436" t="s">
        <v>71</v>
      </c>
      <c r="C436" t="s">
        <v>72</v>
      </c>
      <c r="D436" t="s">
        <v>73</v>
      </c>
      <c r="E436" t="s">
        <v>27</v>
      </c>
      <c r="F436">
        <v>264.82</v>
      </c>
      <c r="G436">
        <v>61.3</v>
      </c>
      <c r="H436">
        <v>93.7</v>
      </c>
      <c r="I436">
        <v>96.19</v>
      </c>
      <c r="J436">
        <v>82.44</v>
      </c>
      <c r="K436" t="s">
        <v>28</v>
      </c>
      <c r="L436">
        <v>8.4</v>
      </c>
      <c r="M436">
        <v>2.8</v>
      </c>
      <c r="N436" t="s">
        <v>29</v>
      </c>
      <c r="O436">
        <v>10</v>
      </c>
      <c r="P436" t="s">
        <v>43</v>
      </c>
      <c r="Q436">
        <v>62.1</v>
      </c>
    </row>
    <row r="437" spans="1:17" x14ac:dyDescent="0.35">
      <c r="A437" s="1">
        <v>45813</v>
      </c>
      <c r="B437" t="s">
        <v>86</v>
      </c>
      <c r="C437" t="s">
        <v>25</v>
      </c>
      <c r="D437" t="s">
        <v>87</v>
      </c>
      <c r="E437" t="s">
        <v>27</v>
      </c>
      <c r="F437">
        <v>382.96</v>
      </c>
      <c r="G437">
        <v>50</v>
      </c>
      <c r="H437">
        <v>92.32</v>
      </c>
      <c r="I437">
        <v>96.76</v>
      </c>
      <c r="J437">
        <v>79.3</v>
      </c>
      <c r="K437" t="s">
        <v>28</v>
      </c>
      <c r="L437">
        <v>8.3000000000000007</v>
      </c>
      <c r="M437">
        <v>1.7</v>
      </c>
      <c r="N437" t="s">
        <v>29</v>
      </c>
      <c r="O437">
        <v>12</v>
      </c>
      <c r="P437" t="s">
        <v>30</v>
      </c>
      <c r="Q437">
        <v>61.8</v>
      </c>
    </row>
    <row r="438" spans="1:17" x14ac:dyDescent="0.35">
      <c r="A438" s="1">
        <v>45813</v>
      </c>
      <c r="B438" t="s">
        <v>101</v>
      </c>
      <c r="C438" t="s">
        <v>45</v>
      </c>
      <c r="D438" t="s">
        <v>102</v>
      </c>
      <c r="E438" t="s">
        <v>27</v>
      </c>
      <c r="F438">
        <v>841.21</v>
      </c>
      <c r="G438">
        <v>1361</v>
      </c>
      <c r="H438">
        <v>95.73</v>
      </c>
      <c r="I438">
        <v>99.4</v>
      </c>
      <c r="J438">
        <v>83.88</v>
      </c>
      <c r="K438" t="s">
        <v>88</v>
      </c>
      <c r="L438">
        <v>9.1999999999999993</v>
      </c>
      <c r="M438">
        <v>2.6</v>
      </c>
      <c r="N438" t="s">
        <v>29</v>
      </c>
      <c r="O438">
        <v>13</v>
      </c>
      <c r="P438" t="s">
        <v>23</v>
      </c>
      <c r="Q438">
        <v>66.8</v>
      </c>
    </row>
    <row r="439" spans="1:17" x14ac:dyDescent="0.35">
      <c r="A439" s="1">
        <v>45813</v>
      </c>
      <c r="B439" t="s">
        <v>66</v>
      </c>
      <c r="C439" t="s">
        <v>67</v>
      </c>
      <c r="D439" t="s">
        <v>68</v>
      </c>
      <c r="E439" t="s">
        <v>27</v>
      </c>
      <c r="F439">
        <v>435.87</v>
      </c>
      <c r="G439">
        <v>56</v>
      </c>
      <c r="H439">
        <v>97.03</v>
      </c>
      <c r="I439">
        <v>93.42</v>
      </c>
      <c r="J439">
        <v>83.4</v>
      </c>
      <c r="K439" t="s">
        <v>28</v>
      </c>
      <c r="L439">
        <v>8.1999999999999993</v>
      </c>
      <c r="M439">
        <v>2.8</v>
      </c>
      <c r="N439" t="s">
        <v>29</v>
      </c>
      <c r="O439">
        <v>9</v>
      </c>
      <c r="P439" t="s">
        <v>23</v>
      </c>
      <c r="Q439">
        <v>61.9</v>
      </c>
    </row>
    <row r="440" spans="1:17" x14ac:dyDescent="0.35">
      <c r="A440" s="1">
        <v>45813</v>
      </c>
      <c r="B440" t="s">
        <v>59</v>
      </c>
      <c r="C440" t="s">
        <v>60</v>
      </c>
      <c r="D440" t="s">
        <v>61</v>
      </c>
      <c r="E440" t="s">
        <v>62</v>
      </c>
      <c r="F440">
        <v>358.8</v>
      </c>
      <c r="G440">
        <v>190.7</v>
      </c>
      <c r="H440">
        <v>90.14</v>
      </c>
      <c r="I440">
        <v>94.15</v>
      </c>
      <c r="J440">
        <v>85.17</v>
      </c>
      <c r="K440" t="s">
        <v>34</v>
      </c>
      <c r="L440">
        <v>7.7</v>
      </c>
      <c r="N440" t="s">
        <v>35</v>
      </c>
      <c r="O440">
        <v>3</v>
      </c>
      <c r="P440" t="s">
        <v>23</v>
      </c>
      <c r="Q440">
        <v>73.3</v>
      </c>
    </row>
    <row r="441" spans="1:17" x14ac:dyDescent="0.35">
      <c r="A441" s="1">
        <v>45813</v>
      </c>
      <c r="B441" t="s">
        <v>86</v>
      </c>
      <c r="C441" t="s">
        <v>25</v>
      </c>
      <c r="D441" t="s">
        <v>87</v>
      </c>
      <c r="E441" t="s">
        <v>27</v>
      </c>
      <c r="F441">
        <v>529.15</v>
      </c>
      <c r="G441">
        <v>52.1</v>
      </c>
      <c r="H441">
        <v>96.03</v>
      </c>
      <c r="I441">
        <v>97.4</v>
      </c>
      <c r="J441">
        <v>83.02</v>
      </c>
      <c r="K441" t="s">
        <v>34</v>
      </c>
      <c r="L441">
        <v>9.1</v>
      </c>
      <c r="M441">
        <v>1.9</v>
      </c>
      <c r="N441" t="s">
        <v>39</v>
      </c>
      <c r="O441">
        <v>12</v>
      </c>
      <c r="P441" t="s">
        <v>30</v>
      </c>
      <c r="Q441">
        <v>64.3</v>
      </c>
    </row>
    <row r="442" spans="1:17" x14ac:dyDescent="0.35">
      <c r="A442" s="1">
        <v>45813</v>
      </c>
      <c r="B442" t="s">
        <v>44</v>
      </c>
      <c r="C442" t="s">
        <v>45</v>
      </c>
      <c r="D442" t="s">
        <v>46</v>
      </c>
      <c r="E442" t="s">
        <v>27</v>
      </c>
      <c r="F442">
        <v>407.91</v>
      </c>
      <c r="G442">
        <v>593.4</v>
      </c>
      <c r="H442">
        <v>94.72</v>
      </c>
      <c r="I442">
        <v>99.1</v>
      </c>
      <c r="J442">
        <v>84.9</v>
      </c>
      <c r="K442" t="s">
        <v>34</v>
      </c>
      <c r="L442">
        <v>9</v>
      </c>
      <c r="M442">
        <v>2.4</v>
      </c>
      <c r="N442" t="s">
        <v>29</v>
      </c>
      <c r="O442">
        <v>13</v>
      </c>
      <c r="P442" t="s">
        <v>23</v>
      </c>
      <c r="Q442">
        <v>66.5</v>
      </c>
    </row>
    <row r="443" spans="1:17" x14ac:dyDescent="0.35">
      <c r="A443" s="1">
        <v>45813</v>
      </c>
      <c r="B443" t="s">
        <v>95</v>
      </c>
      <c r="C443" t="s">
        <v>49</v>
      </c>
      <c r="D443" t="s">
        <v>96</v>
      </c>
      <c r="E443" t="s">
        <v>33</v>
      </c>
      <c r="F443">
        <v>325.97000000000003</v>
      </c>
      <c r="G443">
        <v>93.7</v>
      </c>
      <c r="H443">
        <v>96.57</v>
      </c>
      <c r="I443">
        <v>96.36</v>
      </c>
      <c r="J443">
        <v>74.069999999999993</v>
      </c>
      <c r="K443" t="s">
        <v>28</v>
      </c>
      <c r="L443">
        <v>8</v>
      </c>
      <c r="M443">
        <v>1.5</v>
      </c>
      <c r="N443" t="s">
        <v>22</v>
      </c>
      <c r="O443">
        <v>9</v>
      </c>
      <c r="P443" t="s">
        <v>43</v>
      </c>
      <c r="Q443">
        <v>62</v>
      </c>
    </row>
    <row r="444" spans="1:17" x14ac:dyDescent="0.35">
      <c r="A444" s="1">
        <v>45813</v>
      </c>
      <c r="B444" t="s">
        <v>80</v>
      </c>
      <c r="C444" t="s">
        <v>45</v>
      </c>
      <c r="D444" t="s">
        <v>81</v>
      </c>
      <c r="E444" t="s">
        <v>33</v>
      </c>
      <c r="F444">
        <v>816.17</v>
      </c>
      <c r="G444">
        <v>493.4</v>
      </c>
      <c r="H444">
        <v>95.24</v>
      </c>
      <c r="I444">
        <v>98.84</v>
      </c>
      <c r="J444">
        <v>75.2</v>
      </c>
      <c r="K444" t="s">
        <v>28</v>
      </c>
      <c r="L444">
        <v>8.8000000000000007</v>
      </c>
      <c r="M444">
        <v>3.2</v>
      </c>
      <c r="N444" t="s">
        <v>22</v>
      </c>
      <c r="O444">
        <v>10</v>
      </c>
      <c r="P444" t="s">
        <v>23</v>
      </c>
      <c r="Q444">
        <v>64.099999999999994</v>
      </c>
    </row>
    <row r="445" spans="1:17" x14ac:dyDescent="0.35">
      <c r="A445" s="1">
        <v>45813</v>
      </c>
      <c r="B445" t="s">
        <v>59</v>
      </c>
      <c r="C445" t="s">
        <v>60</v>
      </c>
      <c r="D445" t="s">
        <v>61</v>
      </c>
      <c r="E445" t="s">
        <v>62</v>
      </c>
      <c r="F445">
        <v>491.54</v>
      </c>
      <c r="G445">
        <v>185.2</v>
      </c>
      <c r="H445">
        <v>88.62</v>
      </c>
      <c r="I445">
        <v>93.28</v>
      </c>
      <c r="J445">
        <v>87.37</v>
      </c>
      <c r="K445" t="s">
        <v>34</v>
      </c>
      <c r="L445">
        <v>9.5</v>
      </c>
      <c r="N445" t="s">
        <v>35</v>
      </c>
      <c r="O445">
        <v>4</v>
      </c>
      <c r="P445" t="s">
        <v>23</v>
      </c>
      <c r="Q445">
        <v>76.900000000000006</v>
      </c>
    </row>
    <row r="446" spans="1:17" x14ac:dyDescent="0.35">
      <c r="A446" s="1">
        <v>45813</v>
      </c>
      <c r="B446" t="s">
        <v>86</v>
      </c>
      <c r="C446" t="s">
        <v>25</v>
      </c>
      <c r="D446" t="s">
        <v>87</v>
      </c>
      <c r="E446" t="s">
        <v>27</v>
      </c>
      <c r="F446">
        <v>609.88</v>
      </c>
      <c r="G446">
        <v>29.9</v>
      </c>
      <c r="H446">
        <v>96.22</v>
      </c>
      <c r="I446">
        <v>96.86</v>
      </c>
      <c r="J446">
        <v>77.75</v>
      </c>
      <c r="K446" t="s">
        <v>47</v>
      </c>
      <c r="L446">
        <v>8.6999999999999993</v>
      </c>
      <c r="M446">
        <v>2.2000000000000002</v>
      </c>
      <c r="N446" t="s">
        <v>29</v>
      </c>
      <c r="O446">
        <v>15</v>
      </c>
      <c r="P446" t="s">
        <v>30</v>
      </c>
      <c r="Q446">
        <v>62.1</v>
      </c>
    </row>
    <row r="447" spans="1:17" x14ac:dyDescent="0.35">
      <c r="A447" s="1">
        <v>45813</v>
      </c>
      <c r="B447" t="s">
        <v>97</v>
      </c>
      <c r="C447" t="s">
        <v>72</v>
      </c>
      <c r="D447" t="s">
        <v>98</v>
      </c>
      <c r="E447" t="s">
        <v>27</v>
      </c>
      <c r="F447">
        <v>234.74</v>
      </c>
      <c r="G447">
        <v>36.1</v>
      </c>
      <c r="H447">
        <v>92.38</v>
      </c>
      <c r="I447">
        <v>95.89</v>
      </c>
      <c r="J447">
        <v>77.08</v>
      </c>
      <c r="K447" t="s">
        <v>34</v>
      </c>
      <c r="L447">
        <v>8.1999999999999993</v>
      </c>
      <c r="M447">
        <v>4.7</v>
      </c>
      <c r="N447" t="s">
        <v>29</v>
      </c>
      <c r="O447">
        <v>14</v>
      </c>
      <c r="P447" t="s">
        <v>23</v>
      </c>
      <c r="Q447">
        <v>58.8</v>
      </c>
    </row>
    <row r="448" spans="1:17" x14ac:dyDescent="0.35">
      <c r="A448" s="1">
        <v>45813</v>
      </c>
      <c r="B448" t="s">
        <v>59</v>
      </c>
      <c r="C448" t="s">
        <v>60</v>
      </c>
      <c r="D448" t="s">
        <v>61</v>
      </c>
      <c r="E448" t="s">
        <v>62</v>
      </c>
      <c r="F448">
        <v>351.57</v>
      </c>
      <c r="G448">
        <v>178.1</v>
      </c>
      <c r="H448">
        <v>91.23</v>
      </c>
      <c r="I448">
        <v>95.53</v>
      </c>
      <c r="J448">
        <v>88.16</v>
      </c>
      <c r="K448" t="s">
        <v>63</v>
      </c>
      <c r="L448">
        <v>7.3</v>
      </c>
      <c r="N448" t="s">
        <v>35</v>
      </c>
      <c r="O448">
        <v>3</v>
      </c>
      <c r="P448" t="s">
        <v>43</v>
      </c>
      <c r="Q448">
        <v>73.599999999999994</v>
      </c>
    </row>
    <row r="449" spans="1:17" x14ac:dyDescent="0.35">
      <c r="A449" s="1">
        <v>45813</v>
      </c>
      <c r="B449" t="s">
        <v>59</v>
      </c>
      <c r="C449" t="s">
        <v>60</v>
      </c>
      <c r="D449" t="s">
        <v>61</v>
      </c>
      <c r="E449" t="s">
        <v>62</v>
      </c>
      <c r="F449">
        <v>307</v>
      </c>
      <c r="G449">
        <v>174.8</v>
      </c>
      <c r="H449">
        <v>91.69</v>
      </c>
      <c r="I449">
        <v>94.97</v>
      </c>
      <c r="J449">
        <v>90.35</v>
      </c>
      <c r="K449" t="s">
        <v>63</v>
      </c>
      <c r="L449">
        <v>8.3000000000000007</v>
      </c>
      <c r="N449" t="s">
        <v>35</v>
      </c>
      <c r="O449">
        <v>6</v>
      </c>
      <c r="P449" t="s">
        <v>43</v>
      </c>
      <c r="Q449">
        <v>76</v>
      </c>
    </row>
    <row r="450" spans="1:17" x14ac:dyDescent="0.35">
      <c r="A450" s="1">
        <v>45813</v>
      </c>
      <c r="B450" t="s">
        <v>82</v>
      </c>
      <c r="C450" t="s">
        <v>72</v>
      </c>
      <c r="D450" t="s">
        <v>83</v>
      </c>
      <c r="E450" t="s">
        <v>20</v>
      </c>
      <c r="F450">
        <v>190.57</v>
      </c>
      <c r="G450">
        <v>74</v>
      </c>
      <c r="H450">
        <v>89.54</v>
      </c>
      <c r="I450">
        <v>96.23</v>
      </c>
      <c r="J450">
        <v>78.62</v>
      </c>
      <c r="K450" t="s">
        <v>63</v>
      </c>
      <c r="L450">
        <v>6.2</v>
      </c>
      <c r="N450" t="s">
        <v>22</v>
      </c>
      <c r="O450">
        <v>5</v>
      </c>
      <c r="P450" t="s">
        <v>23</v>
      </c>
      <c r="Q450">
        <v>67</v>
      </c>
    </row>
    <row r="451" spans="1:17" x14ac:dyDescent="0.35">
      <c r="A451" s="1">
        <v>45813</v>
      </c>
      <c r="B451" t="s">
        <v>71</v>
      </c>
      <c r="C451" t="s">
        <v>72</v>
      </c>
      <c r="D451" t="s">
        <v>73</v>
      </c>
      <c r="E451" t="s">
        <v>33</v>
      </c>
      <c r="F451">
        <v>250.65</v>
      </c>
      <c r="G451">
        <v>163.6</v>
      </c>
      <c r="H451">
        <v>93.5</v>
      </c>
      <c r="I451">
        <v>93.07</v>
      </c>
      <c r="J451">
        <v>79.14</v>
      </c>
      <c r="K451" t="s">
        <v>47</v>
      </c>
      <c r="L451">
        <v>8.5</v>
      </c>
      <c r="M451">
        <v>2.1</v>
      </c>
      <c r="N451" t="s">
        <v>35</v>
      </c>
      <c r="O451">
        <v>9</v>
      </c>
      <c r="P451" t="s">
        <v>43</v>
      </c>
      <c r="Q451">
        <v>63.6</v>
      </c>
    </row>
    <row r="452" spans="1:17" x14ac:dyDescent="0.35">
      <c r="A452" s="1">
        <v>45813</v>
      </c>
      <c r="B452" t="s">
        <v>59</v>
      </c>
      <c r="C452" t="s">
        <v>60</v>
      </c>
      <c r="D452" t="s">
        <v>61</v>
      </c>
      <c r="E452" t="s">
        <v>62</v>
      </c>
      <c r="F452">
        <v>412.92</v>
      </c>
      <c r="G452">
        <v>177.4</v>
      </c>
      <c r="H452">
        <v>85.93</v>
      </c>
      <c r="I452">
        <v>95.61</v>
      </c>
      <c r="J452">
        <v>87.84</v>
      </c>
      <c r="K452" t="s">
        <v>63</v>
      </c>
      <c r="L452">
        <v>8.4</v>
      </c>
      <c r="N452" t="s">
        <v>35</v>
      </c>
      <c r="O452">
        <v>3</v>
      </c>
      <c r="P452" t="s">
        <v>23</v>
      </c>
      <c r="Q452">
        <v>74.7</v>
      </c>
    </row>
    <row r="453" spans="1:17" x14ac:dyDescent="0.35">
      <c r="A453" s="1">
        <v>45813</v>
      </c>
      <c r="B453" t="s">
        <v>95</v>
      </c>
      <c r="C453" t="s">
        <v>49</v>
      </c>
      <c r="D453" t="s">
        <v>96</v>
      </c>
      <c r="E453" t="s">
        <v>33</v>
      </c>
      <c r="F453">
        <v>480.17</v>
      </c>
      <c r="G453">
        <v>144.30000000000001</v>
      </c>
      <c r="H453">
        <v>94.19</v>
      </c>
      <c r="I453">
        <v>95.24</v>
      </c>
      <c r="J453">
        <v>71.010000000000005</v>
      </c>
      <c r="K453" t="s">
        <v>47</v>
      </c>
      <c r="L453">
        <v>9.1999999999999993</v>
      </c>
      <c r="M453">
        <v>3.1</v>
      </c>
      <c r="N453" t="s">
        <v>35</v>
      </c>
      <c r="O453">
        <v>10</v>
      </c>
      <c r="P453" t="s">
        <v>43</v>
      </c>
      <c r="Q453">
        <v>62.9</v>
      </c>
    </row>
    <row r="454" spans="1:17" x14ac:dyDescent="0.35">
      <c r="A454" s="1">
        <v>45813</v>
      </c>
      <c r="B454" t="s">
        <v>59</v>
      </c>
      <c r="C454" t="s">
        <v>60</v>
      </c>
      <c r="D454" t="s">
        <v>61</v>
      </c>
      <c r="E454" t="s">
        <v>62</v>
      </c>
      <c r="F454">
        <v>475.04</v>
      </c>
      <c r="G454">
        <v>177</v>
      </c>
      <c r="H454">
        <v>91.87</v>
      </c>
      <c r="I454">
        <v>94.33</v>
      </c>
      <c r="J454">
        <v>90.8</v>
      </c>
      <c r="K454" t="s">
        <v>63</v>
      </c>
      <c r="L454">
        <v>9.3000000000000007</v>
      </c>
      <c r="N454" t="s">
        <v>35</v>
      </c>
      <c r="O454">
        <v>4</v>
      </c>
      <c r="P454" t="s">
        <v>43</v>
      </c>
      <c r="Q454">
        <v>78</v>
      </c>
    </row>
    <row r="455" spans="1:17" x14ac:dyDescent="0.35">
      <c r="A455" s="1">
        <v>45813</v>
      </c>
      <c r="B455" t="s">
        <v>36</v>
      </c>
      <c r="C455" t="s">
        <v>37</v>
      </c>
      <c r="D455" t="s">
        <v>38</v>
      </c>
      <c r="E455" t="s">
        <v>27</v>
      </c>
      <c r="F455">
        <v>250.88</v>
      </c>
      <c r="G455">
        <v>68.900000000000006</v>
      </c>
      <c r="H455">
        <v>94.81</v>
      </c>
      <c r="I455">
        <v>95</v>
      </c>
      <c r="J455">
        <v>79.010000000000005</v>
      </c>
      <c r="K455" t="s">
        <v>47</v>
      </c>
      <c r="L455">
        <v>7.3</v>
      </c>
      <c r="M455">
        <v>2.4</v>
      </c>
      <c r="N455" t="s">
        <v>39</v>
      </c>
      <c r="O455">
        <v>15</v>
      </c>
      <c r="P455" t="s">
        <v>23</v>
      </c>
      <c r="Q455">
        <v>60.1</v>
      </c>
    </row>
    <row r="456" spans="1:17" x14ac:dyDescent="0.35">
      <c r="A456" s="1">
        <v>45813</v>
      </c>
      <c r="B456" t="s">
        <v>17</v>
      </c>
      <c r="C456" t="s">
        <v>18</v>
      </c>
      <c r="D456" t="s">
        <v>19</v>
      </c>
      <c r="E456" t="s">
        <v>20</v>
      </c>
      <c r="F456">
        <v>99.82</v>
      </c>
      <c r="G456">
        <v>173.1</v>
      </c>
      <c r="H456">
        <v>94.82</v>
      </c>
      <c r="I456">
        <v>96.62</v>
      </c>
      <c r="J456">
        <v>74.67</v>
      </c>
      <c r="K456" t="s">
        <v>63</v>
      </c>
      <c r="L456">
        <v>6.6</v>
      </c>
      <c r="N456" t="s">
        <v>22</v>
      </c>
      <c r="O456">
        <v>7</v>
      </c>
      <c r="P456" t="s">
        <v>23</v>
      </c>
      <c r="Q456">
        <v>70.400000000000006</v>
      </c>
    </row>
    <row r="457" spans="1:17" x14ac:dyDescent="0.35">
      <c r="A457" s="1">
        <v>45813</v>
      </c>
      <c r="B457" t="s">
        <v>97</v>
      </c>
      <c r="C457" t="s">
        <v>72</v>
      </c>
      <c r="D457" t="s">
        <v>98</v>
      </c>
      <c r="E457" t="s">
        <v>27</v>
      </c>
      <c r="F457">
        <v>281.48</v>
      </c>
      <c r="G457">
        <v>58</v>
      </c>
      <c r="H457">
        <v>95.1</v>
      </c>
      <c r="I457">
        <v>95.21</v>
      </c>
      <c r="J457">
        <v>78.31</v>
      </c>
      <c r="K457" t="s">
        <v>34</v>
      </c>
      <c r="L457">
        <v>8.4</v>
      </c>
      <c r="M457">
        <v>2.2999999999999998</v>
      </c>
      <c r="N457" t="s">
        <v>29</v>
      </c>
      <c r="O457">
        <v>10</v>
      </c>
      <c r="P457" t="s">
        <v>43</v>
      </c>
      <c r="Q457">
        <v>61.7</v>
      </c>
    </row>
    <row r="458" spans="1:17" x14ac:dyDescent="0.35">
      <c r="A458" s="1">
        <v>45813</v>
      </c>
      <c r="B458" t="s">
        <v>48</v>
      </c>
      <c r="C458" t="s">
        <v>49</v>
      </c>
      <c r="D458" t="s">
        <v>50</v>
      </c>
      <c r="E458" t="s">
        <v>33</v>
      </c>
      <c r="F458">
        <v>289.52999999999997</v>
      </c>
      <c r="G458">
        <v>94.9</v>
      </c>
      <c r="H458">
        <v>92.95</v>
      </c>
      <c r="I458">
        <v>96.79</v>
      </c>
      <c r="J458">
        <v>77.92</v>
      </c>
      <c r="K458" t="s">
        <v>34</v>
      </c>
      <c r="L458">
        <v>8</v>
      </c>
      <c r="M458">
        <v>2.1</v>
      </c>
      <c r="N458" t="s">
        <v>22</v>
      </c>
      <c r="O458">
        <v>10</v>
      </c>
      <c r="P458" t="s">
        <v>23</v>
      </c>
      <c r="Q458">
        <v>61.8</v>
      </c>
    </row>
    <row r="459" spans="1:17" x14ac:dyDescent="0.35">
      <c r="A459" s="1">
        <v>45813</v>
      </c>
      <c r="B459" t="s">
        <v>82</v>
      </c>
      <c r="C459" t="s">
        <v>72</v>
      </c>
      <c r="D459" t="s">
        <v>83</v>
      </c>
      <c r="E459" t="s">
        <v>20</v>
      </c>
      <c r="F459">
        <v>225.13</v>
      </c>
      <c r="G459">
        <v>144.5</v>
      </c>
      <c r="H459">
        <v>92.58</v>
      </c>
      <c r="I459">
        <v>95.43</v>
      </c>
      <c r="J459">
        <v>74.34</v>
      </c>
      <c r="K459" t="s">
        <v>58</v>
      </c>
      <c r="L459">
        <v>7.2</v>
      </c>
      <c r="N459" t="s">
        <v>35</v>
      </c>
      <c r="O459">
        <v>6</v>
      </c>
      <c r="P459" t="s">
        <v>23</v>
      </c>
      <c r="Q459">
        <v>70.3</v>
      </c>
    </row>
    <row r="460" spans="1:17" x14ac:dyDescent="0.35">
      <c r="A460" s="1">
        <v>45813</v>
      </c>
      <c r="B460" t="s">
        <v>55</v>
      </c>
      <c r="C460" t="s">
        <v>56</v>
      </c>
      <c r="D460">
        <v>4</v>
      </c>
      <c r="E460" t="s">
        <v>57</v>
      </c>
      <c r="F460">
        <v>30</v>
      </c>
      <c r="G460">
        <v>141.80000000000001</v>
      </c>
      <c r="H460">
        <v>89.9</v>
      </c>
      <c r="I460">
        <v>94.61</v>
      </c>
      <c r="J460">
        <v>79.38</v>
      </c>
      <c r="K460" t="s">
        <v>58</v>
      </c>
      <c r="L460">
        <v>7.8</v>
      </c>
      <c r="N460" t="s">
        <v>35</v>
      </c>
      <c r="O460">
        <v>3</v>
      </c>
      <c r="P460" t="s">
        <v>43</v>
      </c>
      <c r="Q460">
        <v>71.8</v>
      </c>
    </row>
    <row r="461" spans="1:17" x14ac:dyDescent="0.35">
      <c r="A461" s="1">
        <v>45813</v>
      </c>
      <c r="B461" t="s">
        <v>59</v>
      </c>
      <c r="C461" t="s">
        <v>60</v>
      </c>
      <c r="D461" t="s">
        <v>61</v>
      </c>
      <c r="E461" t="s">
        <v>62</v>
      </c>
      <c r="F461">
        <v>361.74</v>
      </c>
      <c r="G461">
        <v>188.6</v>
      </c>
      <c r="H461">
        <v>85.33</v>
      </c>
      <c r="I461">
        <v>93.4</v>
      </c>
      <c r="J461">
        <v>86.14</v>
      </c>
      <c r="K461" t="s">
        <v>63</v>
      </c>
      <c r="L461">
        <v>8.1999999999999993</v>
      </c>
      <c r="N461" t="s">
        <v>35</v>
      </c>
      <c r="O461">
        <v>6</v>
      </c>
      <c r="P461" t="s">
        <v>43</v>
      </c>
      <c r="Q461">
        <v>73.400000000000006</v>
      </c>
    </row>
    <row r="462" spans="1:17" x14ac:dyDescent="0.35">
      <c r="A462" s="1">
        <v>45813</v>
      </c>
      <c r="B462" t="s">
        <v>31</v>
      </c>
      <c r="C462" t="s">
        <v>18</v>
      </c>
      <c r="D462" t="s">
        <v>32</v>
      </c>
      <c r="E462" t="s">
        <v>27</v>
      </c>
      <c r="F462">
        <v>97.67</v>
      </c>
      <c r="G462">
        <v>21.3</v>
      </c>
      <c r="H462">
        <v>94.87</v>
      </c>
      <c r="I462">
        <v>96.94</v>
      </c>
      <c r="J462">
        <v>75.959999999999994</v>
      </c>
      <c r="K462" t="s">
        <v>28</v>
      </c>
      <c r="L462">
        <v>6.2</v>
      </c>
      <c r="M462">
        <v>4.7</v>
      </c>
      <c r="N462" t="s">
        <v>29</v>
      </c>
      <c r="O462">
        <v>9</v>
      </c>
      <c r="P462" t="s">
        <v>23</v>
      </c>
      <c r="Q462">
        <v>55.6</v>
      </c>
    </row>
    <row r="463" spans="1:17" x14ac:dyDescent="0.35">
      <c r="A463" s="1">
        <v>45813</v>
      </c>
      <c r="B463" t="s">
        <v>48</v>
      </c>
      <c r="C463" t="s">
        <v>49</v>
      </c>
      <c r="D463" t="s">
        <v>50</v>
      </c>
      <c r="E463" t="s">
        <v>27</v>
      </c>
      <c r="F463">
        <v>367.69</v>
      </c>
      <c r="G463">
        <v>38</v>
      </c>
      <c r="H463">
        <v>94.52</v>
      </c>
      <c r="I463">
        <v>95.27</v>
      </c>
      <c r="J463">
        <v>83.34</v>
      </c>
      <c r="K463" t="s">
        <v>47</v>
      </c>
      <c r="L463">
        <v>8.3000000000000007</v>
      </c>
      <c r="M463">
        <v>2</v>
      </c>
      <c r="N463" t="s">
        <v>39</v>
      </c>
      <c r="O463">
        <v>9</v>
      </c>
      <c r="P463" t="s">
        <v>43</v>
      </c>
      <c r="Q463">
        <v>62.1</v>
      </c>
    </row>
    <row r="464" spans="1:17" x14ac:dyDescent="0.35">
      <c r="A464" s="1">
        <v>45813</v>
      </c>
      <c r="B464" t="s">
        <v>53</v>
      </c>
      <c r="C464" t="s">
        <v>41</v>
      </c>
      <c r="D464" t="s">
        <v>54</v>
      </c>
      <c r="E464" t="s">
        <v>27</v>
      </c>
      <c r="F464">
        <v>676.45</v>
      </c>
      <c r="G464">
        <v>54.8</v>
      </c>
      <c r="H464">
        <v>92.41</v>
      </c>
      <c r="I464">
        <v>96.58</v>
      </c>
      <c r="J464">
        <v>82.26</v>
      </c>
      <c r="K464" t="s">
        <v>47</v>
      </c>
      <c r="L464">
        <v>8.6</v>
      </c>
      <c r="M464">
        <v>4.3</v>
      </c>
      <c r="N464" t="s">
        <v>29</v>
      </c>
      <c r="O464">
        <v>8</v>
      </c>
      <c r="P464" t="s">
        <v>43</v>
      </c>
      <c r="Q464">
        <v>61.1</v>
      </c>
    </row>
    <row r="465" spans="1:17" x14ac:dyDescent="0.35">
      <c r="A465" s="1">
        <v>45813</v>
      </c>
      <c r="B465" t="s">
        <v>59</v>
      </c>
      <c r="C465" t="s">
        <v>60</v>
      </c>
      <c r="D465" t="s">
        <v>61</v>
      </c>
      <c r="E465" t="s">
        <v>62</v>
      </c>
      <c r="F465">
        <v>409.47</v>
      </c>
      <c r="G465">
        <v>182.4</v>
      </c>
      <c r="H465">
        <v>85.05</v>
      </c>
      <c r="I465">
        <v>96.53</v>
      </c>
      <c r="J465">
        <v>86.95</v>
      </c>
      <c r="K465" t="s">
        <v>63</v>
      </c>
      <c r="L465">
        <v>8.1</v>
      </c>
      <c r="N465" t="s">
        <v>35</v>
      </c>
      <c r="O465">
        <v>4</v>
      </c>
      <c r="P465" t="s">
        <v>43</v>
      </c>
      <c r="Q465">
        <v>73.900000000000006</v>
      </c>
    </row>
    <row r="466" spans="1:17" x14ac:dyDescent="0.35">
      <c r="A466" s="1">
        <v>45813</v>
      </c>
      <c r="B466" t="s">
        <v>76</v>
      </c>
      <c r="C466" t="s">
        <v>45</v>
      </c>
      <c r="D466" t="s">
        <v>77</v>
      </c>
      <c r="E466" t="s">
        <v>27</v>
      </c>
      <c r="F466">
        <v>802.78</v>
      </c>
      <c r="G466">
        <v>264.60000000000002</v>
      </c>
      <c r="H466">
        <v>93.85</v>
      </c>
      <c r="I466">
        <v>99.1</v>
      </c>
      <c r="J466">
        <v>84.61</v>
      </c>
      <c r="K466" t="s">
        <v>34</v>
      </c>
      <c r="L466">
        <v>8.9</v>
      </c>
      <c r="M466">
        <v>1.9</v>
      </c>
      <c r="N466" t="s">
        <v>29</v>
      </c>
      <c r="O466">
        <v>11</v>
      </c>
      <c r="P466" t="s">
        <v>23</v>
      </c>
      <c r="Q466">
        <v>66.5</v>
      </c>
    </row>
    <row r="467" spans="1:17" x14ac:dyDescent="0.35">
      <c r="A467" s="1">
        <v>45813</v>
      </c>
      <c r="B467" t="s">
        <v>48</v>
      </c>
      <c r="C467" t="s">
        <v>49</v>
      </c>
      <c r="D467" t="s">
        <v>50</v>
      </c>
      <c r="E467" t="s">
        <v>27</v>
      </c>
      <c r="F467">
        <v>415.83</v>
      </c>
      <c r="G467">
        <v>56.5</v>
      </c>
      <c r="H467">
        <v>94.98</v>
      </c>
      <c r="I467">
        <v>96.71</v>
      </c>
      <c r="J467">
        <v>76.400000000000006</v>
      </c>
      <c r="K467" t="s">
        <v>47</v>
      </c>
      <c r="L467">
        <v>8.8000000000000007</v>
      </c>
      <c r="M467">
        <v>4.8</v>
      </c>
      <c r="N467" t="s">
        <v>29</v>
      </c>
      <c r="O467">
        <v>13</v>
      </c>
      <c r="P467" t="s">
        <v>23</v>
      </c>
      <c r="Q467">
        <v>60.6</v>
      </c>
    </row>
    <row r="468" spans="1:17" x14ac:dyDescent="0.35">
      <c r="A468" s="1">
        <v>45813</v>
      </c>
      <c r="B468" t="s">
        <v>17</v>
      </c>
      <c r="C468" t="s">
        <v>18</v>
      </c>
      <c r="D468" t="s">
        <v>19</v>
      </c>
      <c r="E468" t="s">
        <v>20</v>
      </c>
      <c r="F468">
        <v>162.46</v>
      </c>
      <c r="G468">
        <v>179</v>
      </c>
      <c r="H468">
        <v>91.48</v>
      </c>
      <c r="I468">
        <v>95.92</v>
      </c>
      <c r="J468">
        <v>78.23</v>
      </c>
      <c r="K468" t="s">
        <v>21</v>
      </c>
      <c r="L468">
        <v>6.2</v>
      </c>
      <c r="N468" t="s">
        <v>22</v>
      </c>
      <c r="O468">
        <v>8</v>
      </c>
      <c r="P468" t="s">
        <v>23</v>
      </c>
      <c r="Q468">
        <v>69.5</v>
      </c>
    </row>
    <row r="469" spans="1:17" x14ac:dyDescent="0.35">
      <c r="A469" s="1">
        <v>45813</v>
      </c>
      <c r="B469" t="s">
        <v>44</v>
      </c>
      <c r="C469" t="s">
        <v>45</v>
      </c>
      <c r="D469" t="s">
        <v>46</v>
      </c>
      <c r="E469" t="s">
        <v>33</v>
      </c>
      <c r="F469">
        <v>799.7</v>
      </c>
      <c r="G469">
        <v>347.4</v>
      </c>
      <c r="H469">
        <v>97.19</v>
      </c>
      <c r="I469">
        <v>99.27</v>
      </c>
      <c r="J469">
        <v>79.5</v>
      </c>
      <c r="K469" t="s">
        <v>34</v>
      </c>
      <c r="L469">
        <v>8.6999999999999993</v>
      </c>
      <c r="M469">
        <v>4.7</v>
      </c>
      <c r="N469" t="s">
        <v>22</v>
      </c>
      <c r="O469">
        <v>5</v>
      </c>
      <c r="P469" t="s">
        <v>23</v>
      </c>
      <c r="Q469">
        <v>64</v>
      </c>
    </row>
    <row r="470" spans="1:17" x14ac:dyDescent="0.35">
      <c r="A470" s="1">
        <v>45813</v>
      </c>
      <c r="B470" t="s">
        <v>91</v>
      </c>
      <c r="C470" t="s">
        <v>67</v>
      </c>
      <c r="D470" t="s">
        <v>92</v>
      </c>
      <c r="E470" t="s">
        <v>27</v>
      </c>
      <c r="F470">
        <v>346.19</v>
      </c>
      <c r="G470">
        <v>39.299999999999997</v>
      </c>
      <c r="H470">
        <v>95.52</v>
      </c>
      <c r="I470">
        <v>95.07</v>
      </c>
      <c r="J470">
        <v>82.37</v>
      </c>
      <c r="K470" t="s">
        <v>47</v>
      </c>
      <c r="L470">
        <v>8.4</v>
      </c>
      <c r="M470">
        <v>3.4</v>
      </c>
      <c r="N470" t="s">
        <v>39</v>
      </c>
      <c r="O470">
        <v>13</v>
      </c>
      <c r="P470" t="s">
        <v>23</v>
      </c>
      <c r="Q470">
        <v>61.3</v>
      </c>
    </row>
    <row r="471" spans="1:17" x14ac:dyDescent="0.35">
      <c r="A471" s="1">
        <v>45813</v>
      </c>
      <c r="B471" t="s">
        <v>86</v>
      </c>
      <c r="C471" t="s">
        <v>25</v>
      </c>
      <c r="D471" t="s">
        <v>87</v>
      </c>
      <c r="E471" t="s">
        <v>27</v>
      </c>
      <c r="F471">
        <v>396.25</v>
      </c>
      <c r="G471">
        <v>43.1</v>
      </c>
      <c r="H471">
        <v>97.2</v>
      </c>
      <c r="I471">
        <v>96.4</v>
      </c>
      <c r="J471">
        <v>84.33</v>
      </c>
      <c r="K471" t="s">
        <v>28</v>
      </c>
      <c r="L471">
        <v>8.1999999999999993</v>
      </c>
      <c r="M471">
        <v>1.8</v>
      </c>
      <c r="N471" t="s">
        <v>29</v>
      </c>
      <c r="O471">
        <v>10</v>
      </c>
      <c r="P471" t="s">
        <v>30</v>
      </c>
      <c r="Q471">
        <v>63</v>
      </c>
    </row>
    <row r="472" spans="1:17" x14ac:dyDescent="0.35">
      <c r="A472" s="1">
        <v>45813</v>
      </c>
      <c r="B472" t="s">
        <v>51</v>
      </c>
      <c r="C472" t="s">
        <v>45</v>
      </c>
      <c r="D472" t="s">
        <v>52</v>
      </c>
      <c r="E472" t="s">
        <v>33</v>
      </c>
      <c r="F472">
        <v>259.08</v>
      </c>
      <c r="G472">
        <v>303.7</v>
      </c>
      <c r="H472">
        <v>95.76</v>
      </c>
      <c r="I472">
        <v>98.07</v>
      </c>
      <c r="J472">
        <v>72.010000000000005</v>
      </c>
      <c r="K472" t="s">
        <v>88</v>
      </c>
      <c r="L472">
        <v>7</v>
      </c>
      <c r="M472">
        <v>4.9000000000000004</v>
      </c>
      <c r="N472" t="s">
        <v>35</v>
      </c>
      <c r="O472">
        <v>7</v>
      </c>
      <c r="P472" t="s">
        <v>23</v>
      </c>
      <c r="Q472">
        <v>59.4</v>
      </c>
    </row>
    <row r="473" spans="1:17" x14ac:dyDescent="0.35">
      <c r="A473" s="1">
        <v>45813</v>
      </c>
      <c r="B473" t="s">
        <v>59</v>
      </c>
      <c r="C473" t="s">
        <v>60</v>
      </c>
      <c r="D473" t="s">
        <v>61</v>
      </c>
      <c r="E473" t="s">
        <v>62</v>
      </c>
      <c r="F473">
        <v>534.03</v>
      </c>
      <c r="G473">
        <v>179</v>
      </c>
      <c r="H473">
        <v>90.53</v>
      </c>
      <c r="I473">
        <v>94.08</v>
      </c>
      <c r="J473">
        <v>85.23</v>
      </c>
      <c r="K473" t="s">
        <v>34</v>
      </c>
      <c r="L473">
        <v>9.1</v>
      </c>
      <c r="N473" t="s">
        <v>35</v>
      </c>
      <c r="O473">
        <v>4</v>
      </c>
      <c r="P473" t="s">
        <v>23</v>
      </c>
      <c r="Q473">
        <v>76.2</v>
      </c>
    </row>
    <row r="474" spans="1:17" x14ac:dyDescent="0.35">
      <c r="A474" s="1">
        <v>45813</v>
      </c>
      <c r="B474" t="s">
        <v>59</v>
      </c>
      <c r="C474" t="s">
        <v>60</v>
      </c>
      <c r="D474" t="s">
        <v>61</v>
      </c>
      <c r="E474" t="s">
        <v>62</v>
      </c>
      <c r="F474">
        <v>545.1</v>
      </c>
      <c r="G474">
        <v>190</v>
      </c>
      <c r="H474">
        <v>86.96</v>
      </c>
      <c r="I474">
        <v>93.89</v>
      </c>
      <c r="J474">
        <v>89.04</v>
      </c>
      <c r="K474" t="s">
        <v>63</v>
      </c>
      <c r="L474">
        <v>8.8000000000000007</v>
      </c>
      <c r="N474" t="s">
        <v>35</v>
      </c>
      <c r="O474">
        <v>6</v>
      </c>
      <c r="P474" t="s">
        <v>23</v>
      </c>
      <c r="Q474">
        <v>75.599999999999994</v>
      </c>
    </row>
    <row r="475" spans="1:17" x14ac:dyDescent="0.35">
      <c r="A475" s="1">
        <v>45813</v>
      </c>
      <c r="B475" t="s">
        <v>95</v>
      </c>
      <c r="C475" t="s">
        <v>49</v>
      </c>
      <c r="D475" t="s">
        <v>96</v>
      </c>
      <c r="E475" t="s">
        <v>27</v>
      </c>
      <c r="F475">
        <v>228.1</v>
      </c>
      <c r="G475">
        <v>29.2</v>
      </c>
      <c r="H475">
        <v>95.83</v>
      </c>
      <c r="I475">
        <v>96.91</v>
      </c>
      <c r="J475">
        <v>79.739999999999995</v>
      </c>
      <c r="K475" t="s">
        <v>47</v>
      </c>
      <c r="L475">
        <v>7.5</v>
      </c>
      <c r="M475">
        <v>2.9</v>
      </c>
      <c r="N475" t="s">
        <v>29</v>
      </c>
      <c r="O475">
        <v>12</v>
      </c>
      <c r="P475" t="s">
        <v>43</v>
      </c>
      <c r="Q475">
        <v>59.9</v>
      </c>
    </row>
    <row r="476" spans="1:17" x14ac:dyDescent="0.35">
      <c r="A476" s="1">
        <v>45813</v>
      </c>
      <c r="B476" t="s">
        <v>24</v>
      </c>
      <c r="C476" t="s">
        <v>25</v>
      </c>
      <c r="D476" t="s">
        <v>26</v>
      </c>
      <c r="E476" t="s">
        <v>27</v>
      </c>
      <c r="F476">
        <v>347.13</v>
      </c>
      <c r="G476">
        <v>33.6</v>
      </c>
      <c r="H476">
        <v>92.48</v>
      </c>
      <c r="I476">
        <v>96.58</v>
      </c>
      <c r="J476">
        <v>76.010000000000005</v>
      </c>
      <c r="K476" t="s">
        <v>34</v>
      </c>
      <c r="L476">
        <v>7.7</v>
      </c>
      <c r="M476">
        <v>4.4000000000000004</v>
      </c>
      <c r="N476" t="s">
        <v>29</v>
      </c>
      <c r="O476">
        <v>13</v>
      </c>
      <c r="P476" t="s">
        <v>30</v>
      </c>
      <c r="Q476">
        <v>58.1</v>
      </c>
    </row>
    <row r="477" spans="1:17" x14ac:dyDescent="0.35">
      <c r="A477" s="1">
        <v>45814</v>
      </c>
      <c r="B477" t="s">
        <v>95</v>
      </c>
      <c r="C477" t="s">
        <v>49</v>
      </c>
      <c r="D477" t="s">
        <v>96</v>
      </c>
      <c r="E477" t="s">
        <v>27</v>
      </c>
      <c r="F477">
        <v>337.36</v>
      </c>
      <c r="G477">
        <v>36.9</v>
      </c>
      <c r="H477">
        <v>96.91</v>
      </c>
      <c r="I477">
        <v>93.68</v>
      </c>
      <c r="J477">
        <v>84.83</v>
      </c>
      <c r="K477" t="s">
        <v>28</v>
      </c>
      <c r="L477">
        <v>7.3</v>
      </c>
      <c r="M477">
        <v>1.9</v>
      </c>
      <c r="N477" t="s">
        <v>39</v>
      </c>
      <c r="O477">
        <v>11</v>
      </c>
      <c r="P477" t="s">
        <v>23</v>
      </c>
      <c r="Q477">
        <v>60.9</v>
      </c>
    </row>
    <row r="478" spans="1:17" x14ac:dyDescent="0.35">
      <c r="A478" s="1">
        <v>45814</v>
      </c>
      <c r="B478" t="s">
        <v>71</v>
      </c>
      <c r="C478" t="s">
        <v>72</v>
      </c>
      <c r="D478" t="s">
        <v>73</v>
      </c>
      <c r="E478" t="s">
        <v>27</v>
      </c>
      <c r="F478">
        <v>52.27</v>
      </c>
      <c r="G478">
        <v>67.7</v>
      </c>
      <c r="H478">
        <v>95.93</v>
      </c>
      <c r="I478">
        <v>96.71</v>
      </c>
      <c r="J478">
        <v>83.32</v>
      </c>
      <c r="K478" t="s">
        <v>34</v>
      </c>
      <c r="L478">
        <v>7.6</v>
      </c>
      <c r="M478">
        <v>1.7</v>
      </c>
      <c r="N478" t="s">
        <v>39</v>
      </c>
      <c r="O478">
        <v>14</v>
      </c>
      <c r="P478" t="s">
        <v>23</v>
      </c>
      <c r="Q478">
        <v>62.2</v>
      </c>
    </row>
    <row r="479" spans="1:17" x14ac:dyDescent="0.35">
      <c r="A479" s="1">
        <v>45814</v>
      </c>
      <c r="B479" t="s">
        <v>24</v>
      </c>
      <c r="C479" t="s">
        <v>25</v>
      </c>
      <c r="D479" t="s">
        <v>26</v>
      </c>
      <c r="E479" t="s">
        <v>27</v>
      </c>
      <c r="F479">
        <v>356.53</v>
      </c>
      <c r="G479">
        <v>66.3</v>
      </c>
      <c r="H479">
        <v>96.81</v>
      </c>
      <c r="I479">
        <v>97.49</v>
      </c>
      <c r="J479">
        <v>80.209999999999994</v>
      </c>
      <c r="K479" t="s">
        <v>28</v>
      </c>
      <c r="L479">
        <v>7.5</v>
      </c>
      <c r="M479">
        <v>4.9000000000000004</v>
      </c>
      <c r="N479" t="s">
        <v>29</v>
      </c>
      <c r="O479">
        <v>14</v>
      </c>
      <c r="P479" t="s">
        <v>30</v>
      </c>
      <c r="Q479">
        <v>59.6</v>
      </c>
    </row>
    <row r="480" spans="1:17" x14ac:dyDescent="0.35">
      <c r="A480" s="1">
        <v>45814</v>
      </c>
      <c r="B480" t="s">
        <v>97</v>
      </c>
      <c r="C480" t="s">
        <v>72</v>
      </c>
      <c r="D480" t="s">
        <v>98</v>
      </c>
      <c r="E480" t="s">
        <v>33</v>
      </c>
      <c r="F480">
        <v>253.08</v>
      </c>
      <c r="G480">
        <v>227.7</v>
      </c>
      <c r="H480">
        <v>96.23</v>
      </c>
      <c r="I480">
        <v>94.57</v>
      </c>
      <c r="J480">
        <v>74.489999999999995</v>
      </c>
      <c r="K480" t="s">
        <v>34</v>
      </c>
      <c r="L480">
        <v>7.5</v>
      </c>
      <c r="M480">
        <v>2.8</v>
      </c>
      <c r="N480" t="s">
        <v>35</v>
      </c>
      <c r="O480">
        <v>6</v>
      </c>
      <c r="P480" t="s">
        <v>43</v>
      </c>
      <c r="Q480">
        <v>61.5</v>
      </c>
    </row>
    <row r="481" spans="1:17" x14ac:dyDescent="0.35">
      <c r="A481" s="1">
        <v>45814</v>
      </c>
      <c r="B481" t="s">
        <v>82</v>
      </c>
      <c r="C481" t="s">
        <v>72</v>
      </c>
      <c r="D481" t="s">
        <v>83</v>
      </c>
      <c r="E481" t="s">
        <v>20</v>
      </c>
      <c r="F481">
        <v>192.02</v>
      </c>
      <c r="G481">
        <v>134.69999999999999</v>
      </c>
      <c r="H481">
        <v>89.25</v>
      </c>
      <c r="I481">
        <v>94.21</v>
      </c>
      <c r="J481">
        <v>72.09</v>
      </c>
      <c r="K481" t="s">
        <v>21</v>
      </c>
      <c r="L481">
        <v>6.7</v>
      </c>
      <c r="N481" t="s">
        <v>35</v>
      </c>
      <c r="O481">
        <v>7</v>
      </c>
      <c r="P481" t="s">
        <v>43</v>
      </c>
      <c r="Q481">
        <v>67.7</v>
      </c>
    </row>
    <row r="482" spans="1:17" x14ac:dyDescent="0.35">
      <c r="A482" s="1">
        <v>45814</v>
      </c>
      <c r="B482" t="s">
        <v>95</v>
      </c>
      <c r="C482" t="s">
        <v>49</v>
      </c>
      <c r="D482" t="s">
        <v>96</v>
      </c>
      <c r="E482" t="s">
        <v>27</v>
      </c>
      <c r="F482">
        <v>332.84</v>
      </c>
      <c r="G482">
        <v>42.8</v>
      </c>
      <c r="H482">
        <v>93.52</v>
      </c>
      <c r="I482">
        <v>96.3</v>
      </c>
      <c r="J482">
        <v>75.27</v>
      </c>
      <c r="K482" t="s">
        <v>47</v>
      </c>
      <c r="L482">
        <v>7.7</v>
      </c>
      <c r="M482">
        <v>3.1</v>
      </c>
      <c r="N482" t="s">
        <v>39</v>
      </c>
      <c r="O482">
        <v>12</v>
      </c>
      <c r="P482" t="s">
        <v>43</v>
      </c>
      <c r="Q482">
        <v>59.1</v>
      </c>
    </row>
    <row r="483" spans="1:17" x14ac:dyDescent="0.35">
      <c r="A483" s="1">
        <v>45814</v>
      </c>
      <c r="B483" t="s">
        <v>101</v>
      </c>
      <c r="C483" t="s">
        <v>45</v>
      </c>
      <c r="D483" t="s">
        <v>102</v>
      </c>
      <c r="E483" t="s">
        <v>33</v>
      </c>
      <c r="F483">
        <v>623.25</v>
      </c>
      <c r="G483">
        <v>1040.3</v>
      </c>
      <c r="H483">
        <v>94.74</v>
      </c>
      <c r="I483">
        <v>98.37</v>
      </c>
      <c r="J483">
        <v>77.98</v>
      </c>
      <c r="K483" t="s">
        <v>88</v>
      </c>
      <c r="L483">
        <v>9.3000000000000007</v>
      </c>
      <c r="M483">
        <v>2.4</v>
      </c>
      <c r="N483" t="s">
        <v>22</v>
      </c>
      <c r="O483">
        <v>6</v>
      </c>
      <c r="P483" t="s">
        <v>23</v>
      </c>
      <c r="Q483">
        <v>65.7</v>
      </c>
    </row>
    <row r="484" spans="1:17" x14ac:dyDescent="0.35">
      <c r="A484" s="1">
        <v>45814</v>
      </c>
      <c r="B484" t="s">
        <v>95</v>
      </c>
      <c r="C484" t="s">
        <v>49</v>
      </c>
      <c r="D484" t="s">
        <v>96</v>
      </c>
      <c r="E484" t="s">
        <v>27</v>
      </c>
      <c r="F484">
        <v>225.83</v>
      </c>
      <c r="G484">
        <v>21</v>
      </c>
      <c r="H484">
        <v>92.69</v>
      </c>
      <c r="I484">
        <v>94.63</v>
      </c>
      <c r="J484">
        <v>77.98</v>
      </c>
      <c r="K484" t="s">
        <v>47</v>
      </c>
      <c r="L484">
        <v>7.6</v>
      </c>
      <c r="M484">
        <v>1.5</v>
      </c>
      <c r="N484" t="s">
        <v>39</v>
      </c>
      <c r="O484">
        <v>11</v>
      </c>
      <c r="P484" t="s">
        <v>43</v>
      </c>
      <c r="Q484">
        <v>59.6</v>
      </c>
    </row>
    <row r="485" spans="1:17" x14ac:dyDescent="0.35">
      <c r="A485" s="1">
        <v>45814</v>
      </c>
      <c r="B485" t="s">
        <v>59</v>
      </c>
      <c r="C485" t="s">
        <v>60</v>
      </c>
      <c r="D485" t="s">
        <v>61</v>
      </c>
      <c r="E485" t="s">
        <v>62</v>
      </c>
      <c r="F485">
        <v>345.04</v>
      </c>
      <c r="G485">
        <v>179.2</v>
      </c>
      <c r="H485">
        <v>88.23</v>
      </c>
      <c r="I485">
        <v>94.33</v>
      </c>
      <c r="J485">
        <v>89.74</v>
      </c>
      <c r="K485" t="s">
        <v>34</v>
      </c>
      <c r="L485">
        <v>7.4</v>
      </c>
      <c r="N485" t="s">
        <v>35</v>
      </c>
      <c r="O485">
        <v>3</v>
      </c>
      <c r="P485" t="s">
        <v>43</v>
      </c>
      <c r="Q485">
        <v>73.3</v>
      </c>
    </row>
    <row r="486" spans="1:17" x14ac:dyDescent="0.35">
      <c r="A486" s="1">
        <v>45814</v>
      </c>
      <c r="B486" t="s">
        <v>36</v>
      </c>
      <c r="C486" t="s">
        <v>37</v>
      </c>
      <c r="D486" t="s">
        <v>38</v>
      </c>
      <c r="E486" t="s">
        <v>33</v>
      </c>
      <c r="F486">
        <v>310.77</v>
      </c>
      <c r="G486">
        <v>217.9</v>
      </c>
      <c r="H486">
        <v>94.03</v>
      </c>
      <c r="I486">
        <v>94.97</v>
      </c>
      <c r="J486">
        <v>71.010000000000005</v>
      </c>
      <c r="K486" t="s">
        <v>34</v>
      </c>
      <c r="L486">
        <v>7.5</v>
      </c>
      <c r="M486">
        <v>3</v>
      </c>
      <c r="N486" t="s">
        <v>35</v>
      </c>
      <c r="O486">
        <v>9</v>
      </c>
      <c r="P486" t="s">
        <v>23</v>
      </c>
      <c r="Q486">
        <v>60.5</v>
      </c>
    </row>
    <row r="487" spans="1:17" x14ac:dyDescent="0.35">
      <c r="A487" s="1">
        <v>45814</v>
      </c>
      <c r="B487" t="s">
        <v>78</v>
      </c>
      <c r="C487" t="s">
        <v>41</v>
      </c>
      <c r="D487" t="s">
        <v>79</v>
      </c>
      <c r="E487" t="s">
        <v>27</v>
      </c>
      <c r="F487">
        <v>221.67</v>
      </c>
      <c r="G487">
        <v>20</v>
      </c>
      <c r="H487">
        <v>97.98</v>
      </c>
      <c r="I487">
        <v>96.29</v>
      </c>
      <c r="J487">
        <v>77.349999999999994</v>
      </c>
      <c r="K487" t="s">
        <v>28</v>
      </c>
      <c r="L487">
        <v>7.2</v>
      </c>
      <c r="M487">
        <v>3.1</v>
      </c>
      <c r="N487" t="s">
        <v>39</v>
      </c>
      <c r="O487">
        <v>14</v>
      </c>
      <c r="P487" t="s">
        <v>43</v>
      </c>
      <c r="Q487">
        <v>58.9</v>
      </c>
    </row>
    <row r="488" spans="1:17" x14ac:dyDescent="0.35">
      <c r="A488" s="1">
        <v>45814</v>
      </c>
      <c r="B488" t="s">
        <v>86</v>
      </c>
      <c r="C488" t="s">
        <v>25</v>
      </c>
      <c r="D488" t="s">
        <v>87</v>
      </c>
      <c r="E488" t="s">
        <v>27</v>
      </c>
      <c r="F488">
        <v>408.62</v>
      </c>
      <c r="G488">
        <v>58.9</v>
      </c>
      <c r="H488">
        <v>96.85</v>
      </c>
      <c r="I488">
        <v>97.46</v>
      </c>
      <c r="J488">
        <v>75.83</v>
      </c>
      <c r="K488" t="s">
        <v>47</v>
      </c>
      <c r="L488">
        <v>8.6999999999999993</v>
      </c>
      <c r="M488">
        <v>4.3</v>
      </c>
      <c r="N488" t="s">
        <v>29</v>
      </c>
      <c r="O488">
        <v>13</v>
      </c>
      <c r="P488" t="s">
        <v>30</v>
      </c>
      <c r="Q488">
        <v>61.2</v>
      </c>
    </row>
    <row r="489" spans="1:17" x14ac:dyDescent="0.35">
      <c r="A489" s="1">
        <v>45814</v>
      </c>
      <c r="B489" t="s">
        <v>55</v>
      </c>
      <c r="C489" t="s">
        <v>56</v>
      </c>
      <c r="D489">
        <v>4</v>
      </c>
      <c r="E489" t="s">
        <v>57</v>
      </c>
      <c r="F489">
        <v>30</v>
      </c>
      <c r="G489">
        <v>123.2</v>
      </c>
      <c r="H489">
        <v>85.61</v>
      </c>
      <c r="I489">
        <v>96.51</v>
      </c>
      <c r="J489">
        <v>76.650000000000006</v>
      </c>
      <c r="K489" t="s">
        <v>63</v>
      </c>
      <c r="L489">
        <v>6.8</v>
      </c>
      <c r="N489" t="s">
        <v>35</v>
      </c>
      <c r="O489">
        <v>3</v>
      </c>
      <c r="P489" t="s">
        <v>43</v>
      </c>
      <c r="Q489">
        <v>68.3</v>
      </c>
    </row>
    <row r="490" spans="1:17" x14ac:dyDescent="0.35">
      <c r="A490" s="1">
        <v>45814</v>
      </c>
      <c r="B490" t="s">
        <v>55</v>
      </c>
      <c r="C490" t="s">
        <v>56</v>
      </c>
      <c r="D490">
        <v>4</v>
      </c>
      <c r="E490" t="s">
        <v>57</v>
      </c>
      <c r="F490">
        <v>30</v>
      </c>
      <c r="G490">
        <v>131.9</v>
      </c>
      <c r="H490">
        <v>87.03</v>
      </c>
      <c r="I490">
        <v>93.92</v>
      </c>
      <c r="J490">
        <v>76</v>
      </c>
      <c r="K490" t="s">
        <v>63</v>
      </c>
      <c r="L490">
        <v>7.9</v>
      </c>
      <c r="N490" t="s">
        <v>35</v>
      </c>
      <c r="O490">
        <v>3</v>
      </c>
      <c r="P490" t="s">
        <v>43</v>
      </c>
      <c r="Q490">
        <v>70.3</v>
      </c>
    </row>
    <row r="491" spans="1:17" x14ac:dyDescent="0.35">
      <c r="A491" s="1">
        <v>45814</v>
      </c>
      <c r="B491" t="s">
        <v>53</v>
      </c>
      <c r="C491" t="s">
        <v>41</v>
      </c>
      <c r="D491" t="s">
        <v>54</v>
      </c>
      <c r="E491" t="s">
        <v>27</v>
      </c>
      <c r="F491">
        <v>275.89</v>
      </c>
      <c r="G491">
        <v>22.4</v>
      </c>
      <c r="H491">
        <v>96.98</v>
      </c>
      <c r="I491">
        <v>97.65</v>
      </c>
      <c r="J491">
        <v>79.540000000000006</v>
      </c>
      <c r="K491" t="s">
        <v>34</v>
      </c>
      <c r="L491">
        <v>7.9</v>
      </c>
      <c r="M491">
        <v>1.5</v>
      </c>
      <c r="N491" t="s">
        <v>39</v>
      </c>
      <c r="O491">
        <v>15</v>
      </c>
      <c r="P491" t="s">
        <v>43</v>
      </c>
      <c r="Q491">
        <v>61.6</v>
      </c>
    </row>
    <row r="492" spans="1:17" x14ac:dyDescent="0.35">
      <c r="A492" s="1">
        <v>45814</v>
      </c>
      <c r="B492" t="s">
        <v>86</v>
      </c>
      <c r="C492" t="s">
        <v>25</v>
      </c>
      <c r="D492" t="s">
        <v>87</v>
      </c>
      <c r="E492" t="s">
        <v>27</v>
      </c>
      <c r="F492">
        <v>328.06</v>
      </c>
      <c r="G492">
        <v>59.7</v>
      </c>
      <c r="H492">
        <v>92.1</v>
      </c>
      <c r="I492">
        <v>98.09</v>
      </c>
      <c r="J492">
        <v>79.040000000000006</v>
      </c>
      <c r="K492" t="s">
        <v>47</v>
      </c>
      <c r="L492">
        <v>7</v>
      </c>
      <c r="M492">
        <v>4.4000000000000004</v>
      </c>
      <c r="N492" t="s">
        <v>29</v>
      </c>
      <c r="O492">
        <v>13</v>
      </c>
      <c r="P492" t="s">
        <v>30</v>
      </c>
      <c r="Q492">
        <v>58.1</v>
      </c>
    </row>
    <row r="493" spans="1:17" x14ac:dyDescent="0.35">
      <c r="A493" s="1">
        <v>45814</v>
      </c>
      <c r="B493" t="s">
        <v>59</v>
      </c>
      <c r="C493" t="s">
        <v>60</v>
      </c>
      <c r="D493" t="s">
        <v>61</v>
      </c>
      <c r="E493" t="s">
        <v>62</v>
      </c>
      <c r="F493">
        <v>487.92</v>
      </c>
      <c r="G493">
        <v>171.3</v>
      </c>
      <c r="H493">
        <v>87.67</v>
      </c>
      <c r="I493">
        <v>94.52</v>
      </c>
      <c r="J493">
        <v>86.19</v>
      </c>
      <c r="K493" t="s">
        <v>63</v>
      </c>
      <c r="L493">
        <v>8.9</v>
      </c>
      <c r="N493" t="s">
        <v>35</v>
      </c>
      <c r="O493">
        <v>5</v>
      </c>
      <c r="P493" t="s">
        <v>23</v>
      </c>
      <c r="Q493">
        <v>75.5</v>
      </c>
    </row>
    <row r="494" spans="1:17" x14ac:dyDescent="0.35">
      <c r="A494" s="1">
        <v>45814</v>
      </c>
      <c r="B494" t="s">
        <v>31</v>
      </c>
      <c r="C494" t="s">
        <v>18</v>
      </c>
      <c r="D494" t="s">
        <v>32</v>
      </c>
      <c r="E494" t="s">
        <v>33</v>
      </c>
      <c r="F494">
        <v>206.17</v>
      </c>
      <c r="G494">
        <v>172.4</v>
      </c>
      <c r="H494">
        <v>96.48</v>
      </c>
      <c r="I494">
        <v>95.87</v>
      </c>
      <c r="J494">
        <v>72.33</v>
      </c>
      <c r="K494" t="s">
        <v>28</v>
      </c>
      <c r="L494">
        <v>7.1</v>
      </c>
      <c r="M494">
        <v>4.9000000000000004</v>
      </c>
      <c r="N494" t="s">
        <v>35</v>
      </c>
      <c r="O494">
        <v>7</v>
      </c>
      <c r="P494" t="s">
        <v>23</v>
      </c>
      <c r="Q494">
        <v>59.3</v>
      </c>
    </row>
    <row r="495" spans="1:17" x14ac:dyDescent="0.35">
      <c r="A495" s="1">
        <v>45814</v>
      </c>
      <c r="B495" t="s">
        <v>82</v>
      </c>
      <c r="C495" t="s">
        <v>72</v>
      </c>
      <c r="D495" t="s">
        <v>83</v>
      </c>
      <c r="E495" t="s">
        <v>20</v>
      </c>
      <c r="F495">
        <v>143.97</v>
      </c>
      <c r="G495">
        <v>111.4</v>
      </c>
      <c r="H495">
        <v>93.68</v>
      </c>
      <c r="I495">
        <v>93.41</v>
      </c>
      <c r="J495">
        <v>74.2</v>
      </c>
      <c r="K495" t="s">
        <v>58</v>
      </c>
      <c r="L495">
        <v>6.6</v>
      </c>
      <c r="N495" t="s">
        <v>35</v>
      </c>
      <c r="O495">
        <v>8</v>
      </c>
      <c r="P495" t="s">
        <v>43</v>
      </c>
      <c r="Q495">
        <v>68.099999999999994</v>
      </c>
    </row>
    <row r="496" spans="1:17" x14ac:dyDescent="0.35">
      <c r="A496" s="1">
        <v>45814</v>
      </c>
      <c r="B496" t="s">
        <v>74</v>
      </c>
      <c r="C496" t="s">
        <v>67</v>
      </c>
      <c r="D496" t="s">
        <v>75</v>
      </c>
      <c r="E496" t="s">
        <v>27</v>
      </c>
      <c r="F496">
        <v>644.80999999999995</v>
      </c>
      <c r="G496">
        <v>44.6</v>
      </c>
      <c r="H496">
        <v>92.15</v>
      </c>
      <c r="I496">
        <v>96</v>
      </c>
      <c r="J496">
        <v>80.349999999999994</v>
      </c>
      <c r="K496" t="s">
        <v>47</v>
      </c>
      <c r="L496">
        <v>9.1999999999999993</v>
      </c>
      <c r="M496">
        <v>2.6</v>
      </c>
      <c r="N496" t="s">
        <v>29</v>
      </c>
      <c r="O496">
        <v>8</v>
      </c>
      <c r="P496" t="s">
        <v>23</v>
      </c>
      <c r="Q496">
        <v>62.6</v>
      </c>
    </row>
    <row r="497" spans="1:17" x14ac:dyDescent="0.35">
      <c r="A497" s="1">
        <v>45814</v>
      </c>
      <c r="B497" t="s">
        <v>44</v>
      </c>
      <c r="C497" t="s">
        <v>45</v>
      </c>
      <c r="D497" t="s">
        <v>46</v>
      </c>
      <c r="E497" t="s">
        <v>27</v>
      </c>
      <c r="F497">
        <v>738.16</v>
      </c>
      <c r="G497">
        <v>357.4</v>
      </c>
      <c r="H497">
        <v>97.02</v>
      </c>
      <c r="I497">
        <v>98.55</v>
      </c>
      <c r="J497">
        <v>81.98</v>
      </c>
      <c r="K497" t="s">
        <v>34</v>
      </c>
      <c r="L497">
        <v>8.6999999999999993</v>
      </c>
      <c r="M497">
        <v>2.7</v>
      </c>
      <c r="N497" t="s">
        <v>39</v>
      </c>
      <c r="O497">
        <v>9</v>
      </c>
      <c r="P497" t="s">
        <v>23</v>
      </c>
      <c r="Q497">
        <v>65.599999999999994</v>
      </c>
    </row>
    <row r="498" spans="1:17" x14ac:dyDescent="0.35">
      <c r="A498" s="1">
        <v>45814</v>
      </c>
      <c r="B498" t="s">
        <v>17</v>
      </c>
      <c r="C498" t="s">
        <v>18</v>
      </c>
      <c r="D498" t="s">
        <v>19</v>
      </c>
      <c r="E498" t="s">
        <v>20</v>
      </c>
      <c r="F498">
        <v>253.63</v>
      </c>
      <c r="G498">
        <v>227.2</v>
      </c>
      <c r="H498">
        <v>90.93</v>
      </c>
      <c r="I498">
        <v>94.9</v>
      </c>
      <c r="J498">
        <v>75.44</v>
      </c>
      <c r="K498" t="s">
        <v>58</v>
      </c>
      <c r="L498">
        <v>7.6</v>
      </c>
      <c r="N498" t="s">
        <v>35</v>
      </c>
      <c r="O498">
        <v>8</v>
      </c>
      <c r="P498" t="s">
        <v>23</v>
      </c>
      <c r="Q498">
        <v>71.5</v>
      </c>
    </row>
    <row r="499" spans="1:17" x14ac:dyDescent="0.35">
      <c r="A499" s="1">
        <v>45814</v>
      </c>
      <c r="B499" t="s">
        <v>55</v>
      </c>
      <c r="C499" t="s">
        <v>56</v>
      </c>
      <c r="D499">
        <v>4</v>
      </c>
      <c r="E499" t="s">
        <v>57</v>
      </c>
      <c r="F499">
        <v>30</v>
      </c>
      <c r="G499">
        <v>161.30000000000001</v>
      </c>
      <c r="H499">
        <v>86.31</v>
      </c>
      <c r="I499">
        <v>93.29</v>
      </c>
      <c r="J499">
        <v>75.540000000000006</v>
      </c>
      <c r="K499" t="s">
        <v>58</v>
      </c>
      <c r="L499">
        <v>6.1</v>
      </c>
      <c r="N499" t="s">
        <v>35</v>
      </c>
      <c r="O499">
        <v>5</v>
      </c>
      <c r="P499" t="s">
        <v>23</v>
      </c>
      <c r="Q499">
        <v>67.099999999999994</v>
      </c>
    </row>
    <row r="500" spans="1:17" x14ac:dyDescent="0.35">
      <c r="A500" s="1">
        <v>45814</v>
      </c>
      <c r="B500" t="s">
        <v>64</v>
      </c>
      <c r="C500" t="s">
        <v>25</v>
      </c>
      <c r="D500" t="s">
        <v>65</v>
      </c>
      <c r="E500" t="s">
        <v>27</v>
      </c>
      <c r="F500">
        <v>825.69</v>
      </c>
      <c r="G500">
        <v>49.9</v>
      </c>
      <c r="H500">
        <v>93.74</v>
      </c>
      <c r="I500">
        <v>98.49</v>
      </c>
      <c r="J500">
        <v>79.56</v>
      </c>
      <c r="K500" t="s">
        <v>34</v>
      </c>
      <c r="L500">
        <v>8.5</v>
      </c>
      <c r="M500">
        <v>2.9</v>
      </c>
      <c r="N500" t="s">
        <v>39</v>
      </c>
      <c r="O500">
        <v>9</v>
      </c>
      <c r="P500" t="s">
        <v>30</v>
      </c>
      <c r="Q500">
        <v>61.9</v>
      </c>
    </row>
    <row r="501" spans="1:17" x14ac:dyDescent="0.35">
      <c r="A501" s="1">
        <v>45814</v>
      </c>
      <c r="B501" t="s">
        <v>76</v>
      </c>
      <c r="C501" t="s">
        <v>45</v>
      </c>
      <c r="D501" t="s">
        <v>77</v>
      </c>
      <c r="E501" t="s">
        <v>27</v>
      </c>
      <c r="F501">
        <v>334.7</v>
      </c>
      <c r="G501">
        <v>286.5</v>
      </c>
      <c r="H501">
        <v>93.54</v>
      </c>
      <c r="I501">
        <v>99.38</v>
      </c>
      <c r="J501">
        <v>79.09</v>
      </c>
      <c r="K501" t="s">
        <v>34</v>
      </c>
      <c r="L501">
        <v>8</v>
      </c>
      <c r="M501">
        <v>4.5999999999999996</v>
      </c>
      <c r="N501" t="s">
        <v>39</v>
      </c>
      <c r="O501">
        <v>9</v>
      </c>
      <c r="P501" t="s">
        <v>23</v>
      </c>
      <c r="Q501">
        <v>62.3</v>
      </c>
    </row>
    <row r="502" spans="1:17" x14ac:dyDescent="0.35">
      <c r="A502" s="1">
        <v>45814</v>
      </c>
      <c r="B502" t="s">
        <v>24</v>
      </c>
      <c r="C502" t="s">
        <v>25</v>
      </c>
      <c r="D502" t="s">
        <v>26</v>
      </c>
      <c r="E502" t="s">
        <v>27</v>
      </c>
      <c r="F502">
        <v>300.23</v>
      </c>
      <c r="G502">
        <v>43.4</v>
      </c>
      <c r="H502">
        <v>95.84</v>
      </c>
      <c r="I502">
        <v>96.8</v>
      </c>
      <c r="J502">
        <v>75.31</v>
      </c>
      <c r="K502" t="s">
        <v>28</v>
      </c>
      <c r="L502">
        <v>8.1999999999999993</v>
      </c>
      <c r="M502">
        <v>1.7</v>
      </c>
      <c r="N502" t="s">
        <v>39</v>
      </c>
      <c r="O502">
        <v>14</v>
      </c>
      <c r="P502" t="s">
        <v>30</v>
      </c>
      <c r="Q502">
        <v>61.4</v>
      </c>
    </row>
    <row r="503" spans="1:17" x14ac:dyDescent="0.35">
      <c r="A503" s="1">
        <v>45814</v>
      </c>
      <c r="B503" t="s">
        <v>53</v>
      </c>
      <c r="C503" t="s">
        <v>41</v>
      </c>
      <c r="D503" t="s">
        <v>54</v>
      </c>
      <c r="E503" t="s">
        <v>27</v>
      </c>
      <c r="F503">
        <v>670.58</v>
      </c>
      <c r="G503">
        <v>57.1</v>
      </c>
      <c r="H503">
        <v>92.84</v>
      </c>
      <c r="I503">
        <v>96.28</v>
      </c>
      <c r="J503">
        <v>82.34</v>
      </c>
      <c r="K503" t="s">
        <v>47</v>
      </c>
      <c r="L503">
        <v>8.8000000000000007</v>
      </c>
      <c r="M503">
        <v>4.4000000000000004</v>
      </c>
      <c r="N503" t="s">
        <v>39</v>
      </c>
      <c r="O503">
        <v>12</v>
      </c>
      <c r="P503" t="s">
        <v>43</v>
      </c>
      <c r="Q503">
        <v>61.4</v>
      </c>
    </row>
    <row r="504" spans="1:17" x14ac:dyDescent="0.35">
      <c r="A504" s="1">
        <v>45814</v>
      </c>
      <c r="B504" t="s">
        <v>101</v>
      </c>
      <c r="C504" t="s">
        <v>45</v>
      </c>
      <c r="D504" t="s">
        <v>102</v>
      </c>
      <c r="E504" t="s">
        <v>33</v>
      </c>
      <c r="F504">
        <v>754.22</v>
      </c>
      <c r="G504">
        <v>1258.5</v>
      </c>
      <c r="H504">
        <v>97.11</v>
      </c>
      <c r="I504">
        <v>98.74</v>
      </c>
      <c r="J504">
        <v>71.38</v>
      </c>
      <c r="K504" t="s">
        <v>88</v>
      </c>
      <c r="L504">
        <v>8.3000000000000007</v>
      </c>
      <c r="M504">
        <v>2.9</v>
      </c>
      <c r="N504" t="s">
        <v>22</v>
      </c>
      <c r="O504">
        <v>7</v>
      </c>
      <c r="P504" t="s">
        <v>23</v>
      </c>
      <c r="Q504">
        <v>63.1</v>
      </c>
    </row>
    <row r="505" spans="1:17" x14ac:dyDescent="0.35">
      <c r="A505" s="1">
        <v>45814</v>
      </c>
      <c r="B505" t="s">
        <v>84</v>
      </c>
      <c r="C505" t="s">
        <v>18</v>
      </c>
      <c r="D505" t="s">
        <v>85</v>
      </c>
      <c r="E505" t="s">
        <v>33</v>
      </c>
      <c r="F505">
        <v>259.20999999999998</v>
      </c>
      <c r="G505">
        <v>94.2</v>
      </c>
      <c r="H505">
        <v>92.33</v>
      </c>
      <c r="I505">
        <v>93.76</v>
      </c>
      <c r="J505">
        <v>79.849999999999994</v>
      </c>
      <c r="K505" t="s">
        <v>34</v>
      </c>
      <c r="L505">
        <v>7.4</v>
      </c>
      <c r="M505">
        <v>1.6</v>
      </c>
      <c r="N505" t="s">
        <v>22</v>
      </c>
      <c r="O505">
        <v>5</v>
      </c>
      <c r="P505" t="s">
        <v>23</v>
      </c>
      <c r="Q505">
        <v>60.8</v>
      </c>
    </row>
    <row r="506" spans="1:17" x14ac:dyDescent="0.35">
      <c r="A506" s="1">
        <v>45814</v>
      </c>
      <c r="B506" t="s">
        <v>93</v>
      </c>
      <c r="C506" t="s">
        <v>37</v>
      </c>
      <c r="D506" t="s">
        <v>94</v>
      </c>
      <c r="E506" t="s">
        <v>27</v>
      </c>
      <c r="F506">
        <v>241.83</v>
      </c>
      <c r="G506">
        <v>50.8</v>
      </c>
      <c r="H506">
        <v>96.69</v>
      </c>
      <c r="I506">
        <v>93.14</v>
      </c>
      <c r="J506">
        <v>75.67</v>
      </c>
      <c r="K506" t="s">
        <v>28</v>
      </c>
      <c r="L506">
        <v>7.5</v>
      </c>
      <c r="M506">
        <v>2.8</v>
      </c>
      <c r="N506" t="s">
        <v>39</v>
      </c>
      <c r="O506">
        <v>10</v>
      </c>
      <c r="P506" t="s">
        <v>23</v>
      </c>
      <c r="Q506">
        <v>59.2</v>
      </c>
    </row>
    <row r="507" spans="1:17" x14ac:dyDescent="0.35">
      <c r="A507" s="1">
        <v>45814</v>
      </c>
      <c r="B507" t="s">
        <v>55</v>
      </c>
      <c r="C507" t="s">
        <v>56</v>
      </c>
      <c r="D507">
        <v>4</v>
      </c>
      <c r="E507" t="s">
        <v>57</v>
      </c>
      <c r="F507">
        <v>30</v>
      </c>
      <c r="G507">
        <v>123.7</v>
      </c>
      <c r="H507">
        <v>87.06</v>
      </c>
      <c r="I507">
        <v>96.28</v>
      </c>
      <c r="J507">
        <v>75.52</v>
      </c>
      <c r="K507" t="s">
        <v>58</v>
      </c>
      <c r="L507">
        <v>7.9</v>
      </c>
      <c r="N507" t="s">
        <v>35</v>
      </c>
      <c r="O507">
        <v>5</v>
      </c>
      <c r="P507" t="s">
        <v>43</v>
      </c>
      <c r="Q507">
        <v>70.5</v>
      </c>
    </row>
    <row r="508" spans="1:17" x14ac:dyDescent="0.35">
      <c r="A508" s="1">
        <v>45814</v>
      </c>
      <c r="B508" t="s">
        <v>95</v>
      </c>
      <c r="C508" t="s">
        <v>49</v>
      </c>
      <c r="D508" t="s">
        <v>96</v>
      </c>
      <c r="E508" t="s">
        <v>27</v>
      </c>
      <c r="F508">
        <v>250.45</v>
      </c>
      <c r="G508">
        <v>43.5</v>
      </c>
      <c r="H508">
        <v>94.35</v>
      </c>
      <c r="I508">
        <v>93.06</v>
      </c>
      <c r="J508">
        <v>75.33</v>
      </c>
      <c r="K508" t="s">
        <v>47</v>
      </c>
      <c r="L508">
        <v>8.3000000000000007</v>
      </c>
      <c r="M508">
        <v>2.2999999999999998</v>
      </c>
      <c r="N508" t="s">
        <v>29</v>
      </c>
      <c r="O508">
        <v>8</v>
      </c>
      <c r="P508" t="s">
        <v>43</v>
      </c>
      <c r="Q508">
        <v>60.3</v>
      </c>
    </row>
    <row r="509" spans="1:17" x14ac:dyDescent="0.35">
      <c r="A509" s="1">
        <v>45814</v>
      </c>
      <c r="B509" t="s">
        <v>101</v>
      </c>
      <c r="C509" t="s">
        <v>45</v>
      </c>
      <c r="D509" t="s">
        <v>102</v>
      </c>
      <c r="E509" t="s">
        <v>33</v>
      </c>
      <c r="F509">
        <v>577.99</v>
      </c>
      <c r="G509">
        <v>1666.8</v>
      </c>
      <c r="H509">
        <v>95.2</v>
      </c>
      <c r="I509">
        <v>98.9</v>
      </c>
      <c r="J509">
        <v>79.34</v>
      </c>
      <c r="K509" t="s">
        <v>47</v>
      </c>
      <c r="L509">
        <v>8.8000000000000007</v>
      </c>
      <c r="M509">
        <v>5</v>
      </c>
      <c r="N509" t="s">
        <v>22</v>
      </c>
      <c r="O509">
        <v>8</v>
      </c>
      <c r="P509" t="s">
        <v>23</v>
      </c>
      <c r="Q509">
        <v>63.6</v>
      </c>
    </row>
    <row r="510" spans="1:17" x14ac:dyDescent="0.35">
      <c r="A510" s="1">
        <v>45814</v>
      </c>
      <c r="B510" t="s">
        <v>76</v>
      </c>
      <c r="C510" t="s">
        <v>45</v>
      </c>
      <c r="D510" t="s">
        <v>77</v>
      </c>
      <c r="E510" t="s">
        <v>33</v>
      </c>
      <c r="F510">
        <v>423.51</v>
      </c>
      <c r="G510">
        <v>602.9</v>
      </c>
      <c r="H510">
        <v>96.02</v>
      </c>
      <c r="I510">
        <v>98.03</v>
      </c>
      <c r="J510">
        <v>77.66</v>
      </c>
      <c r="K510" t="s">
        <v>34</v>
      </c>
      <c r="L510">
        <v>8</v>
      </c>
      <c r="M510">
        <v>4</v>
      </c>
      <c r="N510" t="s">
        <v>35</v>
      </c>
      <c r="O510">
        <v>5</v>
      </c>
      <c r="P510" t="s">
        <v>23</v>
      </c>
      <c r="Q510">
        <v>62.6</v>
      </c>
    </row>
    <row r="511" spans="1:17" x14ac:dyDescent="0.35">
      <c r="A511" s="1">
        <v>45814</v>
      </c>
      <c r="B511" t="s">
        <v>48</v>
      </c>
      <c r="C511" t="s">
        <v>49</v>
      </c>
      <c r="D511" t="s">
        <v>50</v>
      </c>
      <c r="E511" t="s">
        <v>27</v>
      </c>
      <c r="F511">
        <v>275.10000000000002</v>
      </c>
      <c r="G511">
        <v>51.5</v>
      </c>
      <c r="H511">
        <v>93.82</v>
      </c>
      <c r="I511">
        <v>94.58</v>
      </c>
      <c r="J511">
        <v>78.709999999999994</v>
      </c>
      <c r="K511" t="s">
        <v>28</v>
      </c>
      <c r="L511">
        <v>7.1</v>
      </c>
      <c r="M511">
        <v>2.1</v>
      </c>
      <c r="N511" t="s">
        <v>29</v>
      </c>
      <c r="O511">
        <v>15</v>
      </c>
      <c r="P511" t="s">
        <v>23</v>
      </c>
      <c r="Q511">
        <v>59.3</v>
      </c>
    </row>
    <row r="512" spans="1:17" x14ac:dyDescent="0.35">
      <c r="A512" s="1">
        <v>45814</v>
      </c>
      <c r="B512" t="s">
        <v>53</v>
      </c>
      <c r="C512" t="s">
        <v>41</v>
      </c>
      <c r="D512" t="s">
        <v>54</v>
      </c>
      <c r="E512" t="s">
        <v>27</v>
      </c>
      <c r="F512">
        <v>685.97</v>
      </c>
      <c r="G512">
        <v>69.7</v>
      </c>
      <c r="H512">
        <v>95.46</v>
      </c>
      <c r="I512">
        <v>97.78</v>
      </c>
      <c r="J512">
        <v>82.01</v>
      </c>
      <c r="K512" t="s">
        <v>28</v>
      </c>
      <c r="L512">
        <v>8.1999999999999993</v>
      </c>
      <c r="M512">
        <v>3.7</v>
      </c>
      <c r="N512" t="s">
        <v>29</v>
      </c>
      <c r="O512">
        <v>8</v>
      </c>
      <c r="P512" t="s">
        <v>43</v>
      </c>
      <c r="Q512">
        <v>61.8</v>
      </c>
    </row>
    <row r="513" spans="1:17" x14ac:dyDescent="0.35">
      <c r="A513" s="1">
        <v>45814</v>
      </c>
      <c r="B513" t="s">
        <v>64</v>
      </c>
      <c r="C513" t="s">
        <v>25</v>
      </c>
      <c r="D513" t="s">
        <v>65</v>
      </c>
      <c r="E513" t="s">
        <v>27</v>
      </c>
      <c r="F513">
        <v>826.15</v>
      </c>
      <c r="G513">
        <v>24.4</v>
      </c>
      <c r="H513">
        <v>97.33</v>
      </c>
      <c r="I513">
        <v>96.08</v>
      </c>
      <c r="J513">
        <v>78.98</v>
      </c>
      <c r="K513" t="s">
        <v>34</v>
      </c>
      <c r="L513">
        <v>8.1</v>
      </c>
      <c r="M513">
        <v>2.9</v>
      </c>
      <c r="N513" t="s">
        <v>39</v>
      </c>
      <c r="O513">
        <v>8</v>
      </c>
      <c r="P513" t="s">
        <v>30</v>
      </c>
      <c r="Q513">
        <v>60.8</v>
      </c>
    </row>
    <row r="514" spans="1:17" x14ac:dyDescent="0.35">
      <c r="A514" s="1">
        <v>45814</v>
      </c>
      <c r="B514" t="s">
        <v>48</v>
      </c>
      <c r="C514" t="s">
        <v>49</v>
      </c>
      <c r="D514" t="s">
        <v>50</v>
      </c>
      <c r="E514" t="s">
        <v>33</v>
      </c>
      <c r="F514">
        <v>273.79000000000002</v>
      </c>
      <c r="G514">
        <v>239.6</v>
      </c>
      <c r="H514">
        <v>92.39</v>
      </c>
      <c r="I514">
        <v>96.14</v>
      </c>
      <c r="J514">
        <v>70.42</v>
      </c>
      <c r="K514" t="s">
        <v>28</v>
      </c>
      <c r="L514">
        <v>7.9</v>
      </c>
      <c r="M514">
        <v>1.6</v>
      </c>
      <c r="N514" t="s">
        <v>35</v>
      </c>
      <c r="O514">
        <v>10</v>
      </c>
      <c r="P514" t="s">
        <v>23</v>
      </c>
      <c r="Q514">
        <v>61.9</v>
      </c>
    </row>
    <row r="515" spans="1:17" x14ac:dyDescent="0.35">
      <c r="A515" s="1">
        <v>45814</v>
      </c>
      <c r="B515" t="s">
        <v>55</v>
      </c>
      <c r="C515" t="s">
        <v>56</v>
      </c>
      <c r="D515">
        <v>4</v>
      </c>
      <c r="E515" t="s">
        <v>57</v>
      </c>
      <c r="F515">
        <v>30</v>
      </c>
      <c r="G515">
        <v>123.1</v>
      </c>
      <c r="H515">
        <v>87.4</v>
      </c>
      <c r="I515">
        <v>95.42</v>
      </c>
      <c r="J515">
        <v>72.13</v>
      </c>
      <c r="K515" t="s">
        <v>21</v>
      </c>
      <c r="L515">
        <v>7</v>
      </c>
      <c r="N515" t="s">
        <v>35</v>
      </c>
      <c r="O515">
        <v>4</v>
      </c>
      <c r="P515" t="s">
        <v>23</v>
      </c>
      <c r="Q515">
        <v>67.900000000000006</v>
      </c>
    </row>
    <row r="516" spans="1:17" x14ac:dyDescent="0.35">
      <c r="A516" s="1">
        <v>45814</v>
      </c>
      <c r="B516" t="s">
        <v>64</v>
      </c>
      <c r="C516" t="s">
        <v>25</v>
      </c>
      <c r="D516" t="s">
        <v>65</v>
      </c>
      <c r="E516" t="s">
        <v>27</v>
      </c>
      <c r="F516">
        <v>825.44</v>
      </c>
      <c r="G516">
        <v>48.7</v>
      </c>
      <c r="H516">
        <v>95.47</v>
      </c>
      <c r="I516">
        <v>97.61</v>
      </c>
      <c r="J516">
        <v>78.98</v>
      </c>
      <c r="K516" t="s">
        <v>34</v>
      </c>
      <c r="L516">
        <v>9.4</v>
      </c>
      <c r="M516">
        <v>4.7</v>
      </c>
      <c r="N516" t="s">
        <v>39</v>
      </c>
      <c r="O516">
        <v>9</v>
      </c>
      <c r="P516" t="s">
        <v>30</v>
      </c>
      <c r="Q516">
        <v>62.2</v>
      </c>
    </row>
    <row r="517" spans="1:17" x14ac:dyDescent="0.35">
      <c r="A517" s="1">
        <v>45814</v>
      </c>
      <c r="B517" t="s">
        <v>51</v>
      </c>
      <c r="C517" t="s">
        <v>45</v>
      </c>
      <c r="D517" t="s">
        <v>52</v>
      </c>
      <c r="E517" t="s">
        <v>27</v>
      </c>
      <c r="F517">
        <v>234.39</v>
      </c>
      <c r="G517">
        <v>376.5</v>
      </c>
      <c r="H517">
        <v>96.74</v>
      </c>
      <c r="I517">
        <v>99.02</v>
      </c>
      <c r="J517">
        <v>81.25</v>
      </c>
      <c r="K517" t="s">
        <v>88</v>
      </c>
      <c r="L517">
        <v>8.4</v>
      </c>
      <c r="M517">
        <v>4.5</v>
      </c>
      <c r="N517" t="s">
        <v>39</v>
      </c>
      <c r="O517">
        <v>13</v>
      </c>
      <c r="P517" t="s">
        <v>23</v>
      </c>
      <c r="Q517">
        <v>63.8</v>
      </c>
    </row>
    <row r="518" spans="1:17" x14ac:dyDescent="0.35">
      <c r="A518" s="1">
        <v>45814</v>
      </c>
      <c r="B518" t="s">
        <v>101</v>
      </c>
      <c r="C518" t="s">
        <v>45</v>
      </c>
      <c r="D518" t="s">
        <v>102</v>
      </c>
      <c r="E518" t="s">
        <v>27</v>
      </c>
      <c r="F518">
        <v>243.26</v>
      </c>
      <c r="G518">
        <v>1511.4</v>
      </c>
      <c r="H518">
        <v>92.34</v>
      </c>
      <c r="I518">
        <v>99.31</v>
      </c>
      <c r="J518">
        <v>79.22</v>
      </c>
      <c r="K518" t="s">
        <v>88</v>
      </c>
      <c r="L518">
        <v>8.1</v>
      </c>
      <c r="M518">
        <v>4.0999999999999996</v>
      </c>
      <c r="N518" t="s">
        <v>39</v>
      </c>
      <c r="O518">
        <v>8</v>
      </c>
      <c r="P518" t="s">
        <v>23</v>
      </c>
      <c r="Q518">
        <v>62.6</v>
      </c>
    </row>
    <row r="519" spans="1:17" x14ac:dyDescent="0.35">
      <c r="A519" s="1">
        <v>45814</v>
      </c>
      <c r="B519" t="s">
        <v>55</v>
      </c>
      <c r="C519" t="s">
        <v>56</v>
      </c>
      <c r="D519">
        <v>4</v>
      </c>
      <c r="E519" t="s">
        <v>57</v>
      </c>
      <c r="F519">
        <v>30</v>
      </c>
      <c r="G519">
        <v>147.19999999999999</v>
      </c>
      <c r="H519">
        <v>87.09</v>
      </c>
      <c r="I519">
        <v>93.97</v>
      </c>
      <c r="J519">
        <v>76.23</v>
      </c>
      <c r="K519" t="s">
        <v>21</v>
      </c>
      <c r="L519">
        <v>6.1</v>
      </c>
      <c r="N519" t="s">
        <v>35</v>
      </c>
      <c r="O519">
        <v>4</v>
      </c>
      <c r="P519" t="s">
        <v>43</v>
      </c>
      <c r="Q519">
        <v>67.2</v>
      </c>
    </row>
    <row r="520" spans="1:17" x14ac:dyDescent="0.35">
      <c r="A520" s="1">
        <v>45814</v>
      </c>
      <c r="B520" t="s">
        <v>59</v>
      </c>
      <c r="C520" t="s">
        <v>60</v>
      </c>
      <c r="D520" t="s">
        <v>61</v>
      </c>
      <c r="E520" t="s">
        <v>62</v>
      </c>
      <c r="F520">
        <v>430.02</v>
      </c>
      <c r="G520">
        <v>182.6</v>
      </c>
      <c r="H520">
        <v>87.55</v>
      </c>
      <c r="I520">
        <v>96.67</v>
      </c>
      <c r="J520">
        <v>87.71</v>
      </c>
      <c r="K520" t="s">
        <v>34</v>
      </c>
      <c r="L520">
        <v>9</v>
      </c>
      <c r="N520" t="s">
        <v>35</v>
      </c>
      <c r="O520">
        <v>3</v>
      </c>
      <c r="P520" t="s">
        <v>23</v>
      </c>
      <c r="Q520">
        <v>76.400000000000006</v>
      </c>
    </row>
    <row r="521" spans="1:17" x14ac:dyDescent="0.35">
      <c r="A521" s="1">
        <v>45814</v>
      </c>
      <c r="B521" t="s">
        <v>82</v>
      </c>
      <c r="C521" t="s">
        <v>72</v>
      </c>
      <c r="D521" t="s">
        <v>83</v>
      </c>
      <c r="E521" t="s">
        <v>20</v>
      </c>
      <c r="F521">
        <v>50.23</v>
      </c>
      <c r="G521">
        <v>218.8</v>
      </c>
      <c r="H521">
        <v>92.2</v>
      </c>
      <c r="I521">
        <v>93.95</v>
      </c>
      <c r="J521">
        <v>76.61</v>
      </c>
      <c r="K521" t="s">
        <v>63</v>
      </c>
      <c r="L521">
        <v>7.4</v>
      </c>
      <c r="N521" t="s">
        <v>22</v>
      </c>
      <c r="O521">
        <v>10</v>
      </c>
      <c r="P521" t="s">
        <v>23</v>
      </c>
      <c r="Q521">
        <v>71.400000000000006</v>
      </c>
    </row>
    <row r="522" spans="1:17" x14ac:dyDescent="0.35">
      <c r="A522" s="1">
        <v>45814</v>
      </c>
      <c r="B522" t="s">
        <v>17</v>
      </c>
      <c r="C522" t="s">
        <v>18</v>
      </c>
      <c r="D522" t="s">
        <v>19</v>
      </c>
      <c r="E522" t="s">
        <v>20</v>
      </c>
      <c r="F522">
        <v>318.92</v>
      </c>
      <c r="G522">
        <v>237.1</v>
      </c>
      <c r="H522">
        <v>88.83</v>
      </c>
      <c r="I522">
        <v>94.96</v>
      </c>
      <c r="J522">
        <v>74.959999999999994</v>
      </c>
      <c r="K522" t="s">
        <v>21</v>
      </c>
      <c r="L522">
        <v>8.1</v>
      </c>
      <c r="N522" t="s">
        <v>35</v>
      </c>
      <c r="O522">
        <v>8</v>
      </c>
      <c r="P522" t="s">
        <v>23</v>
      </c>
      <c r="Q522">
        <v>72</v>
      </c>
    </row>
    <row r="523" spans="1:17" x14ac:dyDescent="0.35">
      <c r="A523" s="1">
        <v>45814</v>
      </c>
      <c r="B523" t="s">
        <v>55</v>
      </c>
      <c r="C523" t="s">
        <v>56</v>
      </c>
      <c r="D523">
        <v>4</v>
      </c>
      <c r="E523" t="s">
        <v>57</v>
      </c>
      <c r="F523">
        <v>30</v>
      </c>
      <c r="G523">
        <v>129</v>
      </c>
      <c r="H523">
        <v>85.43</v>
      </c>
      <c r="I523">
        <v>93.28</v>
      </c>
      <c r="J523">
        <v>77.63</v>
      </c>
      <c r="K523" t="s">
        <v>21</v>
      </c>
      <c r="L523">
        <v>7.9</v>
      </c>
      <c r="N523" t="s">
        <v>35</v>
      </c>
      <c r="O523">
        <v>2</v>
      </c>
      <c r="P523" t="s">
        <v>23</v>
      </c>
      <c r="Q523">
        <v>70.099999999999994</v>
      </c>
    </row>
    <row r="524" spans="1:17" x14ac:dyDescent="0.35">
      <c r="A524" s="1">
        <v>45814</v>
      </c>
      <c r="B524" t="s">
        <v>78</v>
      </c>
      <c r="C524" t="s">
        <v>41</v>
      </c>
      <c r="D524" t="s">
        <v>79</v>
      </c>
      <c r="E524" t="s">
        <v>27</v>
      </c>
      <c r="F524">
        <v>680.39</v>
      </c>
      <c r="G524">
        <v>60.4</v>
      </c>
      <c r="H524">
        <v>97.51</v>
      </c>
      <c r="I524">
        <v>98.48</v>
      </c>
      <c r="J524">
        <v>83.67</v>
      </c>
      <c r="K524" t="s">
        <v>47</v>
      </c>
      <c r="L524">
        <v>9.1</v>
      </c>
      <c r="M524">
        <v>2</v>
      </c>
      <c r="N524" t="s">
        <v>29</v>
      </c>
      <c r="O524">
        <v>13</v>
      </c>
      <c r="P524" t="s">
        <v>43</v>
      </c>
      <c r="Q524">
        <v>65</v>
      </c>
    </row>
    <row r="525" spans="1:17" x14ac:dyDescent="0.35">
      <c r="A525" s="1">
        <v>45814</v>
      </c>
      <c r="B525" t="s">
        <v>64</v>
      </c>
      <c r="C525" t="s">
        <v>25</v>
      </c>
      <c r="D525" t="s">
        <v>65</v>
      </c>
      <c r="E525" t="s">
        <v>27</v>
      </c>
      <c r="F525">
        <v>639.07000000000005</v>
      </c>
      <c r="G525">
        <v>68.400000000000006</v>
      </c>
      <c r="H525">
        <v>92.82</v>
      </c>
      <c r="I525">
        <v>97.24</v>
      </c>
      <c r="J525">
        <v>81.849999999999994</v>
      </c>
      <c r="K525" t="s">
        <v>28</v>
      </c>
      <c r="L525">
        <v>9.3000000000000007</v>
      </c>
      <c r="M525">
        <v>3.9</v>
      </c>
      <c r="N525" t="s">
        <v>29</v>
      </c>
      <c r="O525">
        <v>11</v>
      </c>
      <c r="P525" t="s">
        <v>30</v>
      </c>
      <c r="Q525">
        <v>62.9</v>
      </c>
    </row>
    <row r="526" spans="1:17" x14ac:dyDescent="0.35">
      <c r="A526" s="1">
        <v>45814</v>
      </c>
      <c r="B526" t="s">
        <v>86</v>
      </c>
      <c r="C526" t="s">
        <v>25</v>
      </c>
      <c r="D526" t="s">
        <v>87</v>
      </c>
      <c r="E526" t="s">
        <v>27</v>
      </c>
      <c r="F526">
        <v>822.04</v>
      </c>
      <c r="G526">
        <v>46.8</v>
      </c>
      <c r="H526">
        <v>97.12</v>
      </c>
      <c r="I526">
        <v>98.46</v>
      </c>
      <c r="J526">
        <v>78.069999999999993</v>
      </c>
      <c r="K526" t="s">
        <v>28</v>
      </c>
      <c r="L526">
        <v>9.3000000000000007</v>
      </c>
      <c r="M526">
        <v>2.7</v>
      </c>
      <c r="N526" t="s">
        <v>29</v>
      </c>
      <c r="O526">
        <v>14</v>
      </c>
      <c r="P526" t="s">
        <v>30</v>
      </c>
      <c r="Q526">
        <v>63.6</v>
      </c>
    </row>
    <row r="527" spans="1:17" x14ac:dyDescent="0.35">
      <c r="A527" s="1">
        <v>45814</v>
      </c>
      <c r="B527" t="s">
        <v>55</v>
      </c>
      <c r="C527" t="s">
        <v>56</v>
      </c>
      <c r="D527">
        <v>4</v>
      </c>
      <c r="E527" t="s">
        <v>57</v>
      </c>
      <c r="F527">
        <v>30</v>
      </c>
      <c r="G527">
        <v>129.1</v>
      </c>
      <c r="H527">
        <v>88.13</v>
      </c>
      <c r="I527">
        <v>96.57</v>
      </c>
      <c r="J527">
        <v>75.45</v>
      </c>
      <c r="K527" t="s">
        <v>63</v>
      </c>
      <c r="L527">
        <v>6.5</v>
      </c>
      <c r="N527" t="s">
        <v>35</v>
      </c>
      <c r="O527">
        <v>2</v>
      </c>
      <c r="P527" t="s">
        <v>43</v>
      </c>
      <c r="Q527">
        <v>68.099999999999994</v>
      </c>
    </row>
    <row r="528" spans="1:17" x14ac:dyDescent="0.35">
      <c r="A528" s="1">
        <v>45814</v>
      </c>
      <c r="B528" t="s">
        <v>59</v>
      </c>
      <c r="C528" t="s">
        <v>60</v>
      </c>
      <c r="D528" t="s">
        <v>61</v>
      </c>
      <c r="E528" t="s">
        <v>62</v>
      </c>
      <c r="F528">
        <v>321.63</v>
      </c>
      <c r="G528">
        <v>187.6</v>
      </c>
      <c r="H528">
        <v>91.21</v>
      </c>
      <c r="I528">
        <v>96.61</v>
      </c>
      <c r="J528">
        <v>89.45</v>
      </c>
      <c r="K528" t="s">
        <v>63</v>
      </c>
      <c r="L528">
        <v>8.1</v>
      </c>
      <c r="N528" t="s">
        <v>35</v>
      </c>
      <c r="O528">
        <v>4</v>
      </c>
      <c r="P528" t="s">
        <v>23</v>
      </c>
      <c r="Q528">
        <v>75.7</v>
      </c>
    </row>
    <row r="529" spans="1:17" x14ac:dyDescent="0.35">
      <c r="A529" s="1">
        <v>45814</v>
      </c>
      <c r="B529" t="s">
        <v>55</v>
      </c>
      <c r="C529" t="s">
        <v>56</v>
      </c>
      <c r="D529">
        <v>4</v>
      </c>
      <c r="E529" t="s">
        <v>57</v>
      </c>
      <c r="F529">
        <v>30</v>
      </c>
      <c r="G529">
        <v>126</v>
      </c>
      <c r="H529">
        <v>86.2</v>
      </c>
      <c r="I529">
        <v>94.31</v>
      </c>
      <c r="J529">
        <v>73.83</v>
      </c>
      <c r="K529" t="s">
        <v>21</v>
      </c>
      <c r="L529">
        <v>6</v>
      </c>
      <c r="N529" t="s">
        <v>35</v>
      </c>
      <c r="O529">
        <v>2</v>
      </c>
      <c r="P529" t="s">
        <v>43</v>
      </c>
      <c r="Q529">
        <v>65.900000000000006</v>
      </c>
    </row>
    <row r="530" spans="1:17" x14ac:dyDescent="0.35">
      <c r="A530" s="1">
        <v>45814</v>
      </c>
      <c r="B530" t="s">
        <v>51</v>
      </c>
      <c r="C530" t="s">
        <v>45</v>
      </c>
      <c r="D530" t="s">
        <v>52</v>
      </c>
      <c r="E530" t="s">
        <v>27</v>
      </c>
      <c r="F530">
        <v>331.77</v>
      </c>
      <c r="G530">
        <v>651.20000000000005</v>
      </c>
      <c r="H530">
        <v>92.89</v>
      </c>
      <c r="I530">
        <v>99.07</v>
      </c>
      <c r="J530">
        <v>84.68</v>
      </c>
      <c r="K530" t="s">
        <v>47</v>
      </c>
      <c r="L530">
        <v>7.8</v>
      </c>
      <c r="M530">
        <v>3.9</v>
      </c>
      <c r="N530" t="s">
        <v>29</v>
      </c>
      <c r="O530">
        <v>10</v>
      </c>
      <c r="P530" t="s">
        <v>23</v>
      </c>
      <c r="Q530">
        <v>63.2</v>
      </c>
    </row>
    <row r="531" spans="1:17" x14ac:dyDescent="0.35">
      <c r="A531" s="1">
        <v>45814</v>
      </c>
      <c r="B531" t="s">
        <v>55</v>
      </c>
      <c r="C531" t="s">
        <v>56</v>
      </c>
      <c r="D531">
        <v>4</v>
      </c>
      <c r="E531" t="s">
        <v>57</v>
      </c>
      <c r="F531">
        <v>30</v>
      </c>
      <c r="G531">
        <v>162.5</v>
      </c>
      <c r="H531">
        <v>89.91</v>
      </c>
      <c r="I531">
        <v>96.49</v>
      </c>
      <c r="J531">
        <v>77.22</v>
      </c>
      <c r="K531" t="s">
        <v>63</v>
      </c>
      <c r="L531">
        <v>7.8</v>
      </c>
      <c r="N531" t="s">
        <v>35</v>
      </c>
      <c r="O531">
        <v>2</v>
      </c>
      <c r="P531" t="s">
        <v>23</v>
      </c>
      <c r="Q531">
        <v>72.2</v>
      </c>
    </row>
    <row r="532" spans="1:17" x14ac:dyDescent="0.35">
      <c r="A532" s="1">
        <v>45814</v>
      </c>
      <c r="B532" t="s">
        <v>55</v>
      </c>
      <c r="C532" t="s">
        <v>56</v>
      </c>
      <c r="D532">
        <v>4</v>
      </c>
      <c r="E532" t="s">
        <v>57</v>
      </c>
      <c r="F532">
        <v>30</v>
      </c>
      <c r="G532">
        <v>142.69999999999999</v>
      </c>
      <c r="H532">
        <v>91.01</v>
      </c>
      <c r="I532">
        <v>93.4</v>
      </c>
      <c r="J532">
        <v>75.5</v>
      </c>
      <c r="K532" t="s">
        <v>58</v>
      </c>
      <c r="L532">
        <v>8</v>
      </c>
      <c r="N532" t="s">
        <v>35</v>
      </c>
      <c r="O532">
        <v>5</v>
      </c>
      <c r="P532" t="s">
        <v>43</v>
      </c>
      <c r="Q532">
        <v>71.400000000000006</v>
      </c>
    </row>
    <row r="533" spans="1:17" x14ac:dyDescent="0.35">
      <c r="A533" s="1">
        <v>45814</v>
      </c>
      <c r="B533" t="s">
        <v>93</v>
      </c>
      <c r="C533" t="s">
        <v>37</v>
      </c>
      <c r="D533" t="s">
        <v>94</v>
      </c>
      <c r="E533" t="s">
        <v>27</v>
      </c>
      <c r="F533">
        <v>417.04</v>
      </c>
      <c r="G533">
        <v>52.2</v>
      </c>
      <c r="H533">
        <v>94.59</v>
      </c>
      <c r="I533">
        <v>94.1</v>
      </c>
      <c r="J533">
        <v>84.72</v>
      </c>
      <c r="K533" t="s">
        <v>28</v>
      </c>
      <c r="L533">
        <v>8.9</v>
      </c>
      <c r="M533">
        <v>4.7</v>
      </c>
      <c r="N533" t="s">
        <v>39</v>
      </c>
      <c r="O533">
        <v>15</v>
      </c>
      <c r="P533" t="s">
        <v>23</v>
      </c>
      <c r="Q533">
        <v>61.6</v>
      </c>
    </row>
    <row r="534" spans="1:17" x14ac:dyDescent="0.35">
      <c r="A534" s="1">
        <v>45814</v>
      </c>
      <c r="B534" t="s">
        <v>59</v>
      </c>
      <c r="C534" t="s">
        <v>60</v>
      </c>
      <c r="D534" t="s">
        <v>61</v>
      </c>
      <c r="E534" t="s">
        <v>62</v>
      </c>
      <c r="F534">
        <v>491.2</v>
      </c>
      <c r="G534">
        <v>184.1</v>
      </c>
      <c r="H534">
        <v>86.37</v>
      </c>
      <c r="I534">
        <v>95.69</v>
      </c>
      <c r="J534">
        <v>85.14</v>
      </c>
      <c r="K534" t="s">
        <v>63</v>
      </c>
      <c r="L534">
        <v>8.1999999999999993</v>
      </c>
      <c r="N534" t="s">
        <v>35</v>
      </c>
      <c r="O534">
        <v>4</v>
      </c>
      <c r="P534" t="s">
        <v>43</v>
      </c>
      <c r="Q534">
        <v>73.8</v>
      </c>
    </row>
    <row r="535" spans="1:17" x14ac:dyDescent="0.35">
      <c r="A535" s="1">
        <v>45814</v>
      </c>
      <c r="B535" t="s">
        <v>84</v>
      </c>
      <c r="C535" t="s">
        <v>18</v>
      </c>
      <c r="D535" t="s">
        <v>85</v>
      </c>
      <c r="E535" t="s">
        <v>27</v>
      </c>
      <c r="F535">
        <v>126.79</v>
      </c>
      <c r="G535">
        <v>66.7</v>
      </c>
      <c r="H535">
        <v>94.21</v>
      </c>
      <c r="I535">
        <v>96.61</v>
      </c>
      <c r="J535">
        <v>84.9</v>
      </c>
      <c r="K535" t="s">
        <v>28</v>
      </c>
      <c r="L535">
        <v>7.7</v>
      </c>
      <c r="M535">
        <v>2.4</v>
      </c>
      <c r="N535" t="s">
        <v>39</v>
      </c>
      <c r="O535">
        <v>9</v>
      </c>
      <c r="P535" t="s">
        <v>23</v>
      </c>
      <c r="Q535">
        <v>61.8</v>
      </c>
    </row>
    <row r="536" spans="1:17" x14ac:dyDescent="0.35">
      <c r="A536" s="1">
        <v>45814</v>
      </c>
      <c r="B536" t="s">
        <v>24</v>
      </c>
      <c r="C536" t="s">
        <v>25</v>
      </c>
      <c r="D536" t="s">
        <v>26</v>
      </c>
      <c r="E536" t="s">
        <v>27</v>
      </c>
      <c r="F536">
        <v>820.93</v>
      </c>
      <c r="G536">
        <v>31.1</v>
      </c>
      <c r="H536">
        <v>94.29</v>
      </c>
      <c r="I536">
        <v>96.95</v>
      </c>
      <c r="J536">
        <v>80.83</v>
      </c>
      <c r="K536" t="s">
        <v>34</v>
      </c>
      <c r="L536">
        <v>8.9</v>
      </c>
      <c r="M536">
        <v>4.2</v>
      </c>
      <c r="N536" t="s">
        <v>39</v>
      </c>
      <c r="O536">
        <v>11</v>
      </c>
      <c r="P536" t="s">
        <v>30</v>
      </c>
      <c r="Q536">
        <v>61.3</v>
      </c>
    </row>
    <row r="537" spans="1:17" x14ac:dyDescent="0.35">
      <c r="A537" s="1">
        <v>45814</v>
      </c>
      <c r="B537" t="s">
        <v>84</v>
      </c>
      <c r="C537" t="s">
        <v>18</v>
      </c>
      <c r="D537" t="s">
        <v>85</v>
      </c>
      <c r="E537" t="s">
        <v>33</v>
      </c>
      <c r="F537">
        <v>250.65</v>
      </c>
      <c r="G537">
        <v>226.8</v>
      </c>
      <c r="H537">
        <v>92.8</v>
      </c>
      <c r="I537">
        <v>95.84</v>
      </c>
      <c r="J537">
        <v>79.75</v>
      </c>
      <c r="K537" t="s">
        <v>47</v>
      </c>
      <c r="L537">
        <v>7.8</v>
      </c>
      <c r="M537">
        <v>3.9</v>
      </c>
      <c r="N537" t="s">
        <v>35</v>
      </c>
      <c r="O537">
        <v>5</v>
      </c>
      <c r="P537" t="s">
        <v>23</v>
      </c>
      <c r="Q537">
        <v>61.8</v>
      </c>
    </row>
    <row r="538" spans="1:17" x14ac:dyDescent="0.35">
      <c r="A538" s="1">
        <v>45814</v>
      </c>
      <c r="B538" t="s">
        <v>99</v>
      </c>
      <c r="C538" t="s">
        <v>72</v>
      </c>
      <c r="D538" t="s">
        <v>100</v>
      </c>
      <c r="E538" t="s">
        <v>33</v>
      </c>
      <c r="F538">
        <v>277.74</v>
      </c>
      <c r="G538">
        <v>203.8</v>
      </c>
      <c r="H538">
        <v>95.55</v>
      </c>
      <c r="I538">
        <v>94.22</v>
      </c>
      <c r="J538">
        <v>77.680000000000007</v>
      </c>
      <c r="K538" t="s">
        <v>28</v>
      </c>
      <c r="L538">
        <v>8.1</v>
      </c>
      <c r="M538">
        <v>2.2000000000000002</v>
      </c>
      <c r="N538" t="s">
        <v>22</v>
      </c>
      <c r="O538">
        <v>5</v>
      </c>
      <c r="P538" t="s">
        <v>23</v>
      </c>
      <c r="Q538">
        <v>63.3</v>
      </c>
    </row>
    <row r="539" spans="1:17" x14ac:dyDescent="0.35">
      <c r="A539" s="1">
        <v>45814</v>
      </c>
      <c r="B539" t="s">
        <v>74</v>
      </c>
      <c r="C539" t="s">
        <v>67</v>
      </c>
      <c r="D539" t="s">
        <v>75</v>
      </c>
      <c r="E539" t="s">
        <v>27</v>
      </c>
      <c r="F539">
        <v>731.51</v>
      </c>
      <c r="G539">
        <v>46.9</v>
      </c>
      <c r="H539">
        <v>92.06</v>
      </c>
      <c r="I539">
        <v>94.82</v>
      </c>
      <c r="J539">
        <v>84.06</v>
      </c>
      <c r="K539" t="s">
        <v>28</v>
      </c>
      <c r="L539">
        <v>9.1</v>
      </c>
      <c r="M539">
        <v>3</v>
      </c>
      <c r="N539" t="s">
        <v>39</v>
      </c>
      <c r="O539">
        <v>12</v>
      </c>
      <c r="P539" t="s">
        <v>23</v>
      </c>
      <c r="Q539">
        <v>62.6</v>
      </c>
    </row>
    <row r="540" spans="1:17" x14ac:dyDescent="0.35">
      <c r="A540" s="1">
        <v>45814</v>
      </c>
      <c r="B540" t="s">
        <v>71</v>
      </c>
      <c r="C540" t="s">
        <v>72</v>
      </c>
      <c r="D540" t="s">
        <v>73</v>
      </c>
      <c r="E540" t="s">
        <v>27</v>
      </c>
      <c r="F540">
        <v>117.75</v>
      </c>
      <c r="G540">
        <v>42.1</v>
      </c>
      <c r="H540">
        <v>92.89</v>
      </c>
      <c r="I540">
        <v>95.46</v>
      </c>
      <c r="J540">
        <v>81.17</v>
      </c>
      <c r="K540" t="s">
        <v>28</v>
      </c>
      <c r="L540">
        <v>6.6</v>
      </c>
      <c r="M540">
        <v>2.9</v>
      </c>
      <c r="N540" t="s">
        <v>39</v>
      </c>
      <c r="O540">
        <v>8</v>
      </c>
      <c r="P540" t="s">
        <v>43</v>
      </c>
      <c r="Q540">
        <v>58.2</v>
      </c>
    </row>
    <row r="541" spans="1:17" x14ac:dyDescent="0.35">
      <c r="A541" s="1">
        <v>45814</v>
      </c>
      <c r="B541" t="s">
        <v>95</v>
      </c>
      <c r="C541" t="s">
        <v>49</v>
      </c>
      <c r="D541" t="s">
        <v>96</v>
      </c>
      <c r="E541" t="s">
        <v>27</v>
      </c>
      <c r="F541">
        <v>378.73</v>
      </c>
      <c r="G541">
        <v>46.6</v>
      </c>
      <c r="H541">
        <v>94.05</v>
      </c>
      <c r="I541">
        <v>94.49</v>
      </c>
      <c r="J541">
        <v>81.89</v>
      </c>
      <c r="K541" t="s">
        <v>47</v>
      </c>
      <c r="L541">
        <v>7.6</v>
      </c>
      <c r="M541">
        <v>4.9000000000000004</v>
      </c>
      <c r="N541" t="s">
        <v>29</v>
      </c>
      <c r="O541">
        <v>15</v>
      </c>
      <c r="P541" t="s">
        <v>23</v>
      </c>
      <c r="Q541">
        <v>58.7</v>
      </c>
    </row>
    <row r="542" spans="1:17" x14ac:dyDescent="0.35">
      <c r="A542" s="1">
        <v>45814</v>
      </c>
      <c r="B542" t="s">
        <v>78</v>
      </c>
      <c r="C542" t="s">
        <v>41</v>
      </c>
      <c r="D542" t="s">
        <v>79</v>
      </c>
      <c r="E542" t="s">
        <v>27</v>
      </c>
      <c r="F542">
        <v>527.48</v>
      </c>
      <c r="G542">
        <v>38.1</v>
      </c>
      <c r="H542">
        <v>96.68</v>
      </c>
      <c r="I542">
        <v>96.31</v>
      </c>
      <c r="J542">
        <v>78.19</v>
      </c>
      <c r="K542" t="s">
        <v>47</v>
      </c>
      <c r="L542">
        <v>9.1</v>
      </c>
      <c r="M542">
        <v>2.2000000000000002</v>
      </c>
      <c r="N542" t="s">
        <v>39</v>
      </c>
      <c r="O542">
        <v>13</v>
      </c>
      <c r="P542" t="s">
        <v>43</v>
      </c>
      <c r="Q542">
        <v>63</v>
      </c>
    </row>
    <row r="543" spans="1:17" x14ac:dyDescent="0.35">
      <c r="A543" s="1">
        <v>45814</v>
      </c>
      <c r="B543" t="s">
        <v>82</v>
      </c>
      <c r="C543" t="s">
        <v>72</v>
      </c>
      <c r="D543" t="s">
        <v>83</v>
      </c>
      <c r="E543" t="s">
        <v>20</v>
      </c>
      <c r="F543">
        <v>102.44</v>
      </c>
      <c r="G543">
        <v>166</v>
      </c>
      <c r="H543">
        <v>94.99</v>
      </c>
      <c r="I543">
        <v>96.76</v>
      </c>
      <c r="J543">
        <v>73.819999999999993</v>
      </c>
      <c r="K543" t="s">
        <v>58</v>
      </c>
      <c r="L543">
        <v>7.9</v>
      </c>
      <c r="N543" t="s">
        <v>22</v>
      </c>
      <c r="O543">
        <v>6</v>
      </c>
      <c r="P543" t="s">
        <v>23</v>
      </c>
      <c r="Q543">
        <v>72.900000000000006</v>
      </c>
    </row>
    <row r="544" spans="1:17" x14ac:dyDescent="0.35">
      <c r="A544" s="1">
        <v>45814</v>
      </c>
      <c r="B544" t="s">
        <v>55</v>
      </c>
      <c r="C544" t="s">
        <v>56</v>
      </c>
      <c r="D544">
        <v>4</v>
      </c>
      <c r="E544" t="s">
        <v>57</v>
      </c>
      <c r="F544">
        <v>30</v>
      </c>
      <c r="G544">
        <v>120.4</v>
      </c>
      <c r="H544">
        <v>92</v>
      </c>
      <c r="I544">
        <v>96.87</v>
      </c>
      <c r="J544">
        <v>78.39</v>
      </c>
      <c r="K544" t="s">
        <v>21</v>
      </c>
      <c r="L544">
        <v>7.3</v>
      </c>
      <c r="N544" t="s">
        <v>35</v>
      </c>
      <c r="O544">
        <v>4</v>
      </c>
      <c r="P544" t="s">
        <v>23</v>
      </c>
      <c r="Q544">
        <v>70.900000000000006</v>
      </c>
    </row>
    <row r="545" spans="1:17" x14ac:dyDescent="0.35">
      <c r="A545" s="1">
        <v>45814</v>
      </c>
      <c r="B545" t="s">
        <v>93</v>
      </c>
      <c r="C545" t="s">
        <v>37</v>
      </c>
      <c r="D545" t="s">
        <v>94</v>
      </c>
      <c r="E545" t="s">
        <v>27</v>
      </c>
      <c r="F545">
        <v>408.51</v>
      </c>
      <c r="G545">
        <v>61.4</v>
      </c>
      <c r="H545">
        <v>95.01</v>
      </c>
      <c r="I545">
        <v>93.24</v>
      </c>
      <c r="J545">
        <v>82.23</v>
      </c>
      <c r="K545" t="s">
        <v>28</v>
      </c>
      <c r="L545">
        <v>8.6999999999999993</v>
      </c>
      <c r="M545">
        <v>2.4</v>
      </c>
      <c r="N545" t="s">
        <v>29</v>
      </c>
      <c r="O545">
        <v>9</v>
      </c>
      <c r="P545" t="s">
        <v>23</v>
      </c>
      <c r="Q545">
        <v>62.5</v>
      </c>
    </row>
    <row r="546" spans="1:17" x14ac:dyDescent="0.35">
      <c r="A546" s="1">
        <v>45814</v>
      </c>
      <c r="B546" t="s">
        <v>51</v>
      </c>
      <c r="C546" t="s">
        <v>45</v>
      </c>
      <c r="D546" t="s">
        <v>52</v>
      </c>
      <c r="E546" t="s">
        <v>27</v>
      </c>
      <c r="F546">
        <v>892.57</v>
      </c>
      <c r="G546">
        <v>417.9</v>
      </c>
      <c r="H546">
        <v>93.8</v>
      </c>
      <c r="I546">
        <v>98.16</v>
      </c>
      <c r="J546">
        <v>77.39</v>
      </c>
      <c r="K546" t="s">
        <v>47</v>
      </c>
      <c r="L546">
        <v>9.1999999999999993</v>
      </c>
      <c r="M546">
        <v>4.8</v>
      </c>
      <c r="N546" t="s">
        <v>29</v>
      </c>
      <c r="O546">
        <v>15</v>
      </c>
      <c r="P546" t="s">
        <v>23</v>
      </c>
      <c r="Q546">
        <v>63.7</v>
      </c>
    </row>
    <row r="547" spans="1:17" x14ac:dyDescent="0.35">
      <c r="A547" s="1">
        <v>45814</v>
      </c>
      <c r="B547" t="s">
        <v>40</v>
      </c>
      <c r="C547" t="s">
        <v>41</v>
      </c>
      <c r="D547" t="s">
        <v>42</v>
      </c>
      <c r="E547" t="s">
        <v>27</v>
      </c>
      <c r="F547">
        <v>372.89</v>
      </c>
      <c r="G547">
        <v>35.700000000000003</v>
      </c>
      <c r="H547">
        <v>96.23</v>
      </c>
      <c r="I547">
        <v>97.36</v>
      </c>
      <c r="J547">
        <v>77.47</v>
      </c>
      <c r="K547" t="s">
        <v>47</v>
      </c>
      <c r="L547">
        <v>8.5</v>
      </c>
      <c r="M547">
        <v>3.5</v>
      </c>
      <c r="N547" t="s">
        <v>39</v>
      </c>
      <c r="O547">
        <v>10</v>
      </c>
      <c r="P547" t="s">
        <v>43</v>
      </c>
      <c r="Q547">
        <v>61.1</v>
      </c>
    </row>
    <row r="548" spans="1:17" x14ac:dyDescent="0.35">
      <c r="A548" s="1">
        <v>45814</v>
      </c>
      <c r="B548" t="s">
        <v>69</v>
      </c>
      <c r="C548" t="s">
        <v>18</v>
      </c>
      <c r="D548" t="s">
        <v>70</v>
      </c>
      <c r="E548" t="s">
        <v>20</v>
      </c>
      <c r="F548">
        <v>187.58</v>
      </c>
      <c r="G548">
        <v>154.4</v>
      </c>
      <c r="H548">
        <v>92.28</v>
      </c>
      <c r="I548">
        <v>95.84</v>
      </c>
      <c r="J548">
        <v>70.39</v>
      </c>
      <c r="K548" t="s">
        <v>21</v>
      </c>
      <c r="L548">
        <v>6.5</v>
      </c>
      <c r="N548" t="s">
        <v>35</v>
      </c>
      <c r="O548">
        <v>9</v>
      </c>
      <c r="P548" t="s">
        <v>23</v>
      </c>
      <c r="Q548">
        <v>68.400000000000006</v>
      </c>
    </row>
    <row r="549" spans="1:17" x14ac:dyDescent="0.35">
      <c r="A549" s="1">
        <v>45814</v>
      </c>
      <c r="B549" t="s">
        <v>51</v>
      </c>
      <c r="C549" t="s">
        <v>45</v>
      </c>
      <c r="D549" t="s">
        <v>52</v>
      </c>
      <c r="E549" t="s">
        <v>33</v>
      </c>
      <c r="F549">
        <v>964.83</v>
      </c>
      <c r="G549">
        <v>639.9</v>
      </c>
      <c r="H549">
        <v>96.04</v>
      </c>
      <c r="I549">
        <v>99.1</v>
      </c>
      <c r="J549">
        <v>77.959999999999994</v>
      </c>
      <c r="K549" t="s">
        <v>88</v>
      </c>
      <c r="L549">
        <v>8.9</v>
      </c>
      <c r="M549">
        <v>2.5</v>
      </c>
      <c r="N549" t="s">
        <v>22</v>
      </c>
      <c r="O549">
        <v>10</v>
      </c>
      <c r="P549" t="s">
        <v>23</v>
      </c>
      <c r="Q549">
        <v>65.400000000000006</v>
      </c>
    </row>
    <row r="550" spans="1:17" x14ac:dyDescent="0.35">
      <c r="A550" s="1">
        <v>45814</v>
      </c>
      <c r="B550" t="s">
        <v>59</v>
      </c>
      <c r="C550" t="s">
        <v>60</v>
      </c>
      <c r="D550" t="s">
        <v>61</v>
      </c>
      <c r="E550" t="s">
        <v>62</v>
      </c>
      <c r="F550">
        <v>359.36</v>
      </c>
      <c r="G550">
        <v>184.5</v>
      </c>
      <c r="H550">
        <v>85.25</v>
      </c>
      <c r="I550">
        <v>93.11</v>
      </c>
      <c r="J550">
        <v>88.74</v>
      </c>
      <c r="K550" t="s">
        <v>34</v>
      </c>
      <c r="L550">
        <v>8</v>
      </c>
      <c r="N550" t="s">
        <v>35</v>
      </c>
      <c r="O550">
        <v>5</v>
      </c>
      <c r="P550" t="s">
        <v>23</v>
      </c>
      <c r="Q550">
        <v>73.400000000000006</v>
      </c>
    </row>
    <row r="551" spans="1:17" x14ac:dyDescent="0.35">
      <c r="A551" s="1">
        <v>45814</v>
      </c>
      <c r="B551" t="s">
        <v>55</v>
      </c>
      <c r="C551" t="s">
        <v>56</v>
      </c>
      <c r="D551">
        <v>4</v>
      </c>
      <c r="E551" t="s">
        <v>57</v>
      </c>
      <c r="F551">
        <v>30</v>
      </c>
      <c r="G551">
        <v>131.30000000000001</v>
      </c>
      <c r="H551">
        <v>91.96</v>
      </c>
      <c r="I551">
        <v>94.5</v>
      </c>
      <c r="J551">
        <v>70.28</v>
      </c>
      <c r="K551" t="s">
        <v>58</v>
      </c>
      <c r="L551">
        <v>7.7</v>
      </c>
      <c r="N551" t="s">
        <v>35</v>
      </c>
      <c r="O551">
        <v>4</v>
      </c>
      <c r="P551" t="s">
        <v>43</v>
      </c>
      <c r="Q551">
        <v>69.900000000000006</v>
      </c>
    </row>
    <row r="552" spans="1:17" x14ac:dyDescent="0.35">
      <c r="A552" s="1">
        <v>45814</v>
      </c>
      <c r="B552" t="s">
        <v>78</v>
      </c>
      <c r="C552" t="s">
        <v>41</v>
      </c>
      <c r="D552" t="s">
        <v>79</v>
      </c>
      <c r="E552" t="s">
        <v>27</v>
      </c>
      <c r="F552">
        <v>615.73</v>
      </c>
      <c r="G552">
        <v>18.899999999999999</v>
      </c>
      <c r="H552">
        <v>93.01</v>
      </c>
      <c r="I552">
        <v>97.9</v>
      </c>
      <c r="J552">
        <v>79.510000000000005</v>
      </c>
      <c r="K552" t="s">
        <v>47</v>
      </c>
      <c r="L552">
        <v>9.4</v>
      </c>
      <c r="M552">
        <v>4</v>
      </c>
      <c r="N552" t="s">
        <v>39</v>
      </c>
      <c r="O552">
        <v>13</v>
      </c>
      <c r="P552" t="s">
        <v>43</v>
      </c>
      <c r="Q552">
        <v>61.8</v>
      </c>
    </row>
    <row r="553" spans="1:17" x14ac:dyDescent="0.35">
      <c r="A553" s="1">
        <v>45814</v>
      </c>
      <c r="B553" t="s">
        <v>48</v>
      </c>
      <c r="C553" t="s">
        <v>49</v>
      </c>
      <c r="D553" t="s">
        <v>50</v>
      </c>
      <c r="E553" t="s">
        <v>27</v>
      </c>
      <c r="F553">
        <v>421.16</v>
      </c>
      <c r="G553">
        <v>39.700000000000003</v>
      </c>
      <c r="H553">
        <v>93.41</v>
      </c>
      <c r="I553">
        <v>93.87</v>
      </c>
      <c r="J553">
        <v>83.64</v>
      </c>
      <c r="K553" t="s">
        <v>47</v>
      </c>
      <c r="L553">
        <v>8.1999999999999993</v>
      </c>
      <c r="M553">
        <v>5</v>
      </c>
      <c r="N553" t="s">
        <v>29</v>
      </c>
      <c r="O553">
        <v>13</v>
      </c>
      <c r="P553" t="s">
        <v>23</v>
      </c>
      <c r="Q553">
        <v>59.6</v>
      </c>
    </row>
    <row r="554" spans="1:17" x14ac:dyDescent="0.35">
      <c r="A554" s="1">
        <v>45814</v>
      </c>
      <c r="B554" t="s">
        <v>44</v>
      </c>
      <c r="C554" t="s">
        <v>45</v>
      </c>
      <c r="D554" t="s">
        <v>46</v>
      </c>
      <c r="E554" t="s">
        <v>27</v>
      </c>
      <c r="F554">
        <v>462.11</v>
      </c>
      <c r="G554">
        <v>503.5</v>
      </c>
      <c r="H554">
        <v>92.55</v>
      </c>
      <c r="I554">
        <v>99.4</v>
      </c>
      <c r="J554">
        <v>77.81</v>
      </c>
      <c r="K554" t="s">
        <v>47</v>
      </c>
      <c r="L554">
        <v>8.3000000000000007</v>
      </c>
      <c r="M554">
        <v>4.4000000000000004</v>
      </c>
      <c r="N554" t="s">
        <v>39</v>
      </c>
      <c r="O554">
        <v>10</v>
      </c>
      <c r="P554" t="s">
        <v>23</v>
      </c>
      <c r="Q554">
        <v>62.5</v>
      </c>
    </row>
    <row r="555" spans="1:17" x14ac:dyDescent="0.35">
      <c r="A555" s="1">
        <v>45814</v>
      </c>
      <c r="B555" t="s">
        <v>99</v>
      </c>
      <c r="C555" t="s">
        <v>72</v>
      </c>
      <c r="D555" t="s">
        <v>100</v>
      </c>
      <c r="E555" t="s">
        <v>27</v>
      </c>
      <c r="F555">
        <v>164.14</v>
      </c>
      <c r="G555">
        <v>42.7</v>
      </c>
      <c r="H555">
        <v>96.24</v>
      </c>
      <c r="I555">
        <v>95.68</v>
      </c>
      <c r="J555">
        <v>76.38</v>
      </c>
      <c r="K555" t="s">
        <v>34</v>
      </c>
      <c r="L555">
        <v>6.8</v>
      </c>
      <c r="M555">
        <v>2.1</v>
      </c>
      <c r="N555" t="s">
        <v>29</v>
      </c>
      <c r="O555">
        <v>10</v>
      </c>
      <c r="P555" t="s">
        <v>23</v>
      </c>
      <c r="Q555">
        <v>58.8</v>
      </c>
    </row>
    <row r="556" spans="1:17" x14ac:dyDescent="0.35">
      <c r="A556" s="1">
        <v>45814</v>
      </c>
      <c r="B556" t="s">
        <v>101</v>
      </c>
      <c r="C556" t="s">
        <v>45</v>
      </c>
      <c r="D556" t="s">
        <v>102</v>
      </c>
      <c r="E556" t="s">
        <v>27</v>
      </c>
      <c r="F556">
        <v>930.61</v>
      </c>
      <c r="G556">
        <v>1599.9</v>
      </c>
      <c r="H556">
        <v>97.32</v>
      </c>
      <c r="I556">
        <v>99.33</v>
      </c>
      <c r="J556">
        <v>77.8</v>
      </c>
      <c r="K556" t="s">
        <v>88</v>
      </c>
      <c r="L556">
        <v>8.1</v>
      </c>
      <c r="M556">
        <v>3.3</v>
      </c>
      <c r="N556" t="s">
        <v>39</v>
      </c>
      <c r="O556">
        <v>10</v>
      </c>
      <c r="P556" t="s">
        <v>23</v>
      </c>
      <c r="Q556">
        <v>63.7</v>
      </c>
    </row>
    <row r="557" spans="1:17" x14ac:dyDescent="0.35">
      <c r="A557" s="1">
        <v>45814</v>
      </c>
      <c r="B557" t="s">
        <v>53</v>
      </c>
      <c r="C557" t="s">
        <v>41</v>
      </c>
      <c r="D557" t="s">
        <v>54</v>
      </c>
      <c r="E557" t="s">
        <v>27</v>
      </c>
      <c r="F557">
        <v>407.74</v>
      </c>
      <c r="G557">
        <v>19.2</v>
      </c>
      <c r="H557">
        <v>96.62</v>
      </c>
      <c r="I557">
        <v>98.25</v>
      </c>
      <c r="J557">
        <v>78.02</v>
      </c>
      <c r="K557" t="s">
        <v>34</v>
      </c>
      <c r="L557">
        <v>8.6999999999999993</v>
      </c>
      <c r="M557">
        <v>4.8</v>
      </c>
      <c r="N557" t="s">
        <v>39</v>
      </c>
      <c r="O557">
        <v>11</v>
      </c>
      <c r="P557" t="s">
        <v>43</v>
      </c>
      <c r="Q557">
        <v>60.5</v>
      </c>
    </row>
    <row r="558" spans="1:17" x14ac:dyDescent="0.35">
      <c r="A558" s="1">
        <v>45814</v>
      </c>
      <c r="B558" t="s">
        <v>86</v>
      </c>
      <c r="C558" t="s">
        <v>25</v>
      </c>
      <c r="D558" t="s">
        <v>87</v>
      </c>
      <c r="E558" t="s">
        <v>27</v>
      </c>
      <c r="F558">
        <v>537.38</v>
      </c>
      <c r="G558">
        <v>53.6</v>
      </c>
      <c r="H558">
        <v>93.87</v>
      </c>
      <c r="I558">
        <v>97.44</v>
      </c>
      <c r="J558">
        <v>78.12</v>
      </c>
      <c r="K558" t="s">
        <v>47</v>
      </c>
      <c r="L558">
        <v>8.5</v>
      </c>
      <c r="M558">
        <v>2.2000000000000002</v>
      </c>
      <c r="N558" t="s">
        <v>29</v>
      </c>
      <c r="O558">
        <v>13</v>
      </c>
      <c r="P558" t="s">
        <v>30</v>
      </c>
      <c r="Q558">
        <v>62</v>
      </c>
    </row>
    <row r="559" spans="1:17" x14ac:dyDescent="0.35">
      <c r="A559" s="1">
        <v>45814</v>
      </c>
      <c r="B559" t="s">
        <v>95</v>
      </c>
      <c r="C559" t="s">
        <v>49</v>
      </c>
      <c r="D559" t="s">
        <v>96</v>
      </c>
      <c r="E559" t="s">
        <v>33</v>
      </c>
      <c r="F559">
        <v>363.46</v>
      </c>
      <c r="G559">
        <v>200.3</v>
      </c>
      <c r="H559">
        <v>94.45</v>
      </c>
      <c r="I559">
        <v>95.58</v>
      </c>
      <c r="J559">
        <v>72.14</v>
      </c>
      <c r="K559" t="s">
        <v>47</v>
      </c>
      <c r="L559">
        <v>7.7</v>
      </c>
      <c r="M559">
        <v>3.4</v>
      </c>
      <c r="N559" t="s">
        <v>35</v>
      </c>
      <c r="O559">
        <v>9</v>
      </c>
      <c r="P559" t="s">
        <v>23</v>
      </c>
      <c r="Q559">
        <v>60.9</v>
      </c>
    </row>
    <row r="560" spans="1:17" x14ac:dyDescent="0.35">
      <c r="A560" s="1">
        <v>45814</v>
      </c>
      <c r="B560" t="s">
        <v>69</v>
      </c>
      <c r="C560" t="s">
        <v>18</v>
      </c>
      <c r="D560" t="s">
        <v>70</v>
      </c>
      <c r="E560" t="s">
        <v>20</v>
      </c>
      <c r="F560">
        <v>280.26</v>
      </c>
      <c r="G560">
        <v>139.4</v>
      </c>
      <c r="H560">
        <v>88.46</v>
      </c>
      <c r="I560">
        <v>96.65</v>
      </c>
      <c r="J560">
        <v>75.67</v>
      </c>
      <c r="K560" t="s">
        <v>21</v>
      </c>
      <c r="L560">
        <v>7.5</v>
      </c>
      <c r="N560" t="s">
        <v>35</v>
      </c>
      <c r="O560">
        <v>8</v>
      </c>
      <c r="P560" t="s">
        <v>23</v>
      </c>
      <c r="Q560">
        <v>70.5</v>
      </c>
    </row>
    <row r="561" spans="1:17" x14ac:dyDescent="0.35">
      <c r="A561" s="1">
        <v>45814</v>
      </c>
      <c r="B561" t="s">
        <v>86</v>
      </c>
      <c r="C561" t="s">
        <v>25</v>
      </c>
      <c r="D561" t="s">
        <v>87</v>
      </c>
      <c r="E561" t="s">
        <v>27</v>
      </c>
      <c r="F561">
        <v>479.8</v>
      </c>
      <c r="G561">
        <v>68.599999999999994</v>
      </c>
      <c r="H561">
        <v>95.68</v>
      </c>
      <c r="I561">
        <v>97.2</v>
      </c>
      <c r="J561">
        <v>82.58</v>
      </c>
      <c r="K561" t="s">
        <v>28</v>
      </c>
      <c r="L561">
        <v>9</v>
      </c>
      <c r="M561">
        <v>4.5</v>
      </c>
      <c r="N561" t="s">
        <v>29</v>
      </c>
      <c r="O561">
        <v>15</v>
      </c>
      <c r="P561" t="s">
        <v>30</v>
      </c>
      <c r="Q561">
        <v>62.6</v>
      </c>
    </row>
    <row r="562" spans="1:17" x14ac:dyDescent="0.35">
      <c r="A562" s="1">
        <v>45814</v>
      </c>
      <c r="B562" t="s">
        <v>53</v>
      </c>
      <c r="C562" t="s">
        <v>41</v>
      </c>
      <c r="D562" t="s">
        <v>54</v>
      </c>
      <c r="E562" t="s">
        <v>27</v>
      </c>
      <c r="F562">
        <v>492.87</v>
      </c>
      <c r="G562">
        <v>47.8</v>
      </c>
      <c r="H562">
        <v>92.84</v>
      </c>
      <c r="I562">
        <v>96.55</v>
      </c>
      <c r="J562">
        <v>75.2</v>
      </c>
      <c r="K562" t="s">
        <v>34</v>
      </c>
      <c r="L562">
        <v>8.3000000000000007</v>
      </c>
      <c r="M562">
        <v>4</v>
      </c>
      <c r="N562" t="s">
        <v>39</v>
      </c>
      <c r="O562">
        <v>10</v>
      </c>
      <c r="P562" t="s">
        <v>43</v>
      </c>
      <c r="Q562">
        <v>59.5</v>
      </c>
    </row>
    <row r="563" spans="1:17" x14ac:dyDescent="0.35">
      <c r="A563" s="1">
        <v>45814</v>
      </c>
      <c r="B563" t="s">
        <v>40</v>
      </c>
      <c r="C563" t="s">
        <v>41</v>
      </c>
      <c r="D563" t="s">
        <v>42</v>
      </c>
      <c r="E563" t="s">
        <v>27</v>
      </c>
      <c r="F563">
        <v>497.98</v>
      </c>
      <c r="G563">
        <v>65.400000000000006</v>
      </c>
      <c r="H563">
        <v>94.43</v>
      </c>
      <c r="I563">
        <v>96.66</v>
      </c>
      <c r="J563">
        <v>82.16</v>
      </c>
      <c r="K563" t="s">
        <v>28</v>
      </c>
      <c r="L563">
        <v>8.5</v>
      </c>
      <c r="M563">
        <v>2</v>
      </c>
      <c r="N563" t="s">
        <v>29</v>
      </c>
      <c r="O563">
        <v>12</v>
      </c>
      <c r="P563" t="s">
        <v>43</v>
      </c>
      <c r="Q563">
        <v>63</v>
      </c>
    </row>
    <row r="564" spans="1:17" x14ac:dyDescent="0.35">
      <c r="A564" s="1">
        <v>45814</v>
      </c>
      <c r="B564" t="s">
        <v>99</v>
      </c>
      <c r="C564" t="s">
        <v>72</v>
      </c>
      <c r="D564" t="s">
        <v>100</v>
      </c>
      <c r="E564" t="s">
        <v>27</v>
      </c>
      <c r="F564">
        <v>191.3</v>
      </c>
      <c r="G564">
        <v>57.3</v>
      </c>
      <c r="H564">
        <v>93.91</v>
      </c>
      <c r="I564">
        <v>94.43</v>
      </c>
      <c r="J564">
        <v>83.11</v>
      </c>
      <c r="K564" t="s">
        <v>34</v>
      </c>
      <c r="L564">
        <v>7</v>
      </c>
      <c r="M564">
        <v>4.2</v>
      </c>
      <c r="N564" t="s">
        <v>29</v>
      </c>
      <c r="O564">
        <v>11</v>
      </c>
      <c r="P564" t="s">
        <v>43</v>
      </c>
      <c r="Q564">
        <v>58.6</v>
      </c>
    </row>
    <row r="565" spans="1:17" x14ac:dyDescent="0.35">
      <c r="A565" s="1">
        <v>45814</v>
      </c>
      <c r="B565" t="s">
        <v>101</v>
      </c>
      <c r="C565" t="s">
        <v>45</v>
      </c>
      <c r="D565" t="s">
        <v>102</v>
      </c>
      <c r="E565" t="s">
        <v>33</v>
      </c>
      <c r="F565">
        <v>426.94</v>
      </c>
      <c r="G565">
        <v>1488.7</v>
      </c>
      <c r="H565">
        <v>94</v>
      </c>
      <c r="I565">
        <v>98.16</v>
      </c>
      <c r="J565">
        <v>78.180000000000007</v>
      </c>
      <c r="K565" t="s">
        <v>88</v>
      </c>
      <c r="L565">
        <v>9.3000000000000007</v>
      </c>
      <c r="M565">
        <v>4.2</v>
      </c>
      <c r="N565" t="s">
        <v>22</v>
      </c>
      <c r="O565">
        <v>8</v>
      </c>
      <c r="P565" t="s">
        <v>23</v>
      </c>
      <c r="Q565">
        <v>64.400000000000006</v>
      </c>
    </row>
    <row r="566" spans="1:17" x14ac:dyDescent="0.35">
      <c r="A566" s="1">
        <v>45814</v>
      </c>
      <c r="B566" t="s">
        <v>51</v>
      </c>
      <c r="C566" t="s">
        <v>45</v>
      </c>
      <c r="D566" t="s">
        <v>52</v>
      </c>
      <c r="E566" t="s">
        <v>33</v>
      </c>
      <c r="F566">
        <v>756.68</v>
      </c>
      <c r="G566">
        <v>322.2</v>
      </c>
      <c r="H566">
        <v>94.07</v>
      </c>
      <c r="I566">
        <v>99.44</v>
      </c>
      <c r="J566">
        <v>71.09</v>
      </c>
      <c r="K566" t="s">
        <v>88</v>
      </c>
      <c r="L566">
        <v>8.6999999999999993</v>
      </c>
      <c r="M566">
        <v>2.2000000000000002</v>
      </c>
      <c r="N566" t="s">
        <v>22</v>
      </c>
      <c r="O566">
        <v>6</v>
      </c>
      <c r="P566" t="s">
        <v>23</v>
      </c>
      <c r="Q566">
        <v>63.8</v>
      </c>
    </row>
    <row r="567" spans="1:17" x14ac:dyDescent="0.35">
      <c r="A567" s="1">
        <v>45814</v>
      </c>
      <c r="B567" t="s">
        <v>76</v>
      </c>
      <c r="C567" t="s">
        <v>45</v>
      </c>
      <c r="D567" t="s">
        <v>77</v>
      </c>
      <c r="E567" t="s">
        <v>27</v>
      </c>
      <c r="F567">
        <v>465.57</v>
      </c>
      <c r="G567">
        <v>307.10000000000002</v>
      </c>
      <c r="H567">
        <v>92.17</v>
      </c>
      <c r="I567">
        <v>99.44</v>
      </c>
      <c r="J567">
        <v>82.39</v>
      </c>
      <c r="K567" t="s">
        <v>47</v>
      </c>
      <c r="L567">
        <v>9.3000000000000007</v>
      </c>
      <c r="M567">
        <v>1.9</v>
      </c>
      <c r="N567" t="s">
        <v>29</v>
      </c>
      <c r="O567">
        <v>12</v>
      </c>
      <c r="P567" t="s">
        <v>23</v>
      </c>
      <c r="Q567">
        <v>66.599999999999994</v>
      </c>
    </row>
    <row r="568" spans="1:17" x14ac:dyDescent="0.35">
      <c r="A568" s="1">
        <v>45815</v>
      </c>
      <c r="B568" t="s">
        <v>40</v>
      </c>
      <c r="C568" t="s">
        <v>41</v>
      </c>
      <c r="D568" t="s">
        <v>42</v>
      </c>
      <c r="E568" t="s">
        <v>27</v>
      </c>
      <c r="F568">
        <v>438.6</v>
      </c>
      <c r="G568">
        <v>58.1</v>
      </c>
      <c r="H568">
        <v>97.6</v>
      </c>
      <c r="I568">
        <v>97.48</v>
      </c>
      <c r="J568">
        <v>78.97</v>
      </c>
      <c r="K568" t="s">
        <v>47</v>
      </c>
      <c r="L568">
        <v>9.5</v>
      </c>
      <c r="M568">
        <v>2.2999999999999998</v>
      </c>
      <c r="N568" t="s">
        <v>39</v>
      </c>
      <c r="O568">
        <v>10</v>
      </c>
      <c r="P568" t="s">
        <v>43</v>
      </c>
      <c r="Q568">
        <v>64.5</v>
      </c>
    </row>
    <row r="569" spans="1:17" x14ac:dyDescent="0.35">
      <c r="A569" s="1">
        <v>45815</v>
      </c>
      <c r="B569" t="s">
        <v>95</v>
      </c>
      <c r="C569" t="s">
        <v>49</v>
      </c>
      <c r="D569" t="s">
        <v>96</v>
      </c>
      <c r="E569" t="s">
        <v>33</v>
      </c>
      <c r="F569">
        <v>380.16</v>
      </c>
      <c r="G569">
        <v>219.4</v>
      </c>
      <c r="H569">
        <v>97.7</v>
      </c>
      <c r="I569">
        <v>95.12</v>
      </c>
      <c r="J569">
        <v>73.98</v>
      </c>
      <c r="K569" t="s">
        <v>47</v>
      </c>
      <c r="L569">
        <v>7.3</v>
      </c>
      <c r="M569">
        <v>2.6</v>
      </c>
      <c r="N569" t="s">
        <v>22</v>
      </c>
      <c r="O569">
        <v>7</v>
      </c>
      <c r="P569" t="s">
        <v>43</v>
      </c>
      <c r="Q569">
        <v>61.6</v>
      </c>
    </row>
    <row r="570" spans="1:17" x14ac:dyDescent="0.35">
      <c r="A570" s="1">
        <v>45815</v>
      </c>
      <c r="B570" t="s">
        <v>69</v>
      </c>
      <c r="C570" t="s">
        <v>18</v>
      </c>
      <c r="D570" t="s">
        <v>70</v>
      </c>
      <c r="E570" t="s">
        <v>20</v>
      </c>
      <c r="F570">
        <v>102.32</v>
      </c>
      <c r="G570">
        <v>145.5</v>
      </c>
      <c r="H570">
        <v>92.4</v>
      </c>
      <c r="I570">
        <v>95.37</v>
      </c>
      <c r="J570">
        <v>70.28</v>
      </c>
      <c r="K570" t="s">
        <v>21</v>
      </c>
      <c r="L570">
        <v>7.1</v>
      </c>
      <c r="N570" t="s">
        <v>22</v>
      </c>
      <c r="O570">
        <v>9</v>
      </c>
      <c r="P570" t="s">
        <v>23</v>
      </c>
      <c r="Q570">
        <v>69.3</v>
      </c>
    </row>
    <row r="571" spans="1:17" x14ac:dyDescent="0.35">
      <c r="A571" s="1">
        <v>45815</v>
      </c>
      <c r="B571" t="s">
        <v>31</v>
      </c>
      <c r="C571" t="s">
        <v>18</v>
      </c>
      <c r="D571" t="s">
        <v>32</v>
      </c>
      <c r="E571" t="s">
        <v>33</v>
      </c>
      <c r="F571">
        <v>101.98</v>
      </c>
      <c r="G571">
        <v>139.19999999999999</v>
      </c>
      <c r="H571">
        <v>97.51</v>
      </c>
      <c r="I571">
        <v>95.94</v>
      </c>
      <c r="J571">
        <v>77.239999999999995</v>
      </c>
      <c r="K571" t="s">
        <v>34</v>
      </c>
      <c r="L571">
        <v>6.3</v>
      </c>
      <c r="M571">
        <v>4.4000000000000004</v>
      </c>
      <c r="N571" t="s">
        <v>35</v>
      </c>
      <c r="O571">
        <v>9</v>
      </c>
      <c r="P571" t="s">
        <v>23</v>
      </c>
      <c r="Q571">
        <v>58.8</v>
      </c>
    </row>
    <row r="572" spans="1:17" x14ac:dyDescent="0.35">
      <c r="A572" s="1">
        <v>45815</v>
      </c>
      <c r="B572" t="s">
        <v>69</v>
      </c>
      <c r="C572" t="s">
        <v>18</v>
      </c>
      <c r="D572" t="s">
        <v>70</v>
      </c>
      <c r="E572" t="s">
        <v>20</v>
      </c>
      <c r="F572">
        <v>278.37</v>
      </c>
      <c r="G572">
        <v>193.8</v>
      </c>
      <c r="H572">
        <v>88.7</v>
      </c>
      <c r="I572">
        <v>93.57</v>
      </c>
      <c r="J572">
        <v>76.569999999999993</v>
      </c>
      <c r="K572" t="s">
        <v>21</v>
      </c>
      <c r="L572">
        <v>7</v>
      </c>
      <c r="N572" t="s">
        <v>22</v>
      </c>
      <c r="O572">
        <v>6</v>
      </c>
      <c r="P572" t="s">
        <v>23</v>
      </c>
      <c r="Q572">
        <v>69.8</v>
      </c>
    </row>
    <row r="573" spans="1:17" x14ac:dyDescent="0.35">
      <c r="A573" s="1">
        <v>45815</v>
      </c>
      <c r="B573" t="s">
        <v>93</v>
      </c>
      <c r="C573" t="s">
        <v>37</v>
      </c>
      <c r="D573" t="s">
        <v>94</v>
      </c>
      <c r="E573" t="s">
        <v>27</v>
      </c>
      <c r="F573">
        <v>237.06</v>
      </c>
      <c r="G573">
        <v>67.599999999999994</v>
      </c>
      <c r="H573">
        <v>97.11</v>
      </c>
      <c r="I573">
        <v>96.19</v>
      </c>
      <c r="J573">
        <v>84.51</v>
      </c>
      <c r="K573" t="s">
        <v>28</v>
      </c>
      <c r="L573">
        <v>8.1</v>
      </c>
      <c r="M573">
        <v>3.8</v>
      </c>
      <c r="N573" t="s">
        <v>39</v>
      </c>
      <c r="O573">
        <v>12</v>
      </c>
      <c r="P573" t="s">
        <v>23</v>
      </c>
      <c r="Q573">
        <v>61.9</v>
      </c>
    </row>
    <row r="574" spans="1:17" x14ac:dyDescent="0.35">
      <c r="A574" s="1">
        <v>45815</v>
      </c>
      <c r="B574" t="s">
        <v>89</v>
      </c>
      <c r="C574" t="s">
        <v>67</v>
      </c>
      <c r="D574" t="s">
        <v>90</v>
      </c>
      <c r="E574" t="s">
        <v>27</v>
      </c>
      <c r="F574">
        <v>370.53</v>
      </c>
      <c r="G574">
        <v>53.6</v>
      </c>
      <c r="H574">
        <v>92.57</v>
      </c>
      <c r="I574">
        <v>96.62</v>
      </c>
      <c r="J574">
        <v>82</v>
      </c>
      <c r="K574" t="s">
        <v>34</v>
      </c>
      <c r="L574">
        <v>7.8</v>
      </c>
      <c r="M574">
        <v>1.7</v>
      </c>
      <c r="N574" t="s">
        <v>29</v>
      </c>
      <c r="O574">
        <v>12</v>
      </c>
      <c r="P574" t="s">
        <v>23</v>
      </c>
      <c r="Q574">
        <v>61.5</v>
      </c>
    </row>
    <row r="575" spans="1:17" x14ac:dyDescent="0.35">
      <c r="A575" s="1">
        <v>45815</v>
      </c>
      <c r="B575" t="s">
        <v>82</v>
      </c>
      <c r="C575" t="s">
        <v>72</v>
      </c>
      <c r="D575" t="s">
        <v>83</v>
      </c>
      <c r="E575" t="s">
        <v>20</v>
      </c>
      <c r="F575">
        <v>145.97</v>
      </c>
      <c r="G575">
        <v>86.2</v>
      </c>
      <c r="H575">
        <v>89.56</v>
      </c>
      <c r="I575">
        <v>95.17</v>
      </c>
      <c r="J575">
        <v>73.709999999999994</v>
      </c>
      <c r="K575" t="s">
        <v>58</v>
      </c>
      <c r="L575">
        <v>6.6</v>
      </c>
      <c r="N575" t="s">
        <v>35</v>
      </c>
      <c r="O575">
        <v>8</v>
      </c>
      <c r="P575" t="s">
        <v>43</v>
      </c>
      <c r="Q575">
        <v>66.900000000000006</v>
      </c>
    </row>
    <row r="576" spans="1:17" x14ac:dyDescent="0.35">
      <c r="A576" s="1">
        <v>45815</v>
      </c>
      <c r="B576" t="s">
        <v>55</v>
      </c>
      <c r="C576" t="s">
        <v>56</v>
      </c>
      <c r="D576">
        <v>4</v>
      </c>
      <c r="E576" t="s">
        <v>57</v>
      </c>
      <c r="F576">
        <v>30</v>
      </c>
      <c r="G576">
        <v>150.4</v>
      </c>
      <c r="H576">
        <v>85.67</v>
      </c>
      <c r="I576">
        <v>95.92</v>
      </c>
      <c r="J576">
        <v>74.930000000000007</v>
      </c>
      <c r="K576" t="s">
        <v>21</v>
      </c>
      <c r="L576">
        <v>7</v>
      </c>
      <c r="N576" t="s">
        <v>35</v>
      </c>
      <c r="O576">
        <v>3</v>
      </c>
      <c r="P576" t="s">
        <v>23</v>
      </c>
      <c r="Q576">
        <v>68.900000000000006</v>
      </c>
    </row>
    <row r="577" spans="1:17" x14ac:dyDescent="0.35">
      <c r="A577" s="1">
        <v>45815</v>
      </c>
      <c r="B577" t="s">
        <v>53</v>
      </c>
      <c r="C577" t="s">
        <v>41</v>
      </c>
      <c r="D577" t="s">
        <v>54</v>
      </c>
      <c r="E577" t="s">
        <v>27</v>
      </c>
      <c r="F577">
        <v>399.39</v>
      </c>
      <c r="G577">
        <v>18.399999999999999</v>
      </c>
      <c r="H577">
        <v>94.51</v>
      </c>
      <c r="I577">
        <v>96.89</v>
      </c>
      <c r="J577">
        <v>78.19</v>
      </c>
      <c r="K577" t="s">
        <v>34</v>
      </c>
      <c r="L577">
        <v>8</v>
      </c>
      <c r="M577">
        <v>2.9</v>
      </c>
      <c r="N577" t="s">
        <v>29</v>
      </c>
      <c r="O577">
        <v>15</v>
      </c>
      <c r="P577" t="s">
        <v>43</v>
      </c>
      <c r="Q577">
        <v>60</v>
      </c>
    </row>
    <row r="578" spans="1:17" x14ac:dyDescent="0.35">
      <c r="A578" s="1">
        <v>45815</v>
      </c>
      <c r="B578" t="s">
        <v>101</v>
      </c>
      <c r="C578" t="s">
        <v>45</v>
      </c>
      <c r="D578" t="s">
        <v>102</v>
      </c>
      <c r="E578" t="s">
        <v>33</v>
      </c>
      <c r="F578">
        <v>277.95</v>
      </c>
      <c r="G578">
        <v>1277.9000000000001</v>
      </c>
      <c r="H578">
        <v>95.46</v>
      </c>
      <c r="I578">
        <v>98.44</v>
      </c>
      <c r="J578">
        <v>73.38</v>
      </c>
      <c r="K578" t="s">
        <v>88</v>
      </c>
      <c r="L578">
        <v>8.1</v>
      </c>
      <c r="M578">
        <v>3.5</v>
      </c>
      <c r="N578" t="s">
        <v>35</v>
      </c>
      <c r="O578">
        <v>7</v>
      </c>
      <c r="P578" t="s">
        <v>23</v>
      </c>
      <c r="Q578">
        <v>62.4</v>
      </c>
    </row>
    <row r="579" spans="1:17" x14ac:dyDescent="0.35">
      <c r="A579" s="1">
        <v>45815</v>
      </c>
      <c r="B579" t="s">
        <v>17</v>
      </c>
      <c r="C579" t="s">
        <v>18</v>
      </c>
      <c r="D579" t="s">
        <v>19</v>
      </c>
      <c r="E579" t="s">
        <v>20</v>
      </c>
      <c r="F579">
        <v>210.46</v>
      </c>
      <c r="G579">
        <v>163.69999999999999</v>
      </c>
      <c r="H579">
        <v>91.38</v>
      </c>
      <c r="I579">
        <v>94.32</v>
      </c>
      <c r="J579">
        <v>75.47</v>
      </c>
      <c r="K579" t="s">
        <v>63</v>
      </c>
      <c r="L579">
        <v>7.1</v>
      </c>
      <c r="N579" t="s">
        <v>35</v>
      </c>
      <c r="O579">
        <v>8</v>
      </c>
      <c r="P579" t="s">
        <v>23</v>
      </c>
      <c r="Q579">
        <v>70.3</v>
      </c>
    </row>
    <row r="580" spans="1:17" x14ac:dyDescent="0.35">
      <c r="A580" s="1">
        <v>45815</v>
      </c>
      <c r="B580" t="s">
        <v>93</v>
      </c>
      <c r="C580" t="s">
        <v>37</v>
      </c>
      <c r="D580" t="s">
        <v>94</v>
      </c>
      <c r="E580" t="s">
        <v>27</v>
      </c>
      <c r="F580">
        <v>418.15</v>
      </c>
      <c r="G580">
        <v>24.9</v>
      </c>
      <c r="H580">
        <v>94.32</v>
      </c>
      <c r="I580">
        <v>95.4</v>
      </c>
      <c r="J580">
        <v>83.83</v>
      </c>
      <c r="K580" t="s">
        <v>28</v>
      </c>
      <c r="L580">
        <v>9.3000000000000007</v>
      </c>
      <c r="M580">
        <v>3</v>
      </c>
      <c r="N580" t="s">
        <v>39</v>
      </c>
      <c r="O580">
        <v>11</v>
      </c>
      <c r="P580" t="s">
        <v>23</v>
      </c>
      <c r="Q580">
        <v>62.9</v>
      </c>
    </row>
    <row r="581" spans="1:17" x14ac:dyDescent="0.35">
      <c r="A581" s="1">
        <v>45815</v>
      </c>
      <c r="B581" t="s">
        <v>55</v>
      </c>
      <c r="C581" t="s">
        <v>56</v>
      </c>
      <c r="D581">
        <v>4</v>
      </c>
      <c r="E581" t="s">
        <v>57</v>
      </c>
      <c r="F581">
        <v>30</v>
      </c>
      <c r="G581">
        <v>150.80000000000001</v>
      </c>
      <c r="H581">
        <v>86.87</v>
      </c>
      <c r="I581">
        <v>95.99</v>
      </c>
      <c r="J581">
        <v>70.03</v>
      </c>
      <c r="K581" t="s">
        <v>21</v>
      </c>
      <c r="L581">
        <v>7.2</v>
      </c>
      <c r="N581" t="s">
        <v>35</v>
      </c>
      <c r="O581">
        <v>2</v>
      </c>
      <c r="P581" t="s">
        <v>23</v>
      </c>
      <c r="Q581">
        <v>68.599999999999994</v>
      </c>
    </row>
    <row r="582" spans="1:17" x14ac:dyDescent="0.35">
      <c r="A582" s="1">
        <v>45815</v>
      </c>
      <c r="B582" t="s">
        <v>84</v>
      </c>
      <c r="C582" t="s">
        <v>18</v>
      </c>
      <c r="D582" t="s">
        <v>85</v>
      </c>
      <c r="E582" t="s">
        <v>27</v>
      </c>
      <c r="F582">
        <v>121.24</v>
      </c>
      <c r="G582">
        <v>52.6</v>
      </c>
      <c r="H582">
        <v>96.63</v>
      </c>
      <c r="I582">
        <v>94.77</v>
      </c>
      <c r="J582">
        <v>81.99</v>
      </c>
      <c r="K582" t="s">
        <v>47</v>
      </c>
      <c r="L582">
        <v>7.8</v>
      </c>
      <c r="M582">
        <v>3.6</v>
      </c>
      <c r="N582" t="s">
        <v>29</v>
      </c>
      <c r="O582">
        <v>12</v>
      </c>
      <c r="P582" t="s">
        <v>23</v>
      </c>
      <c r="Q582">
        <v>60.5</v>
      </c>
    </row>
    <row r="583" spans="1:17" x14ac:dyDescent="0.35">
      <c r="A583" s="1">
        <v>45815</v>
      </c>
      <c r="B583" t="s">
        <v>99</v>
      </c>
      <c r="C583" t="s">
        <v>72</v>
      </c>
      <c r="D583" t="s">
        <v>100</v>
      </c>
      <c r="E583" t="s">
        <v>33</v>
      </c>
      <c r="F583">
        <v>81.239999999999995</v>
      </c>
      <c r="G583">
        <v>191.1</v>
      </c>
      <c r="H583">
        <v>92.51</v>
      </c>
      <c r="I583">
        <v>95.24</v>
      </c>
      <c r="J583">
        <v>76.430000000000007</v>
      </c>
      <c r="K583" t="s">
        <v>34</v>
      </c>
      <c r="L583">
        <v>7.6</v>
      </c>
      <c r="M583">
        <v>3.8</v>
      </c>
      <c r="N583" t="s">
        <v>22</v>
      </c>
      <c r="O583">
        <v>10</v>
      </c>
      <c r="P583" t="s">
        <v>43</v>
      </c>
      <c r="Q583">
        <v>60.8</v>
      </c>
    </row>
    <row r="584" spans="1:17" x14ac:dyDescent="0.35">
      <c r="A584" s="1">
        <v>45815</v>
      </c>
      <c r="B584" t="s">
        <v>93</v>
      </c>
      <c r="C584" t="s">
        <v>37</v>
      </c>
      <c r="D584" t="s">
        <v>94</v>
      </c>
      <c r="E584" t="s">
        <v>27</v>
      </c>
      <c r="F584">
        <v>328.8</v>
      </c>
      <c r="G584">
        <v>44.6</v>
      </c>
      <c r="H584">
        <v>95.79</v>
      </c>
      <c r="I584">
        <v>95.74</v>
      </c>
      <c r="J584">
        <v>84.58</v>
      </c>
      <c r="K584" t="s">
        <v>28</v>
      </c>
      <c r="L584">
        <v>7.5</v>
      </c>
      <c r="M584">
        <v>4.5</v>
      </c>
      <c r="N584" t="s">
        <v>29</v>
      </c>
      <c r="O584">
        <v>14</v>
      </c>
      <c r="P584" t="s">
        <v>23</v>
      </c>
      <c r="Q584">
        <v>59.7</v>
      </c>
    </row>
    <row r="585" spans="1:17" x14ac:dyDescent="0.35">
      <c r="A585" s="1">
        <v>45815</v>
      </c>
      <c r="B585" t="s">
        <v>80</v>
      </c>
      <c r="C585" t="s">
        <v>45</v>
      </c>
      <c r="D585" t="s">
        <v>81</v>
      </c>
      <c r="E585" t="s">
        <v>33</v>
      </c>
      <c r="F585">
        <v>546.32000000000005</v>
      </c>
      <c r="G585">
        <v>344.8</v>
      </c>
      <c r="H585">
        <v>97.64</v>
      </c>
      <c r="I585">
        <v>98.62</v>
      </c>
      <c r="J585">
        <v>77.260000000000005</v>
      </c>
      <c r="K585" t="s">
        <v>28</v>
      </c>
      <c r="L585">
        <v>9.4</v>
      </c>
      <c r="M585">
        <v>4.8</v>
      </c>
      <c r="N585" t="s">
        <v>35</v>
      </c>
      <c r="O585">
        <v>7</v>
      </c>
      <c r="P585" t="s">
        <v>23</v>
      </c>
      <c r="Q585">
        <v>64.7</v>
      </c>
    </row>
    <row r="586" spans="1:17" x14ac:dyDescent="0.35">
      <c r="A586" s="1">
        <v>45815</v>
      </c>
      <c r="B586" t="s">
        <v>59</v>
      </c>
      <c r="C586" t="s">
        <v>60</v>
      </c>
      <c r="D586" t="s">
        <v>61</v>
      </c>
      <c r="E586" t="s">
        <v>62</v>
      </c>
      <c r="F586">
        <v>527.1</v>
      </c>
      <c r="G586">
        <v>191.6</v>
      </c>
      <c r="H586">
        <v>91.27</v>
      </c>
      <c r="I586">
        <v>94.06</v>
      </c>
      <c r="J586">
        <v>91.08</v>
      </c>
      <c r="K586" t="s">
        <v>63</v>
      </c>
      <c r="L586">
        <v>9.1999999999999993</v>
      </c>
      <c r="N586" t="s">
        <v>35</v>
      </c>
      <c r="O586">
        <v>5</v>
      </c>
      <c r="P586" t="s">
        <v>23</v>
      </c>
      <c r="Q586">
        <v>77.7</v>
      </c>
    </row>
    <row r="587" spans="1:17" x14ac:dyDescent="0.35">
      <c r="A587" s="1">
        <v>45815</v>
      </c>
      <c r="B587" t="s">
        <v>76</v>
      </c>
      <c r="C587" t="s">
        <v>45</v>
      </c>
      <c r="D587" t="s">
        <v>77</v>
      </c>
      <c r="E587" t="s">
        <v>27</v>
      </c>
      <c r="F587">
        <v>666.64</v>
      </c>
      <c r="G587">
        <v>399.3</v>
      </c>
      <c r="H587">
        <v>93.29</v>
      </c>
      <c r="I587">
        <v>98.95</v>
      </c>
      <c r="J587">
        <v>81.599999999999994</v>
      </c>
      <c r="K587" t="s">
        <v>34</v>
      </c>
      <c r="L587">
        <v>9.1999999999999993</v>
      </c>
      <c r="M587">
        <v>2.4</v>
      </c>
      <c r="N587" t="s">
        <v>29</v>
      </c>
      <c r="O587">
        <v>14</v>
      </c>
      <c r="P587" t="s">
        <v>23</v>
      </c>
      <c r="Q587">
        <v>66</v>
      </c>
    </row>
    <row r="588" spans="1:17" x14ac:dyDescent="0.35">
      <c r="A588" s="1">
        <v>45815</v>
      </c>
      <c r="B588" t="s">
        <v>53</v>
      </c>
      <c r="C588" t="s">
        <v>41</v>
      </c>
      <c r="D588" t="s">
        <v>54</v>
      </c>
      <c r="E588" t="s">
        <v>27</v>
      </c>
      <c r="F588">
        <v>208.94</v>
      </c>
      <c r="G588">
        <v>31.2</v>
      </c>
      <c r="H588">
        <v>93.16</v>
      </c>
      <c r="I588">
        <v>98.2</v>
      </c>
      <c r="J588">
        <v>77.98</v>
      </c>
      <c r="K588" t="s">
        <v>34</v>
      </c>
      <c r="L588">
        <v>7.2</v>
      </c>
      <c r="M588">
        <v>2.2000000000000002</v>
      </c>
      <c r="N588" t="s">
        <v>39</v>
      </c>
      <c r="O588">
        <v>8</v>
      </c>
      <c r="P588" t="s">
        <v>43</v>
      </c>
      <c r="Q588">
        <v>59.4</v>
      </c>
    </row>
    <row r="589" spans="1:17" x14ac:dyDescent="0.35">
      <c r="A589" s="1">
        <v>45815</v>
      </c>
      <c r="B589" t="s">
        <v>86</v>
      </c>
      <c r="C589" t="s">
        <v>25</v>
      </c>
      <c r="D589" t="s">
        <v>87</v>
      </c>
      <c r="E589" t="s">
        <v>27</v>
      </c>
      <c r="F589">
        <v>328.35</v>
      </c>
      <c r="G589">
        <v>67.2</v>
      </c>
      <c r="H589">
        <v>94.32</v>
      </c>
      <c r="I589">
        <v>96.51</v>
      </c>
      <c r="J589">
        <v>77.91</v>
      </c>
      <c r="K589" t="s">
        <v>28</v>
      </c>
      <c r="L589">
        <v>7.1</v>
      </c>
      <c r="M589">
        <v>1.7</v>
      </c>
      <c r="N589" t="s">
        <v>39</v>
      </c>
      <c r="O589">
        <v>10</v>
      </c>
      <c r="P589" t="s">
        <v>30</v>
      </c>
      <c r="Q589">
        <v>60.2</v>
      </c>
    </row>
    <row r="590" spans="1:17" x14ac:dyDescent="0.35">
      <c r="A590" s="1">
        <v>45815</v>
      </c>
      <c r="B590" t="s">
        <v>59</v>
      </c>
      <c r="C590" t="s">
        <v>60</v>
      </c>
      <c r="D590" t="s">
        <v>61</v>
      </c>
      <c r="E590" t="s">
        <v>62</v>
      </c>
      <c r="F590">
        <v>413.85</v>
      </c>
      <c r="G590">
        <v>187.6</v>
      </c>
      <c r="H590">
        <v>86.23</v>
      </c>
      <c r="I590">
        <v>95.28</v>
      </c>
      <c r="J590">
        <v>91.6</v>
      </c>
      <c r="K590" t="s">
        <v>63</v>
      </c>
      <c r="L590">
        <v>9</v>
      </c>
      <c r="N590" t="s">
        <v>35</v>
      </c>
      <c r="O590">
        <v>3</v>
      </c>
      <c r="P590" t="s">
        <v>23</v>
      </c>
      <c r="Q590">
        <v>76.599999999999994</v>
      </c>
    </row>
    <row r="591" spans="1:17" x14ac:dyDescent="0.35">
      <c r="A591" s="1">
        <v>45815</v>
      </c>
      <c r="B591" t="s">
        <v>86</v>
      </c>
      <c r="C591" t="s">
        <v>25</v>
      </c>
      <c r="D591" t="s">
        <v>87</v>
      </c>
      <c r="E591" t="s">
        <v>27</v>
      </c>
      <c r="F591">
        <v>322.23</v>
      </c>
      <c r="G591">
        <v>32.1</v>
      </c>
      <c r="H591">
        <v>92.7</v>
      </c>
      <c r="I591">
        <v>97.57</v>
      </c>
      <c r="J591">
        <v>81.08</v>
      </c>
      <c r="K591" t="s">
        <v>34</v>
      </c>
      <c r="L591">
        <v>7.8</v>
      </c>
      <c r="M591">
        <v>2.6</v>
      </c>
      <c r="N591" t="s">
        <v>39</v>
      </c>
      <c r="O591">
        <v>9</v>
      </c>
      <c r="P591" t="s">
        <v>30</v>
      </c>
      <c r="Q591">
        <v>60.5</v>
      </c>
    </row>
    <row r="592" spans="1:17" x14ac:dyDescent="0.35">
      <c r="A592" s="1">
        <v>45815</v>
      </c>
      <c r="B592" t="s">
        <v>86</v>
      </c>
      <c r="C592" t="s">
        <v>25</v>
      </c>
      <c r="D592" t="s">
        <v>87</v>
      </c>
      <c r="E592" t="s">
        <v>27</v>
      </c>
      <c r="F592">
        <v>551.54</v>
      </c>
      <c r="G592">
        <v>62.2</v>
      </c>
      <c r="H592">
        <v>97.12</v>
      </c>
      <c r="I592">
        <v>96.21</v>
      </c>
      <c r="J592">
        <v>76.39</v>
      </c>
      <c r="K592" t="s">
        <v>28</v>
      </c>
      <c r="L592">
        <v>9.3000000000000007</v>
      </c>
      <c r="M592">
        <v>4.4000000000000004</v>
      </c>
      <c r="N592" t="s">
        <v>29</v>
      </c>
      <c r="O592">
        <v>15</v>
      </c>
      <c r="P592" t="s">
        <v>30</v>
      </c>
      <c r="Q592">
        <v>62.1</v>
      </c>
    </row>
    <row r="593" spans="1:17" x14ac:dyDescent="0.35">
      <c r="A593" s="1">
        <v>45815</v>
      </c>
      <c r="B593" t="s">
        <v>97</v>
      </c>
      <c r="C593" t="s">
        <v>72</v>
      </c>
      <c r="D593" t="s">
        <v>98</v>
      </c>
      <c r="E593" t="s">
        <v>33</v>
      </c>
      <c r="F593">
        <v>287.17</v>
      </c>
      <c r="G593">
        <v>153</v>
      </c>
      <c r="H593">
        <v>94.31</v>
      </c>
      <c r="I593">
        <v>95.6</v>
      </c>
      <c r="J593">
        <v>74.22</v>
      </c>
      <c r="K593" t="s">
        <v>28</v>
      </c>
      <c r="L593">
        <v>8.1</v>
      </c>
      <c r="M593">
        <v>4.4000000000000004</v>
      </c>
      <c r="N593" t="s">
        <v>35</v>
      </c>
      <c r="O593">
        <v>10</v>
      </c>
      <c r="P593" t="s">
        <v>43</v>
      </c>
      <c r="Q593">
        <v>61</v>
      </c>
    </row>
    <row r="594" spans="1:17" x14ac:dyDescent="0.35">
      <c r="A594" s="1">
        <v>45815</v>
      </c>
      <c r="B594" t="s">
        <v>48</v>
      </c>
      <c r="C594" t="s">
        <v>49</v>
      </c>
      <c r="D594" t="s">
        <v>50</v>
      </c>
      <c r="E594" t="s">
        <v>27</v>
      </c>
      <c r="F594">
        <v>354.59</v>
      </c>
      <c r="G594">
        <v>25.6</v>
      </c>
      <c r="H594">
        <v>94.82</v>
      </c>
      <c r="I594">
        <v>93.16</v>
      </c>
      <c r="J594">
        <v>80.959999999999994</v>
      </c>
      <c r="K594" t="s">
        <v>47</v>
      </c>
      <c r="L594">
        <v>8.3000000000000007</v>
      </c>
      <c r="M594">
        <v>3.8</v>
      </c>
      <c r="N594" t="s">
        <v>29</v>
      </c>
      <c r="O594">
        <v>14</v>
      </c>
      <c r="P594" t="s">
        <v>43</v>
      </c>
      <c r="Q594">
        <v>60</v>
      </c>
    </row>
    <row r="595" spans="1:17" x14ac:dyDescent="0.35">
      <c r="A595" s="1">
        <v>45815</v>
      </c>
      <c r="B595" t="s">
        <v>55</v>
      </c>
      <c r="C595" t="s">
        <v>56</v>
      </c>
      <c r="D595">
        <v>4</v>
      </c>
      <c r="E595" t="s">
        <v>57</v>
      </c>
      <c r="F595">
        <v>30</v>
      </c>
      <c r="G595">
        <v>166.1</v>
      </c>
      <c r="H595">
        <v>86.01</v>
      </c>
      <c r="I595">
        <v>95.71</v>
      </c>
      <c r="J595">
        <v>79.14</v>
      </c>
      <c r="K595" t="s">
        <v>21</v>
      </c>
      <c r="L595">
        <v>7.3</v>
      </c>
      <c r="N595" t="s">
        <v>35</v>
      </c>
      <c r="O595">
        <v>2</v>
      </c>
      <c r="P595" t="s">
        <v>43</v>
      </c>
      <c r="Q595">
        <v>70.7</v>
      </c>
    </row>
    <row r="596" spans="1:17" x14ac:dyDescent="0.35">
      <c r="A596" s="1">
        <v>45815</v>
      </c>
      <c r="B596" t="s">
        <v>40</v>
      </c>
      <c r="C596" t="s">
        <v>41</v>
      </c>
      <c r="D596" t="s">
        <v>42</v>
      </c>
      <c r="E596" t="s">
        <v>27</v>
      </c>
      <c r="F596">
        <v>200.41</v>
      </c>
      <c r="G596">
        <v>29.4</v>
      </c>
      <c r="H596">
        <v>92.66</v>
      </c>
      <c r="I596">
        <v>97.74</v>
      </c>
      <c r="J596">
        <v>79.13</v>
      </c>
      <c r="K596" t="s">
        <v>34</v>
      </c>
      <c r="L596">
        <v>7.3</v>
      </c>
      <c r="M596">
        <v>2</v>
      </c>
      <c r="N596" t="s">
        <v>39</v>
      </c>
      <c r="O596">
        <v>9</v>
      </c>
      <c r="P596" t="s">
        <v>43</v>
      </c>
      <c r="Q596">
        <v>59.7</v>
      </c>
    </row>
    <row r="597" spans="1:17" x14ac:dyDescent="0.35">
      <c r="A597" s="1">
        <v>45815</v>
      </c>
      <c r="B597" t="s">
        <v>84</v>
      </c>
      <c r="C597" t="s">
        <v>18</v>
      </c>
      <c r="D597" t="s">
        <v>85</v>
      </c>
      <c r="E597" t="s">
        <v>27</v>
      </c>
      <c r="F597">
        <v>127.15</v>
      </c>
      <c r="G597">
        <v>68.8</v>
      </c>
      <c r="H597">
        <v>93.45</v>
      </c>
      <c r="I597">
        <v>96.15</v>
      </c>
      <c r="J597">
        <v>77.16</v>
      </c>
      <c r="K597" t="s">
        <v>28</v>
      </c>
      <c r="L597">
        <v>7.9</v>
      </c>
      <c r="M597">
        <v>2.4</v>
      </c>
      <c r="N597" t="s">
        <v>29</v>
      </c>
      <c r="O597">
        <v>14</v>
      </c>
      <c r="P597" t="s">
        <v>23</v>
      </c>
      <c r="Q597">
        <v>60.7</v>
      </c>
    </row>
    <row r="598" spans="1:17" x14ac:dyDescent="0.35">
      <c r="A598" s="1">
        <v>45815</v>
      </c>
      <c r="B598" t="s">
        <v>71</v>
      </c>
      <c r="C598" t="s">
        <v>72</v>
      </c>
      <c r="D598" t="s">
        <v>73</v>
      </c>
      <c r="E598" t="s">
        <v>27</v>
      </c>
      <c r="F598">
        <v>209.14</v>
      </c>
      <c r="G598">
        <v>28.9</v>
      </c>
      <c r="H598">
        <v>92.41</v>
      </c>
      <c r="I598">
        <v>93.76</v>
      </c>
      <c r="J598">
        <v>79.760000000000005</v>
      </c>
      <c r="K598" t="s">
        <v>28</v>
      </c>
      <c r="L598">
        <v>8.5</v>
      </c>
      <c r="M598">
        <v>3.6</v>
      </c>
      <c r="N598" t="s">
        <v>29</v>
      </c>
      <c r="O598">
        <v>13</v>
      </c>
      <c r="P598" t="s">
        <v>23</v>
      </c>
      <c r="Q598">
        <v>60</v>
      </c>
    </row>
    <row r="599" spans="1:17" x14ac:dyDescent="0.35">
      <c r="A599" s="1">
        <v>45815</v>
      </c>
      <c r="B599" t="s">
        <v>55</v>
      </c>
      <c r="C599" t="s">
        <v>56</v>
      </c>
      <c r="D599">
        <v>4</v>
      </c>
      <c r="E599" t="s">
        <v>57</v>
      </c>
      <c r="F599">
        <v>30</v>
      </c>
      <c r="G599">
        <v>129.9</v>
      </c>
      <c r="H599">
        <v>90.8</v>
      </c>
      <c r="I599">
        <v>96.51</v>
      </c>
      <c r="J599">
        <v>77.41</v>
      </c>
      <c r="K599" t="s">
        <v>63</v>
      </c>
      <c r="L599">
        <v>7.3</v>
      </c>
      <c r="N599" t="s">
        <v>35</v>
      </c>
      <c r="O599">
        <v>2</v>
      </c>
      <c r="P599" t="s">
        <v>43</v>
      </c>
      <c r="Q599">
        <v>70.599999999999994</v>
      </c>
    </row>
    <row r="600" spans="1:17" x14ac:dyDescent="0.35">
      <c r="A600" s="1">
        <v>45815</v>
      </c>
      <c r="B600" t="s">
        <v>40</v>
      </c>
      <c r="C600" t="s">
        <v>41</v>
      </c>
      <c r="D600" t="s">
        <v>42</v>
      </c>
      <c r="E600" t="s">
        <v>27</v>
      </c>
      <c r="F600">
        <v>566.91999999999996</v>
      </c>
      <c r="G600">
        <v>41</v>
      </c>
      <c r="H600">
        <v>92.39</v>
      </c>
      <c r="I600">
        <v>96.84</v>
      </c>
      <c r="J600">
        <v>84.9</v>
      </c>
      <c r="K600" t="s">
        <v>47</v>
      </c>
      <c r="L600">
        <v>8.9</v>
      </c>
      <c r="M600">
        <v>3.5</v>
      </c>
      <c r="N600" t="s">
        <v>29</v>
      </c>
      <c r="O600">
        <v>15</v>
      </c>
      <c r="P600" t="s">
        <v>43</v>
      </c>
      <c r="Q600">
        <v>62.3</v>
      </c>
    </row>
    <row r="601" spans="1:17" x14ac:dyDescent="0.35">
      <c r="A601" s="1">
        <v>45815</v>
      </c>
      <c r="B601" t="s">
        <v>69</v>
      </c>
      <c r="C601" t="s">
        <v>18</v>
      </c>
      <c r="D601" t="s">
        <v>70</v>
      </c>
      <c r="E601" t="s">
        <v>20</v>
      </c>
      <c r="F601">
        <v>321.20999999999998</v>
      </c>
      <c r="G601">
        <v>169.6</v>
      </c>
      <c r="H601">
        <v>92.84</v>
      </c>
      <c r="I601">
        <v>95.75</v>
      </c>
      <c r="J601">
        <v>71.55</v>
      </c>
      <c r="K601" t="s">
        <v>58</v>
      </c>
      <c r="L601">
        <v>7.4</v>
      </c>
      <c r="N601" t="s">
        <v>35</v>
      </c>
      <c r="O601">
        <v>10</v>
      </c>
      <c r="P601" t="s">
        <v>23</v>
      </c>
      <c r="Q601">
        <v>70.8</v>
      </c>
    </row>
    <row r="602" spans="1:17" x14ac:dyDescent="0.35">
      <c r="A602" s="1">
        <v>45815</v>
      </c>
      <c r="B602" t="s">
        <v>101</v>
      </c>
      <c r="C602" t="s">
        <v>45</v>
      </c>
      <c r="D602" t="s">
        <v>102</v>
      </c>
      <c r="E602" t="s">
        <v>33</v>
      </c>
      <c r="F602">
        <v>378.19</v>
      </c>
      <c r="G602">
        <v>1855.4</v>
      </c>
      <c r="H602">
        <v>94.07</v>
      </c>
      <c r="I602">
        <v>98.94</v>
      </c>
      <c r="J602">
        <v>76.86</v>
      </c>
      <c r="K602" t="s">
        <v>88</v>
      </c>
      <c r="L602">
        <v>7.8</v>
      </c>
      <c r="M602">
        <v>1.6</v>
      </c>
      <c r="N602" t="s">
        <v>35</v>
      </c>
      <c r="O602">
        <v>7</v>
      </c>
      <c r="P602" t="s">
        <v>23</v>
      </c>
      <c r="Q602">
        <v>63.6</v>
      </c>
    </row>
    <row r="603" spans="1:17" x14ac:dyDescent="0.35">
      <c r="A603" s="1">
        <v>45815</v>
      </c>
      <c r="B603" t="s">
        <v>93</v>
      </c>
      <c r="C603" t="s">
        <v>37</v>
      </c>
      <c r="D603" t="s">
        <v>94</v>
      </c>
      <c r="E603" t="s">
        <v>33</v>
      </c>
      <c r="F603">
        <v>409.49</v>
      </c>
      <c r="G603">
        <v>208.5</v>
      </c>
      <c r="H603">
        <v>95.56</v>
      </c>
      <c r="I603">
        <v>96.66</v>
      </c>
      <c r="J603">
        <v>71.09</v>
      </c>
      <c r="K603" t="s">
        <v>47</v>
      </c>
      <c r="L603">
        <v>9</v>
      </c>
      <c r="M603">
        <v>2.7</v>
      </c>
      <c r="N603" t="s">
        <v>35</v>
      </c>
      <c r="O603">
        <v>5</v>
      </c>
      <c r="P603" t="s">
        <v>23</v>
      </c>
      <c r="Q603">
        <v>63.8</v>
      </c>
    </row>
    <row r="604" spans="1:17" x14ac:dyDescent="0.35">
      <c r="A604" s="1">
        <v>45815</v>
      </c>
      <c r="B604" t="s">
        <v>55</v>
      </c>
      <c r="C604" t="s">
        <v>56</v>
      </c>
      <c r="D604">
        <v>4</v>
      </c>
      <c r="E604" t="s">
        <v>57</v>
      </c>
      <c r="F604">
        <v>30</v>
      </c>
      <c r="G604">
        <v>149.19999999999999</v>
      </c>
      <c r="H604">
        <v>88.18</v>
      </c>
      <c r="I604">
        <v>93.18</v>
      </c>
      <c r="J604">
        <v>77.14</v>
      </c>
      <c r="K604" t="s">
        <v>58</v>
      </c>
      <c r="L604">
        <v>6.8</v>
      </c>
      <c r="N604" t="s">
        <v>35</v>
      </c>
      <c r="O604">
        <v>4</v>
      </c>
      <c r="P604" t="s">
        <v>23</v>
      </c>
      <c r="Q604">
        <v>68.900000000000006</v>
      </c>
    </row>
    <row r="605" spans="1:17" x14ac:dyDescent="0.35">
      <c r="A605" s="1">
        <v>45815</v>
      </c>
      <c r="B605" t="s">
        <v>78</v>
      </c>
      <c r="C605" t="s">
        <v>41</v>
      </c>
      <c r="D605" t="s">
        <v>79</v>
      </c>
      <c r="E605" t="s">
        <v>27</v>
      </c>
      <c r="F605">
        <v>324.10000000000002</v>
      </c>
      <c r="G605">
        <v>47.4</v>
      </c>
      <c r="H605">
        <v>94.97</v>
      </c>
      <c r="I605">
        <v>97.84</v>
      </c>
      <c r="J605">
        <v>78.569999999999993</v>
      </c>
      <c r="K605" t="s">
        <v>47</v>
      </c>
      <c r="L605">
        <v>7.7</v>
      </c>
      <c r="M605">
        <v>2.6</v>
      </c>
      <c r="N605" t="s">
        <v>29</v>
      </c>
      <c r="O605">
        <v>12</v>
      </c>
      <c r="P605" t="s">
        <v>43</v>
      </c>
      <c r="Q605">
        <v>60.6</v>
      </c>
    </row>
    <row r="606" spans="1:17" x14ac:dyDescent="0.35">
      <c r="A606" s="1">
        <v>45815</v>
      </c>
      <c r="B606" t="s">
        <v>74</v>
      </c>
      <c r="C606" t="s">
        <v>67</v>
      </c>
      <c r="D606" t="s">
        <v>75</v>
      </c>
      <c r="E606" t="s">
        <v>27</v>
      </c>
      <c r="F606">
        <v>474.94</v>
      </c>
      <c r="G606">
        <v>66.5</v>
      </c>
      <c r="H606">
        <v>97.17</v>
      </c>
      <c r="I606">
        <v>96.76</v>
      </c>
      <c r="J606">
        <v>77.599999999999994</v>
      </c>
      <c r="K606" t="s">
        <v>28</v>
      </c>
      <c r="L606">
        <v>8.1999999999999993</v>
      </c>
      <c r="M606">
        <v>1.6</v>
      </c>
      <c r="N606" t="s">
        <v>29</v>
      </c>
      <c r="O606">
        <v>11</v>
      </c>
      <c r="P606" t="s">
        <v>43</v>
      </c>
      <c r="Q606">
        <v>62.5</v>
      </c>
    </row>
    <row r="607" spans="1:17" x14ac:dyDescent="0.35">
      <c r="A607" s="1">
        <v>45815</v>
      </c>
      <c r="B607" t="s">
        <v>36</v>
      </c>
      <c r="C607" t="s">
        <v>37</v>
      </c>
      <c r="D607" t="s">
        <v>38</v>
      </c>
      <c r="E607" t="s">
        <v>33</v>
      </c>
      <c r="F607">
        <v>407.26</v>
      </c>
      <c r="G607">
        <v>234.3</v>
      </c>
      <c r="H607">
        <v>95.38</v>
      </c>
      <c r="I607">
        <v>96.08</v>
      </c>
      <c r="J607">
        <v>77.569999999999993</v>
      </c>
      <c r="K607" t="s">
        <v>34</v>
      </c>
      <c r="L607">
        <v>9</v>
      </c>
      <c r="M607">
        <v>4.5999999999999996</v>
      </c>
      <c r="N607" t="s">
        <v>22</v>
      </c>
      <c r="O607">
        <v>8</v>
      </c>
      <c r="P607" t="s">
        <v>23</v>
      </c>
      <c r="Q607">
        <v>63.4</v>
      </c>
    </row>
    <row r="608" spans="1:17" x14ac:dyDescent="0.35">
      <c r="A608" s="1">
        <v>45815</v>
      </c>
      <c r="B608" t="s">
        <v>86</v>
      </c>
      <c r="C608" t="s">
        <v>25</v>
      </c>
      <c r="D608" t="s">
        <v>87</v>
      </c>
      <c r="E608" t="s">
        <v>27</v>
      </c>
      <c r="F608">
        <v>293.61</v>
      </c>
      <c r="G608">
        <v>58.3</v>
      </c>
      <c r="H608">
        <v>93.66</v>
      </c>
      <c r="I608">
        <v>97.45</v>
      </c>
      <c r="J608">
        <v>78.52</v>
      </c>
      <c r="K608" t="s">
        <v>28</v>
      </c>
      <c r="L608">
        <v>8.1999999999999993</v>
      </c>
      <c r="M608">
        <v>3.6</v>
      </c>
      <c r="N608" t="s">
        <v>39</v>
      </c>
      <c r="O608">
        <v>9</v>
      </c>
      <c r="P608" t="s">
        <v>30</v>
      </c>
      <c r="Q608">
        <v>60.7</v>
      </c>
    </row>
    <row r="609" spans="1:17" x14ac:dyDescent="0.35">
      <c r="A609" s="1">
        <v>45815</v>
      </c>
      <c r="B609" t="s">
        <v>36</v>
      </c>
      <c r="C609" t="s">
        <v>37</v>
      </c>
      <c r="D609" t="s">
        <v>38</v>
      </c>
      <c r="E609" t="s">
        <v>33</v>
      </c>
      <c r="F609">
        <v>490.8</v>
      </c>
      <c r="G609">
        <v>109.4</v>
      </c>
      <c r="H609">
        <v>94.44</v>
      </c>
      <c r="I609">
        <v>96.27</v>
      </c>
      <c r="J609">
        <v>73.45</v>
      </c>
      <c r="K609" t="s">
        <v>34</v>
      </c>
      <c r="L609">
        <v>9.3000000000000007</v>
      </c>
      <c r="M609">
        <v>1.5</v>
      </c>
      <c r="N609" t="s">
        <v>22</v>
      </c>
      <c r="O609">
        <v>8</v>
      </c>
      <c r="P609" t="s">
        <v>23</v>
      </c>
      <c r="Q609">
        <v>64</v>
      </c>
    </row>
    <row r="610" spans="1:17" x14ac:dyDescent="0.35">
      <c r="A610" s="1">
        <v>45815</v>
      </c>
      <c r="B610" t="s">
        <v>59</v>
      </c>
      <c r="C610" t="s">
        <v>60</v>
      </c>
      <c r="D610" t="s">
        <v>61</v>
      </c>
      <c r="E610" t="s">
        <v>62</v>
      </c>
      <c r="F610">
        <v>502.95</v>
      </c>
      <c r="G610">
        <v>185.9</v>
      </c>
      <c r="H610">
        <v>89.95</v>
      </c>
      <c r="I610">
        <v>95.63</v>
      </c>
      <c r="J610">
        <v>91.71</v>
      </c>
      <c r="K610" t="s">
        <v>63</v>
      </c>
      <c r="L610">
        <v>8</v>
      </c>
      <c r="N610" t="s">
        <v>35</v>
      </c>
      <c r="O610">
        <v>4</v>
      </c>
      <c r="P610" t="s">
        <v>23</v>
      </c>
      <c r="Q610">
        <v>75.5</v>
      </c>
    </row>
    <row r="611" spans="1:17" x14ac:dyDescent="0.35">
      <c r="A611" s="1">
        <v>45815</v>
      </c>
      <c r="B611" t="s">
        <v>36</v>
      </c>
      <c r="C611" t="s">
        <v>37</v>
      </c>
      <c r="D611" t="s">
        <v>38</v>
      </c>
      <c r="E611" t="s">
        <v>33</v>
      </c>
      <c r="F611">
        <v>250.06</v>
      </c>
      <c r="G611">
        <v>121.5</v>
      </c>
      <c r="H611">
        <v>93.66</v>
      </c>
      <c r="I611">
        <v>96.75</v>
      </c>
      <c r="J611">
        <v>77.760000000000005</v>
      </c>
      <c r="K611" t="s">
        <v>34</v>
      </c>
      <c r="L611">
        <v>7.9</v>
      </c>
      <c r="M611">
        <v>4.8</v>
      </c>
      <c r="N611" t="s">
        <v>22</v>
      </c>
      <c r="O611">
        <v>9</v>
      </c>
      <c r="P611" t="s">
        <v>23</v>
      </c>
      <c r="Q611">
        <v>60.4</v>
      </c>
    </row>
    <row r="612" spans="1:17" x14ac:dyDescent="0.35">
      <c r="A612" s="1">
        <v>45815</v>
      </c>
      <c r="B612" t="s">
        <v>40</v>
      </c>
      <c r="C612" t="s">
        <v>41</v>
      </c>
      <c r="D612" t="s">
        <v>42</v>
      </c>
      <c r="E612" t="s">
        <v>27</v>
      </c>
      <c r="F612">
        <v>301.7</v>
      </c>
      <c r="G612">
        <v>49.5</v>
      </c>
      <c r="H612">
        <v>92.55</v>
      </c>
      <c r="I612">
        <v>97.28</v>
      </c>
      <c r="J612">
        <v>83.09</v>
      </c>
      <c r="K612" t="s">
        <v>34</v>
      </c>
      <c r="L612">
        <v>7.2</v>
      </c>
      <c r="M612">
        <v>3</v>
      </c>
      <c r="N612" t="s">
        <v>39</v>
      </c>
      <c r="O612">
        <v>15</v>
      </c>
      <c r="P612" t="s">
        <v>43</v>
      </c>
      <c r="Q612">
        <v>59.8</v>
      </c>
    </row>
    <row r="613" spans="1:17" x14ac:dyDescent="0.35">
      <c r="A613" s="1">
        <v>45815</v>
      </c>
      <c r="B613" t="s">
        <v>99</v>
      </c>
      <c r="C613" t="s">
        <v>72</v>
      </c>
      <c r="D613" t="s">
        <v>100</v>
      </c>
      <c r="E613" t="s">
        <v>27</v>
      </c>
      <c r="F613">
        <v>255.94</v>
      </c>
      <c r="G613">
        <v>55</v>
      </c>
      <c r="H613">
        <v>95.85</v>
      </c>
      <c r="I613">
        <v>93.89</v>
      </c>
      <c r="J613">
        <v>82.1</v>
      </c>
      <c r="K613" t="s">
        <v>34</v>
      </c>
      <c r="L613">
        <v>7</v>
      </c>
      <c r="M613">
        <v>1.7</v>
      </c>
      <c r="N613" t="s">
        <v>29</v>
      </c>
      <c r="O613">
        <v>13</v>
      </c>
      <c r="P613" t="s">
        <v>23</v>
      </c>
      <c r="Q613">
        <v>60.3</v>
      </c>
    </row>
    <row r="614" spans="1:17" x14ac:dyDescent="0.35">
      <c r="A614" s="1">
        <v>45815</v>
      </c>
      <c r="B614" t="s">
        <v>59</v>
      </c>
      <c r="C614" t="s">
        <v>60</v>
      </c>
      <c r="D614" t="s">
        <v>61</v>
      </c>
      <c r="E614" t="s">
        <v>62</v>
      </c>
      <c r="F614">
        <v>499.92</v>
      </c>
      <c r="G614">
        <v>174.9</v>
      </c>
      <c r="H614">
        <v>90.64</v>
      </c>
      <c r="I614">
        <v>96.88</v>
      </c>
      <c r="J614">
        <v>87.97</v>
      </c>
      <c r="K614" t="s">
        <v>34</v>
      </c>
      <c r="L614">
        <v>8.1999999999999993</v>
      </c>
      <c r="N614" t="s">
        <v>35</v>
      </c>
      <c r="O614">
        <v>3</v>
      </c>
      <c r="P614" t="s">
        <v>43</v>
      </c>
      <c r="Q614">
        <v>75.5</v>
      </c>
    </row>
    <row r="615" spans="1:17" x14ac:dyDescent="0.35">
      <c r="A615" s="1">
        <v>45815</v>
      </c>
      <c r="B615" t="s">
        <v>97</v>
      </c>
      <c r="C615" t="s">
        <v>72</v>
      </c>
      <c r="D615" t="s">
        <v>98</v>
      </c>
      <c r="E615" t="s">
        <v>33</v>
      </c>
      <c r="F615">
        <v>148.38999999999999</v>
      </c>
      <c r="G615">
        <v>192.3</v>
      </c>
      <c r="H615">
        <v>94.57</v>
      </c>
      <c r="I615">
        <v>94.54</v>
      </c>
      <c r="J615">
        <v>70.12</v>
      </c>
      <c r="K615" t="s">
        <v>34</v>
      </c>
      <c r="L615">
        <v>6.7</v>
      </c>
      <c r="M615">
        <v>4.9000000000000004</v>
      </c>
      <c r="N615" t="s">
        <v>22</v>
      </c>
      <c r="O615">
        <v>5</v>
      </c>
      <c r="P615" t="s">
        <v>43</v>
      </c>
      <c r="Q615">
        <v>57.8</v>
      </c>
    </row>
    <row r="616" spans="1:17" x14ac:dyDescent="0.35">
      <c r="A616" s="1">
        <v>45815</v>
      </c>
      <c r="B616" t="s">
        <v>17</v>
      </c>
      <c r="C616" t="s">
        <v>18</v>
      </c>
      <c r="D616" t="s">
        <v>19</v>
      </c>
      <c r="E616" t="s">
        <v>20</v>
      </c>
      <c r="F616">
        <v>258.41000000000003</v>
      </c>
      <c r="G616">
        <v>232.8</v>
      </c>
      <c r="H616">
        <v>92.29</v>
      </c>
      <c r="I616">
        <v>95.59</v>
      </c>
      <c r="J616">
        <v>74.56</v>
      </c>
      <c r="K616" t="s">
        <v>58</v>
      </c>
      <c r="L616">
        <v>8.5</v>
      </c>
      <c r="N616" t="s">
        <v>35</v>
      </c>
      <c r="O616">
        <v>9</v>
      </c>
      <c r="P616" t="s">
        <v>23</v>
      </c>
      <c r="Q616">
        <v>73.5</v>
      </c>
    </row>
    <row r="617" spans="1:17" x14ac:dyDescent="0.35">
      <c r="A617" s="1">
        <v>45815</v>
      </c>
      <c r="B617" t="s">
        <v>36</v>
      </c>
      <c r="C617" t="s">
        <v>37</v>
      </c>
      <c r="D617" t="s">
        <v>38</v>
      </c>
      <c r="E617" t="s">
        <v>33</v>
      </c>
      <c r="F617">
        <v>341.17</v>
      </c>
      <c r="G617">
        <v>120.7</v>
      </c>
      <c r="H617">
        <v>97.66</v>
      </c>
      <c r="I617">
        <v>96.92</v>
      </c>
      <c r="J617">
        <v>75.739999999999995</v>
      </c>
      <c r="K617" t="s">
        <v>47</v>
      </c>
      <c r="L617">
        <v>8.1999999999999993</v>
      </c>
      <c r="M617">
        <v>4</v>
      </c>
      <c r="N617" t="s">
        <v>22</v>
      </c>
      <c r="O617">
        <v>7</v>
      </c>
      <c r="P617" t="s">
        <v>23</v>
      </c>
      <c r="Q617">
        <v>61.8</v>
      </c>
    </row>
    <row r="618" spans="1:17" x14ac:dyDescent="0.35">
      <c r="A618" s="1">
        <v>45815</v>
      </c>
      <c r="B618" t="s">
        <v>69</v>
      </c>
      <c r="C618" t="s">
        <v>18</v>
      </c>
      <c r="D618" t="s">
        <v>70</v>
      </c>
      <c r="E618" t="s">
        <v>20</v>
      </c>
      <c r="F618">
        <v>207.29</v>
      </c>
      <c r="G618">
        <v>162.6</v>
      </c>
      <c r="H618">
        <v>91.62</v>
      </c>
      <c r="I618">
        <v>96.59</v>
      </c>
      <c r="J618">
        <v>79.61</v>
      </c>
      <c r="K618" t="s">
        <v>58</v>
      </c>
      <c r="L618">
        <v>7.7</v>
      </c>
      <c r="N618" t="s">
        <v>35</v>
      </c>
      <c r="O618">
        <v>9</v>
      </c>
      <c r="P618" t="s">
        <v>23</v>
      </c>
      <c r="Q618">
        <v>72.8</v>
      </c>
    </row>
    <row r="619" spans="1:17" x14ac:dyDescent="0.35">
      <c r="A619" s="1">
        <v>45815</v>
      </c>
      <c r="B619" t="s">
        <v>95</v>
      </c>
      <c r="C619" t="s">
        <v>49</v>
      </c>
      <c r="D619" t="s">
        <v>96</v>
      </c>
      <c r="E619" t="s">
        <v>33</v>
      </c>
      <c r="F619">
        <v>368.51</v>
      </c>
      <c r="G619">
        <v>175.6</v>
      </c>
      <c r="H619">
        <v>97.78</v>
      </c>
      <c r="I619">
        <v>94.77</v>
      </c>
      <c r="J619">
        <v>71.099999999999994</v>
      </c>
      <c r="K619" t="s">
        <v>28</v>
      </c>
      <c r="L619">
        <v>7.8</v>
      </c>
      <c r="M619">
        <v>2.8</v>
      </c>
      <c r="N619" t="s">
        <v>35</v>
      </c>
      <c r="O619">
        <v>8</v>
      </c>
      <c r="P619" t="s">
        <v>43</v>
      </c>
      <c r="Q619">
        <v>61.7</v>
      </c>
    </row>
    <row r="620" spans="1:17" x14ac:dyDescent="0.35">
      <c r="A620" s="1">
        <v>45815</v>
      </c>
      <c r="B620" t="s">
        <v>36</v>
      </c>
      <c r="C620" t="s">
        <v>37</v>
      </c>
      <c r="D620" t="s">
        <v>38</v>
      </c>
      <c r="E620" t="s">
        <v>33</v>
      </c>
      <c r="F620">
        <v>382.8</v>
      </c>
      <c r="G620">
        <v>192.8</v>
      </c>
      <c r="H620">
        <v>95.03</v>
      </c>
      <c r="I620">
        <v>96.32</v>
      </c>
      <c r="J620">
        <v>75.48</v>
      </c>
      <c r="K620" t="s">
        <v>47</v>
      </c>
      <c r="L620">
        <v>8.1</v>
      </c>
      <c r="M620">
        <v>3.2</v>
      </c>
      <c r="N620" t="s">
        <v>35</v>
      </c>
      <c r="O620">
        <v>6</v>
      </c>
      <c r="P620" t="s">
        <v>23</v>
      </c>
      <c r="Q620">
        <v>62.5</v>
      </c>
    </row>
    <row r="621" spans="1:17" x14ac:dyDescent="0.35">
      <c r="A621" s="1">
        <v>45815</v>
      </c>
      <c r="B621" t="s">
        <v>59</v>
      </c>
      <c r="C621" t="s">
        <v>60</v>
      </c>
      <c r="D621" t="s">
        <v>61</v>
      </c>
      <c r="E621" t="s">
        <v>62</v>
      </c>
      <c r="F621">
        <v>498.76</v>
      </c>
      <c r="G621">
        <v>189.7</v>
      </c>
      <c r="H621">
        <v>86.08</v>
      </c>
      <c r="I621">
        <v>94.36</v>
      </c>
      <c r="J621">
        <v>88.38</v>
      </c>
      <c r="K621" t="s">
        <v>34</v>
      </c>
      <c r="L621">
        <v>9.1999999999999993</v>
      </c>
      <c r="N621" t="s">
        <v>35</v>
      </c>
      <c r="O621">
        <v>4</v>
      </c>
      <c r="P621" t="s">
        <v>43</v>
      </c>
      <c r="Q621">
        <v>76.2</v>
      </c>
    </row>
    <row r="622" spans="1:17" x14ac:dyDescent="0.35">
      <c r="A622" s="1">
        <v>45815</v>
      </c>
      <c r="B622" t="s">
        <v>55</v>
      </c>
      <c r="C622" t="s">
        <v>56</v>
      </c>
      <c r="D622">
        <v>4</v>
      </c>
      <c r="E622" t="s">
        <v>57</v>
      </c>
      <c r="F622">
        <v>30</v>
      </c>
      <c r="G622">
        <v>126.3</v>
      </c>
      <c r="H622">
        <v>90.18</v>
      </c>
      <c r="I622">
        <v>94.08</v>
      </c>
      <c r="J622">
        <v>70.849999999999994</v>
      </c>
      <c r="K622" t="s">
        <v>58</v>
      </c>
      <c r="L622">
        <v>7</v>
      </c>
      <c r="N622" t="s">
        <v>35</v>
      </c>
      <c r="O622">
        <v>5</v>
      </c>
      <c r="P622" t="s">
        <v>43</v>
      </c>
      <c r="Q622">
        <v>68</v>
      </c>
    </row>
    <row r="623" spans="1:17" x14ac:dyDescent="0.35">
      <c r="A623" s="1">
        <v>45815</v>
      </c>
      <c r="B623" t="s">
        <v>86</v>
      </c>
      <c r="C623" t="s">
        <v>25</v>
      </c>
      <c r="D623" t="s">
        <v>87</v>
      </c>
      <c r="E623" t="s">
        <v>27</v>
      </c>
      <c r="F623">
        <v>447.92</v>
      </c>
      <c r="G623">
        <v>43.1</v>
      </c>
      <c r="H623">
        <v>92.25</v>
      </c>
      <c r="I623">
        <v>96.92</v>
      </c>
      <c r="J623">
        <v>81.48</v>
      </c>
      <c r="K623" t="s">
        <v>28</v>
      </c>
      <c r="L623">
        <v>8.1</v>
      </c>
      <c r="M623">
        <v>4</v>
      </c>
      <c r="N623" t="s">
        <v>29</v>
      </c>
      <c r="O623">
        <v>13</v>
      </c>
      <c r="P623" t="s">
        <v>30</v>
      </c>
      <c r="Q623">
        <v>60.1</v>
      </c>
    </row>
    <row r="624" spans="1:17" x14ac:dyDescent="0.35">
      <c r="A624" s="1">
        <v>45815</v>
      </c>
      <c r="B624" t="s">
        <v>91</v>
      </c>
      <c r="C624" t="s">
        <v>67</v>
      </c>
      <c r="D624" t="s">
        <v>92</v>
      </c>
      <c r="E624" t="s">
        <v>27</v>
      </c>
      <c r="F624">
        <v>231.36</v>
      </c>
      <c r="G624">
        <v>24.9</v>
      </c>
      <c r="H624">
        <v>95.64</v>
      </c>
      <c r="I624">
        <v>96.27</v>
      </c>
      <c r="J624">
        <v>78.12</v>
      </c>
      <c r="K624" t="s">
        <v>47</v>
      </c>
      <c r="L624">
        <v>7.2</v>
      </c>
      <c r="M624">
        <v>3.6</v>
      </c>
      <c r="N624" t="s">
        <v>29</v>
      </c>
      <c r="O624">
        <v>15</v>
      </c>
      <c r="P624" t="s">
        <v>43</v>
      </c>
      <c r="Q624">
        <v>58.4</v>
      </c>
    </row>
    <row r="625" spans="1:17" x14ac:dyDescent="0.35">
      <c r="A625" s="1">
        <v>45815</v>
      </c>
      <c r="B625" t="s">
        <v>40</v>
      </c>
      <c r="C625" t="s">
        <v>41</v>
      </c>
      <c r="D625" t="s">
        <v>42</v>
      </c>
      <c r="E625" t="s">
        <v>27</v>
      </c>
      <c r="F625">
        <v>321.37</v>
      </c>
      <c r="G625">
        <v>32.200000000000003</v>
      </c>
      <c r="H625">
        <v>92.96</v>
      </c>
      <c r="I625">
        <v>97.79</v>
      </c>
      <c r="J625">
        <v>79.63</v>
      </c>
      <c r="K625" t="s">
        <v>47</v>
      </c>
      <c r="L625">
        <v>7.8</v>
      </c>
      <c r="M625">
        <v>4.2</v>
      </c>
      <c r="N625" t="s">
        <v>29</v>
      </c>
      <c r="O625">
        <v>9</v>
      </c>
      <c r="P625" t="s">
        <v>43</v>
      </c>
      <c r="Q625">
        <v>59.2</v>
      </c>
    </row>
    <row r="626" spans="1:17" x14ac:dyDescent="0.35">
      <c r="A626" s="1">
        <v>45815</v>
      </c>
      <c r="B626" t="s">
        <v>76</v>
      </c>
      <c r="C626" t="s">
        <v>45</v>
      </c>
      <c r="D626" t="s">
        <v>77</v>
      </c>
      <c r="E626" t="s">
        <v>33</v>
      </c>
      <c r="F626">
        <v>593.76</v>
      </c>
      <c r="G626">
        <v>338.1</v>
      </c>
      <c r="H626">
        <v>95.68</v>
      </c>
      <c r="I626">
        <v>99.07</v>
      </c>
      <c r="J626">
        <v>75.19</v>
      </c>
      <c r="K626" t="s">
        <v>34</v>
      </c>
      <c r="L626">
        <v>8.6999999999999993</v>
      </c>
      <c r="M626">
        <v>2.2000000000000002</v>
      </c>
      <c r="N626" t="s">
        <v>35</v>
      </c>
      <c r="O626">
        <v>10</v>
      </c>
      <c r="P626" t="s">
        <v>23</v>
      </c>
      <c r="Q626">
        <v>64.7</v>
      </c>
    </row>
    <row r="627" spans="1:17" x14ac:dyDescent="0.35">
      <c r="A627" s="1">
        <v>45815</v>
      </c>
      <c r="B627" t="s">
        <v>64</v>
      </c>
      <c r="C627" t="s">
        <v>25</v>
      </c>
      <c r="D627" t="s">
        <v>65</v>
      </c>
      <c r="E627" t="s">
        <v>27</v>
      </c>
      <c r="F627">
        <v>657.84</v>
      </c>
      <c r="G627">
        <v>27.6</v>
      </c>
      <c r="H627">
        <v>92.84</v>
      </c>
      <c r="I627">
        <v>96.79</v>
      </c>
      <c r="J627">
        <v>77.260000000000005</v>
      </c>
      <c r="K627" t="s">
        <v>47</v>
      </c>
      <c r="L627">
        <v>8.4</v>
      </c>
      <c r="M627">
        <v>2.2000000000000002</v>
      </c>
      <c r="N627" t="s">
        <v>39</v>
      </c>
      <c r="O627">
        <v>12</v>
      </c>
      <c r="P627" t="s">
        <v>30</v>
      </c>
      <c r="Q627">
        <v>60.9</v>
      </c>
    </row>
    <row r="628" spans="1:17" x14ac:dyDescent="0.35">
      <c r="A628" s="1">
        <v>45815</v>
      </c>
      <c r="B628" t="s">
        <v>17</v>
      </c>
      <c r="C628" t="s">
        <v>18</v>
      </c>
      <c r="D628" t="s">
        <v>19</v>
      </c>
      <c r="E628" t="s">
        <v>20</v>
      </c>
      <c r="F628">
        <v>284.16000000000003</v>
      </c>
      <c r="G628">
        <v>116.1</v>
      </c>
      <c r="H628">
        <v>93.93</v>
      </c>
      <c r="I628">
        <v>93.32</v>
      </c>
      <c r="J628">
        <v>76.680000000000007</v>
      </c>
      <c r="K628" t="s">
        <v>58</v>
      </c>
      <c r="L628">
        <v>8</v>
      </c>
      <c r="N628" t="s">
        <v>22</v>
      </c>
      <c r="O628">
        <v>8</v>
      </c>
      <c r="P628" t="s">
        <v>23</v>
      </c>
      <c r="Q628">
        <v>71.599999999999994</v>
      </c>
    </row>
    <row r="629" spans="1:17" x14ac:dyDescent="0.35">
      <c r="A629" s="1">
        <v>45815</v>
      </c>
      <c r="B629" t="s">
        <v>93</v>
      </c>
      <c r="C629" t="s">
        <v>37</v>
      </c>
      <c r="D629" t="s">
        <v>94</v>
      </c>
      <c r="E629" t="s">
        <v>33</v>
      </c>
      <c r="F629">
        <v>303.08</v>
      </c>
      <c r="G629">
        <v>208.2</v>
      </c>
      <c r="H629">
        <v>96.78</v>
      </c>
      <c r="I629">
        <v>93.83</v>
      </c>
      <c r="J629">
        <v>77</v>
      </c>
      <c r="K629" t="s">
        <v>28</v>
      </c>
      <c r="L629">
        <v>7.8</v>
      </c>
      <c r="M629">
        <v>4.0999999999999996</v>
      </c>
      <c r="N629" t="s">
        <v>35</v>
      </c>
      <c r="O629">
        <v>9</v>
      </c>
      <c r="P629" t="s">
        <v>23</v>
      </c>
      <c r="Q629">
        <v>61.5</v>
      </c>
    </row>
    <row r="630" spans="1:17" x14ac:dyDescent="0.35">
      <c r="A630" s="1">
        <v>45815</v>
      </c>
      <c r="B630" t="s">
        <v>59</v>
      </c>
      <c r="C630" t="s">
        <v>60</v>
      </c>
      <c r="D630" t="s">
        <v>61</v>
      </c>
      <c r="E630" t="s">
        <v>62</v>
      </c>
      <c r="F630">
        <v>305.72000000000003</v>
      </c>
      <c r="G630">
        <v>170.3</v>
      </c>
      <c r="H630">
        <v>89.39</v>
      </c>
      <c r="I630">
        <v>93.09</v>
      </c>
      <c r="J630">
        <v>86.93</v>
      </c>
      <c r="K630" t="s">
        <v>63</v>
      </c>
      <c r="L630">
        <v>8.1999999999999993</v>
      </c>
      <c r="N630" t="s">
        <v>35</v>
      </c>
      <c r="O630">
        <v>4</v>
      </c>
      <c r="P630" t="s">
        <v>43</v>
      </c>
      <c r="Q630">
        <v>74.3</v>
      </c>
    </row>
    <row r="631" spans="1:17" x14ac:dyDescent="0.35">
      <c r="A631" s="1">
        <v>45815</v>
      </c>
      <c r="B631" t="s">
        <v>82</v>
      </c>
      <c r="C631" t="s">
        <v>72</v>
      </c>
      <c r="D631" t="s">
        <v>83</v>
      </c>
      <c r="E631" t="s">
        <v>20</v>
      </c>
      <c r="F631">
        <v>261.19</v>
      </c>
      <c r="G631">
        <v>188.2</v>
      </c>
      <c r="H631">
        <v>91.13</v>
      </c>
      <c r="I631">
        <v>94.88</v>
      </c>
      <c r="J631">
        <v>77.569999999999993</v>
      </c>
      <c r="K631" t="s">
        <v>21</v>
      </c>
      <c r="L631">
        <v>8.4</v>
      </c>
      <c r="N631" t="s">
        <v>22</v>
      </c>
      <c r="O631">
        <v>10</v>
      </c>
      <c r="P631" t="s">
        <v>23</v>
      </c>
      <c r="Q631">
        <v>73.5</v>
      </c>
    </row>
    <row r="632" spans="1:17" x14ac:dyDescent="0.35">
      <c r="A632" s="1">
        <v>45815</v>
      </c>
      <c r="B632" t="s">
        <v>78</v>
      </c>
      <c r="C632" t="s">
        <v>41</v>
      </c>
      <c r="D632" t="s">
        <v>79</v>
      </c>
      <c r="E632" t="s">
        <v>27</v>
      </c>
      <c r="F632">
        <v>500.46</v>
      </c>
      <c r="G632">
        <v>18</v>
      </c>
      <c r="H632">
        <v>92.68</v>
      </c>
      <c r="I632">
        <v>97.88</v>
      </c>
      <c r="J632">
        <v>77.38</v>
      </c>
      <c r="K632" t="s">
        <v>28</v>
      </c>
      <c r="L632">
        <v>9.5</v>
      </c>
      <c r="M632">
        <v>2.6</v>
      </c>
      <c r="N632" t="s">
        <v>29</v>
      </c>
      <c r="O632">
        <v>13</v>
      </c>
      <c r="P632" t="s">
        <v>43</v>
      </c>
      <c r="Q632">
        <v>62.4</v>
      </c>
    </row>
    <row r="633" spans="1:17" x14ac:dyDescent="0.35">
      <c r="A633" s="1">
        <v>45815</v>
      </c>
      <c r="B633" t="s">
        <v>86</v>
      </c>
      <c r="C633" t="s">
        <v>25</v>
      </c>
      <c r="D633" t="s">
        <v>87</v>
      </c>
      <c r="E633" t="s">
        <v>27</v>
      </c>
      <c r="F633">
        <v>411.28</v>
      </c>
      <c r="G633">
        <v>20.100000000000001</v>
      </c>
      <c r="H633">
        <v>95.66</v>
      </c>
      <c r="I633">
        <v>97.81</v>
      </c>
      <c r="J633">
        <v>83.12</v>
      </c>
      <c r="K633" t="s">
        <v>47</v>
      </c>
      <c r="L633">
        <v>8.6</v>
      </c>
      <c r="M633">
        <v>4.9000000000000004</v>
      </c>
      <c r="N633" t="s">
        <v>29</v>
      </c>
      <c r="O633">
        <v>12</v>
      </c>
      <c r="P633" t="s">
        <v>30</v>
      </c>
      <c r="Q633">
        <v>60.9</v>
      </c>
    </row>
    <row r="634" spans="1:17" x14ac:dyDescent="0.35">
      <c r="A634" s="1">
        <v>45815</v>
      </c>
      <c r="B634" t="s">
        <v>76</v>
      </c>
      <c r="C634" t="s">
        <v>45</v>
      </c>
      <c r="D634" t="s">
        <v>77</v>
      </c>
      <c r="E634" t="s">
        <v>33</v>
      </c>
      <c r="F634">
        <v>841.02</v>
      </c>
      <c r="G634">
        <v>517.29999999999995</v>
      </c>
      <c r="H634">
        <v>96.25</v>
      </c>
      <c r="I634">
        <v>99.25</v>
      </c>
      <c r="J634">
        <v>70.22</v>
      </c>
      <c r="K634" t="s">
        <v>34</v>
      </c>
      <c r="L634">
        <v>8.9</v>
      </c>
      <c r="M634">
        <v>2.6</v>
      </c>
      <c r="N634" t="s">
        <v>22</v>
      </c>
      <c r="O634">
        <v>9</v>
      </c>
      <c r="P634" t="s">
        <v>23</v>
      </c>
      <c r="Q634">
        <v>64.099999999999994</v>
      </c>
    </row>
    <row r="635" spans="1:17" x14ac:dyDescent="0.35">
      <c r="A635" s="1">
        <v>45815</v>
      </c>
      <c r="B635" t="s">
        <v>74</v>
      </c>
      <c r="C635" t="s">
        <v>67</v>
      </c>
      <c r="D635" t="s">
        <v>75</v>
      </c>
      <c r="E635" t="s">
        <v>27</v>
      </c>
      <c r="F635">
        <v>428.55</v>
      </c>
      <c r="G635">
        <v>58</v>
      </c>
      <c r="H635">
        <v>96.35</v>
      </c>
      <c r="I635">
        <v>95.24</v>
      </c>
      <c r="J635">
        <v>84.13</v>
      </c>
      <c r="K635" t="s">
        <v>28</v>
      </c>
      <c r="L635">
        <v>9.3000000000000007</v>
      </c>
      <c r="M635">
        <v>3.8</v>
      </c>
      <c r="N635" t="s">
        <v>29</v>
      </c>
      <c r="O635">
        <v>11</v>
      </c>
      <c r="P635" t="s">
        <v>23</v>
      </c>
      <c r="Q635">
        <v>63.4</v>
      </c>
    </row>
    <row r="636" spans="1:17" x14ac:dyDescent="0.35">
      <c r="A636" s="1">
        <v>45815</v>
      </c>
      <c r="B636" t="s">
        <v>48</v>
      </c>
      <c r="C636" t="s">
        <v>49</v>
      </c>
      <c r="D636" t="s">
        <v>50</v>
      </c>
      <c r="E636" t="s">
        <v>27</v>
      </c>
      <c r="F636">
        <v>373.83</v>
      </c>
      <c r="G636">
        <v>68.599999999999994</v>
      </c>
      <c r="H636">
        <v>97.91</v>
      </c>
      <c r="I636">
        <v>95.61</v>
      </c>
      <c r="J636">
        <v>75.319999999999993</v>
      </c>
      <c r="K636" t="s">
        <v>34</v>
      </c>
      <c r="L636">
        <v>7.4</v>
      </c>
      <c r="M636">
        <v>2.7</v>
      </c>
      <c r="N636" t="s">
        <v>39</v>
      </c>
      <c r="O636">
        <v>10</v>
      </c>
      <c r="P636" t="s">
        <v>43</v>
      </c>
      <c r="Q636">
        <v>60</v>
      </c>
    </row>
    <row r="637" spans="1:17" x14ac:dyDescent="0.35">
      <c r="A637" s="1">
        <v>45815</v>
      </c>
      <c r="B637" t="s">
        <v>69</v>
      </c>
      <c r="C637" t="s">
        <v>18</v>
      </c>
      <c r="D637" t="s">
        <v>70</v>
      </c>
      <c r="E637" t="s">
        <v>20</v>
      </c>
      <c r="F637">
        <v>327.38</v>
      </c>
      <c r="G637">
        <v>217</v>
      </c>
      <c r="H637">
        <v>88.62</v>
      </c>
      <c r="I637">
        <v>96.92</v>
      </c>
      <c r="J637">
        <v>76.81</v>
      </c>
      <c r="K637" t="s">
        <v>58</v>
      </c>
      <c r="L637">
        <v>8</v>
      </c>
      <c r="N637" t="s">
        <v>22</v>
      </c>
      <c r="O637">
        <v>5</v>
      </c>
      <c r="P637" t="s">
        <v>23</v>
      </c>
      <c r="Q637">
        <v>72.5</v>
      </c>
    </row>
    <row r="638" spans="1:17" x14ac:dyDescent="0.35">
      <c r="A638" s="1">
        <v>45815</v>
      </c>
      <c r="B638" t="s">
        <v>59</v>
      </c>
      <c r="C638" t="s">
        <v>60</v>
      </c>
      <c r="D638" t="s">
        <v>61</v>
      </c>
      <c r="E638" t="s">
        <v>62</v>
      </c>
      <c r="F638">
        <v>439.12</v>
      </c>
      <c r="G638">
        <v>190.4</v>
      </c>
      <c r="H638">
        <v>90.05</v>
      </c>
      <c r="I638">
        <v>94.15</v>
      </c>
      <c r="J638">
        <v>89.01</v>
      </c>
      <c r="K638" t="s">
        <v>34</v>
      </c>
      <c r="L638">
        <v>9.3000000000000007</v>
      </c>
      <c r="N638" t="s">
        <v>35</v>
      </c>
      <c r="O638">
        <v>6</v>
      </c>
      <c r="P638" t="s">
        <v>23</v>
      </c>
      <c r="Q638">
        <v>77.2</v>
      </c>
    </row>
    <row r="639" spans="1:17" x14ac:dyDescent="0.35">
      <c r="A639" s="1">
        <v>45815</v>
      </c>
      <c r="B639" t="s">
        <v>59</v>
      </c>
      <c r="C639" t="s">
        <v>60</v>
      </c>
      <c r="D639" t="s">
        <v>61</v>
      </c>
      <c r="E639" t="s">
        <v>62</v>
      </c>
      <c r="F639">
        <v>357.72</v>
      </c>
      <c r="G639">
        <v>173.8</v>
      </c>
      <c r="H639">
        <v>86.86</v>
      </c>
      <c r="I639">
        <v>93.92</v>
      </c>
      <c r="J639">
        <v>90.84</v>
      </c>
      <c r="K639" t="s">
        <v>34</v>
      </c>
      <c r="L639">
        <v>7.2</v>
      </c>
      <c r="N639" t="s">
        <v>35</v>
      </c>
      <c r="O639">
        <v>3</v>
      </c>
      <c r="P639" t="s">
        <v>43</v>
      </c>
      <c r="Q639">
        <v>72.7</v>
      </c>
    </row>
    <row r="640" spans="1:17" x14ac:dyDescent="0.35">
      <c r="A640" s="1">
        <v>45815</v>
      </c>
      <c r="B640" t="s">
        <v>55</v>
      </c>
      <c r="C640" t="s">
        <v>56</v>
      </c>
      <c r="D640">
        <v>4</v>
      </c>
      <c r="E640" t="s">
        <v>57</v>
      </c>
      <c r="F640">
        <v>30</v>
      </c>
      <c r="G640">
        <v>140.6</v>
      </c>
      <c r="H640">
        <v>89.12</v>
      </c>
      <c r="I640">
        <v>95.45</v>
      </c>
      <c r="J640">
        <v>72.58</v>
      </c>
      <c r="K640" t="s">
        <v>58</v>
      </c>
      <c r="L640">
        <v>6.8</v>
      </c>
      <c r="N640" t="s">
        <v>35</v>
      </c>
      <c r="O640">
        <v>2</v>
      </c>
      <c r="P640" t="s">
        <v>23</v>
      </c>
      <c r="Q640">
        <v>68.400000000000006</v>
      </c>
    </row>
    <row r="641" spans="1:17" x14ac:dyDescent="0.35">
      <c r="A641" s="1">
        <v>45815</v>
      </c>
      <c r="B641" t="s">
        <v>40</v>
      </c>
      <c r="C641" t="s">
        <v>41</v>
      </c>
      <c r="D641" t="s">
        <v>42</v>
      </c>
      <c r="E641" t="s">
        <v>27</v>
      </c>
      <c r="F641">
        <v>369.69</v>
      </c>
      <c r="G641">
        <v>32.700000000000003</v>
      </c>
      <c r="H641">
        <v>97.93</v>
      </c>
      <c r="I641">
        <v>96.95</v>
      </c>
      <c r="J641">
        <v>83.91</v>
      </c>
      <c r="K641" t="s">
        <v>47</v>
      </c>
      <c r="L641">
        <v>7.9</v>
      </c>
      <c r="M641">
        <v>3</v>
      </c>
      <c r="N641" t="s">
        <v>29</v>
      </c>
      <c r="O641">
        <v>15</v>
      </c>
      <c r="P641" t="s">
        <v>43</v>
      </c>
      <c r="Q641">
        <v>61.6</v>
      </c>
    </row>
    <row r="642" spans="1:17" x14ac:dyDescent="0.35">
      <c r="A642" s="1">
        <v>45815</v>
      </c>
      <c r="B642" t="s">
        <v>59</v>
      </c>
      <c r="C642" t="s">
        <v>60</v>
      </c>
      <c r="D642" t="s">
        <v>61</v>
      </c>
      <c r="E642" t="s">
        <v>62</v>
      </c>
      <c r="F642">
        <v>539.64</v>
      </c>
      <c r="G642">
        <v>182.5</v>
      </c>
      <c r="H642">
        <v>86.26</v>
      </c>
      <c r="I642">
        <v>95.83</v>
      </c>
      <c r="J642">
        <v>88.55</v>
      </c>
      <c r="K642" t="s">
        <v>34</v>
      </c>
      <c r="L642">
        <v>8.1999999999999993</v>
      </c>
      <c r="N642" t="s">
        <v>35</v>
      </c>
      <c r="O642">
        <v>5</v>
      </c>
      <c r="P642" t="s">
        <v>23</v>
      </c>
      <c r="Q642">
        <v>74.5</v>
      </c>
    </row>
    <row r="643" spans="1:17" x14ac:dyDescent="0.35">
      <c r="A643" s="1">
        <v>45815</v>
      </c>
      <c r="B643" t="s">
        <v>44</v>
      </c>
      <c r="C643" t="s">
        <v>45</v>
      </c>
      <c r="D643" t="s">
        <v>46</v>
      </c>
      <c r="E643" t="s">
        <v>27</v>
      </c>
      <c r="F643">
        <v>667.77</v>
      </c>
      <c r="G643">
        <v>318.8</v>
      </c>
      <c r="H643">
        <v>94.11</v>
      </c>
      <c r="I643">
        <v>98.32</v>
      </c>
      <c r="J643">
        <v>82.48</v>
      </c>
      <c r="K643" t="s">
        <v>34</v>
      </c>
      <c r="L643">
        <v>8.9</v>
      </c>
      <c r="M643">
        <v>3</v>
      </c>
      <c r="N643" t="s">
        <v>29</v>
      </c>
      <c r="O643">
        <v>9</v>
      </c>
      <c r="P643" t="s">
        <v>23</v>
      </c>
      <c r="Q643">
        <v>65.3</v>
      </c>
    </row>
    <row r="644" spans="1:17" x14ac:dyDescent="0.35">
      <c r="A644" s="1">
        <v>45815</v>
      </c>
      <c r="B644" t="s">
        <v>40</v>
      </c>
      <c r="C644" t="s">
        <v>41</v>
      </c>
      <c r="D644" t="s">
        <v>42</v>
      </c>
      <c r="E644" t="s">
        <v>27</v>
      </c>
      <c r="F644">
        <v>311.05</v>
      </c>
      <c r="G644">
        <v>31.9</v>
      </c>
      <c r="H644">
        <v>94.04</v>
      </c>
      <c r="I644">
        <v>96.89</v>
      </c>
      <c r="J644">
        <v>75.47</v>
      </c>
      <c r="K644" t="s">
        <v>28</v>
      </c>
      <c r="L644">
        <v>7.4</v>
      </c>
      <c r="M644">
        <v>2</v>
      </c>
      <c r="N644" t="s">
        <v>39</v>
      </c>
      <c r="O644">
        <v>9</v>
      </c>
      <c r="P644" t="s">
        <v>43</v>
      </c>
      <c r="Q644">
        <v>59.4</v>
      </c>
    </row>
    <row r="645" spans="1:17" x14ac:dyDescent="0.35">
      <c r="A645" s="1">
        <v>45815</v>
      </c>
      <c r="B645" t="s">
        <v>76</v>
      </c>
      <c r="C645" t="s">
        <v>45</v>
      </c>
      <c r="D645" t="s">
        <v>77</v>
      </c>
      <c r="E645" t="s">
        <v>27</v>
      </c>
      <c r="F645">
        <v>797.08</v>
      </c>
      <c r="G645">
        <v>533.79999999999995</v>
      </c>
      <c r="H645">
        <v>93.6</v>
      </c>
      <c r="I645">
        <v>98.85</v>
      </c>
      <c r="J645">
        <v>77.31</v>
      </c>
      <c r="K645" t="s">
        <v>47</v>
      </c>
      <c r="L645">
        <v>8.3000000000000007</v>
      </c>
      <c r="M645">
        <v>1.6</v>
      </c>
      <c r="N645" t="s">
        <v>29</v>
      </c>
      <c r="O645">
        <v>15</v>
      </c>
      <c r="P645" t="s">
        <v>23</v>
      </c>
      <c r="Q645">
        <v>64.400000000000006</v>
      </c>
    </row>
    <row r="646" spans="1:17" x14ac:dyDescent="0.35">
      <c r="A646" s="1">
        <v>45815</v>
      </c>
      <c r="B646" t="s">
        <v>101</v>
      </c>
      <c r="C646" t="s">
        <v>45</v>
      </c>
      <c r="D646" t="s">
        <v>102</v>
      </c>
      <c r="E646" t="s">
        <v>27</v>
      </c>
      <c r="F646">
        <v>528.29</v>
      </c>
      <c r="G646">
        <v>978</v>
      </c>
      <c r="H646">
        <v>97.69</v>
      </c>
      <c r="I646">
        <v>98.99</v>
      </c>
      <c r="J646">
        <v>84.68</v>
      </c>
      <c r="K646" t="s">
        <v>47</v>
      </c>
      <c r="L646">
        <v>9.4</v>
      </c>
      <c r="M646">
        <v>1.6</v>
      </c>
      <c r="N646" t="s">
        <v>39</v>
      </c>
      <c r="O646">
        <v>11</v>
      </c>
      <c r="P646" t="s">
        <v>23</v>
      </c>
      <c r="Q646">
        <v>68.2</v>
      </c>
    </row>
    <row r="647" spans="1:17" x14ac:dyDescent="0.35">
      <c r="A647" s="1">
        <v>45815</v>
      </c>
      <c r="B647" t="s">
        <v>59</v>
      </c>
      <c r="C647" t="s">
        <v>60</v>
      </c>
      <c r="D647" t="s">
        <v>61</v>
      </c>
      <c r="E647" t="s">
        <v>62</v>
      </c>
      <c r="F647">
        <v>531.87</v>
      </c>
      <c r="G647">
        <v>170.2</v>
      </c>
      <c r="H647">
        <v>87.1</v>
      </c>
      <c r="I647">
        <v>94.47</v>
      </c>
      <c r="J647">
        <v>87.65</v>
      </c>
      <c r="K647" t="s">
        <v>63</v>
      </c>
      <c r="L647">
        <v>9.1</v>
      </c>
      <c r="N647" t="s">
        <v>35</v>
      </c>
      <c r="O647">
        <v>3</v>
      </c>
      <c r="P647" t="s">
        <v>23</v>
      </c>
      <c r="Q647">
        <v>76</v>
      </c>
    </row>
    <row r="648" spans="1:17" x14ac:dyDescent="0.35">
      <c r="A648" s="1">
        <v>45815</v>
      </c>
      <c r="B648" t="s">
        <v>36</v>
      </c>
      <c r="C648" t="s">
        <v>37</v>
      </c>
      <c r="D648" t="s">
        <v>38</v>
      </c>
      <c r="E648" t="s">
        <v>33</v>
      </c>
      <c r="F648">
        <v>223.13</v>
      </c>
      <c r="G648">
        <v>78.7</v>
      </c>
      <c r="H648">
        <v>94.59</v>
      </c>
      <c r="I648">
        <v>94.29</v>
      </c>
      <c r="J648">
        <v>72.5</v>
      </c>
      <c r="K648" t="s">
        <v>47</v>
      </c>
      <c r="L648">
        <v>7.3</v>
      </c>
      <c r="M648">
        <v>3.9</v>
      </c>
      <c r="N648" t="s">
        <v>22</v>
      </c>
      <c r="O648">
        <v>9</v>
      </c>
      <c r="P648" t="s">
        <v>23</v>
      </c>
      <c r="Q648">
        <v>58</v>
      </c>
    </row>
    <row r="649" spans="1:17" x14ac:dyDescent="0.35">
      <c r="A649" s="1">
        <v>45815</v>
      </c>
      <c r="B649" t="s">
        <v>59</v>
      </c>
      <c r="C649" t="s">
        <v>60</v>
      </c>
      <c r="D649" t="s">
        <v>61</v>
      </c>
      <c r="E649" t="s">
        <v>62</v>
      </c>
      <c r="F649">
        <v>444.06</v>
      </c>
      <c r="G649">
        <v>172.8</v>
      </c>
      <c r="H649">
        <v>87.5</v>
      </c>
      <c r="I649">
        <v>93.46</v>
      </c>
      <c r="J649">
        <v>89.88</v>
      </c>
      <c r="K649" t="s">
        <v>34</v>
      </c>
      <c r="L649">
        <v>8.8000000000000007</v>
      </c>
      <c r="N649" t="s">
        <v>35</v>
      </c>
      <c r="O649">
        <v>6</v>
      </c>
      <c r="P649" t="s">
        <v>23</v>
      </c>
      <c r="Q649">
        <v>75.8</v>
      </c>
    </row>
    <row r="650" spans="1:17" x14ac:dyDescent="0.35">
      <c r="A650" s="1">
        <v>45815</v>
      </c>
      <c r="B650" t="s">
        <v>82</v>
      </c>
      <c r="C650" t="s">
        <v>72</v>
      </c>
      <c r="D650" t="s">
        <v>83</v>
      </c>
      <c r="E650" t="s">
        <v>20</v>
      </c>
      <c r="F650">
        <v>212.37</v>
      </c>
      <c r="G650">
        <v>204.5</v>
      </c>
      <c r="H650">
        <v>93.46</v>
      </c>
      <c r="I650">
        <v>94.08</v>
      </c>
      <c r="J650">
        <v>79.33</v>
      </c>
      <c r="K650" t="s">
        <v>63</v>
      </c>
      <c r="L650">
        <v>8.4</v>
      </c>
      <c r="N650" t="s">
        <v>22</v>
      </c>
      <c r="O650">
        <v>7</v>
      </c>
      <c r="P650" t="s">
        <v>43</v>
      </c>
      <c r="Q650">
        <v>74.2</v>
      </c>
    </row>
    <row r="651" spans="1:17" x14ac:dyDescent="0.35">
      <c r="A651" s="1">
        <v>45815</v>
      </c>
      <c r="B651" t="s">
        <v>53</v>
      </c>
      <c r="C651" t="s">
        <v>41</v>
      </c>
      <c r="D651" t="s">
        <v>54</v>
      </c>
      <c r="E651" t="s">
        <v>27</v>
      </c>
      <c r="F651">
        <v>258.56</v>
      </c>
      <c r="G651">
        <v>61.1</v>
      </c>
      <c r="H651">
        <v>92.14</v>
      </c>
      <c r="I651">
        <v>98.39</v>
      </c>
      <c r="J651">
        <v>83.5</v>
      </c>
      <c r="K651" t="s">
        <v>34</v>
      </c>
      <c r="L651">
        <v>7.9</v>
      </c>
      <c r="M651">
        <v>4.0999999999999996</v>
      </c>
      <c r="N651" t="s">
        <v>29</v>
      </c>
      <c r="O651">
        <v>11</v>
      </c>
      <c r="P651" t="s">
        <v>43</v>
      </c>
      <c r="Q651">
        <v>60.7</v>
      </c>
    </row>
    <row r="652" spans="1:17" x14ac:dyDescent="0.35">
      <c r="A652" s="1">
        <v>45815</v>
      </c>
      <c r="B652" t="s">
        <v>59</v>
      </c>
      <c r="C652" t="s">
        <v>60</v>
      </c>
      <c r="D652" t="s">
        <v>61</v>
      </c>
      <c r="E652" t="s">
        <v>62</v>
      </c>
      <c r="F652">
        <v>324.82</v>
      </c>
      <c r="G652">
        <v>183.8</v>
      </c>
      <c r="H652">
        <v>86.41</v>
      </c>
      <c r="I652">
        <v>95.73</v>
      </c>
      <c r="J652">
        <v>87.89</v>
      </c>
      <c r="K652" t="s">
        <v>63</v>
      </c>
      <c r="L652">
        <v>8.3000000000000007</v>
      </c>
      <c r="N652" t="s">
        <v>35</v>
      </c>
      <c r="O652">
        <v>5</v>
      </c>
      <c r="P652" t="s">
        <v>43</v>
      </c>
      <c r="Q652">
        <v>74.599999999999994</v>
      </c>
    </row>
    <row r="653" spans="1:17" x14ac:dyDescent="0.35">
      <c r="A653" s="1">
        <v>45815</v>
      </c>
      <c r="B653" t="s">
        <v>48</v>
      </c>
      <c r="C653" t="s">
        <v>49</v>
      </c>
      <c r="D653" t="s">
        <v>50</v>
      </c>
      <c r="E653" t="s">
        <v>33</v>
      </c>
      <c r="F653">
        <v>249.78</v>
      </c>
      <c r="G653">
        <v>130.80000000000001</v>
      </c>
      <c r="H653">
        <v>96.93</v>
      </c>
      <c r="I653">
        <v>96.21</v>
      </c>
      <c r="J653">
        <v>76.23</v>
      </c>
      <c r="K653" t="s">
        <v>34</v>
      </c>
      <c r="L653">
        <v>7.1</v>
      </c>
      <c r="M653">
        <v>4.4000000000000004</v>
      </c>
      <c r="N653" t="s">
        <v>35</v>
      </c>
      <c r="O653">
        <v>7</v>
      </c>
      <c r="P653" t="s">
        <v>43</v>
      </c>
      <c r="Q653">
        <v>59.7</v>
      </c>
    </row>
    <row r="654" spans="1:17" x14ac:dyDescent="0.35">
      <c r="A654" s="1">
        <v>45816</v>
      </c>
      <c r="B654" t="s">
        <v>40</v>
      </c>
      <c r="C654" t="s">
        <v>41</v>
      </c>
      <c r="D654" t="s">
        <v>42</v>
      </c>
      <c r="E654" t="s">
        <v>27</v>
      </c>
      <c r="F654">
        <v>452.71</v>
      </c>
      <c r="G654">
        <v>26.4</v>
      </c>
      <c r="H654">
        <v>94.89</v>
      </c>
      <c r="I654">
        <v>98.12</v>
      </c>
      <c r="J654">
        <v>78.5</v>
      </c>
      <c r="K654" t="s">
        <v>28</v>
      </c>
      <c r="L654">
        <v>8.6</v>
      </c>
      <c r="M654">
        <v>4.2</v>
      </c>
      <c r="N654" t="s">
        <v>39</v>
      </c>
      <c r="O654">
        <v>14</v>
      </c>
      <c r="P654" t="s">
        <v>43</v>
      </c>
      <c r="Q654">
        <v>60.6</v>
      </c>
    </row>
    <row r="655" spans="1:17" x14ac:dyDescent="0.35">
      <c r="A655" s="1">
        <v>45816</v>
      </c>
      <c r="B655" t="s">
        <v>59</v>
      </c>
      <c r="C655" t="s">
        <v>60</v>
      </c>
      <c r="D655" t="s">
        <v>61</v>
      </c>
      <c r="E655" t="s">
        <v>62</v>
      </c>
      <c r="F655">
        <v>300.72000000000003</v>
      </c>
      <c r="G655">
        <v>168.8</v>
      </c>
      <c r="H655">
        <v>89.74</v>
      </c>
      <c r="I655">
        <v>96.47</v>
      </c>
      <c r="J655">
        <v>91.97</v>
      </c>
      <c r="K655" t="s">
        <v>34</v>
      </c>
      <c r="L655">
        <v>7.1</v>
      </c>
      <c r="N655" t="s">
        <v>35</v>
      </c>
      <c r="O655">
        <v>6</v>
      </c>
      <c r="P655" t="s">
        <v>23</v>
      </c>
      <c r="Q655">
        <v>73.8</v>
      </c>
    </row>
    <row r="656" spans="1:17" x14ac:dyDescent="0.35">
      <c r="A656" s="1">
        <v>45816</v>
      </c>
      <c r="B656" t="s">
        <v>101</v>
      </c>
      <c r="C656" t="s">
        <v>45</v>
      </c>
      <c r="D656" t="s">
        <v>102</v>
      </c>
      <c r="E656" t="s">
        <v>33</v>
      </c>
      <c r="F656">
        <v>429.64</v>
      </c>
      <c r="G656">
        <v>1831.6</v>
      </c>
      <c r="H656">
        <v>95.55</v>
      </c>
      <c r="I656">
        <v>98.42</v>
      </c>
      <c r="J656">
        <v>78.069999999999993</v>
      </c>
      <c r="K656" t="s">
        <v>47</v>
      </c>
      <c r="L656">
        <v>8.3000000000000007</v>
      </c>
      <c r="M656">
        <v>1.5</v>
      </c>
      <c r="N656" t="s">
        <v>35</v>
      </c>
      <c r="O656">
        <v>6</v>
      </c>
      <c r="P656" t="s">
        <v>23</v>
      </c>
      <c r="Q656">
        <v>64.8</v>
      </c>
    </row>
    <row r="657" spans="1:17" x14ac:dyDescent="0.35">
      <c r="A657" s="1">
        <v>45816</v>
      </c>
      <c r="B657" t="s">
        <v>89</v>
      </c>
      <c r="C657" t="s">
        <v>67</v>
      </c>
      <c r="D657" t="s">
        <v>90</v>
      </c>
      <c r="E657" t="s">
        <v>27</v>
      </c>
      <c r="F657">
        <v>396</v>
      </c>
      <c r="G657">
        <v>32.6</v>
      </c>
      <c r="H657">
        <v>97.62</v>
      </c>
      <c r="I657">
        <v>93.87</v>
      </c>
      <c r="J657">
        <v>78.55</v>
      </c>
      <c r="K657" t="s">
        <v>47</v>
      </c>
      <c r="L657">
        <v>8.3000000000000007</v>
      </c>
      <c r="M657">
        <v>4.8</v>
      </c>
      <c r="N657" t="s">
        <v>29</v>
      </c>
      <c r="O657">
        <v>14</v>
      </c>
      <c r="P657" t="s">
        <v>43</v>
      </c>
      <c r="Q657">
        <v>59.6</v>
      </c>
    </row>
    <row r="658" spans="1:17" x14ac:dyDescent="0.35">
      <c r="A658" s="1">
        <v>45816</v>
      </c>
      <c r="B658" t="s">
        <v>48</v>
      </c>
      <c r="C658" t="s">
        <v>49</v>
      </c>
      <c r="D658" t="s">
        <v>50</v>
      </c>
      <c r="E658" t="s">
        <v>27</v>
      </c>
      <c r="F658">
        <v>466.42</v>
      </c>
      <c r="G658">
        <v>20.3</v>
      </c>
      <c r="H658">
        <v>96.86</v>
      </c>
      <c r="I658">
        <v>94.62</v>
      </c>
      <c r="J658">
        <v>76.069999999999993</v>
      </c>
      <c r="K658" t="s">
        <v>47</v>
      </c>
      <c r="L658">
        <v>8.9</v>
      </c>
      <c r="M658">
        <v>3.5</v>
      </c>
      <c r="N658" t="s">
        <v>39</v>
      </c>
      <c r="O658">
        <v>9</v>
      </c>
      <c r="P658" t="s">
        <v>23</v>
      </c>
      <c r="Q658">
        <v>60.8</v>
      </c>
    </row>
    <row r="659" spans="1:17" x14ac:dyDescent="0.35">
      <c r="A659" s="1">
        <v>45816</v>
      </c>
      <c r="B659" t="s">
        <v>59</v>
      </c>
      <c r="C659" t="s">
        <v>60</v>
      </c>
      <c r="D659" t="s">
        <v>61</v>
      </c>
      <c r="E659" t="s">
        <v>62</v>
      </c>
      <c r="F659">
        <v>488.97</v>
      </c>
      <c r="G659">
        <v>171.2</v>
      </c>
      <c r="H659">
        <v>87.95</v>
      </c>
      <c r="I659">
        <v>95.64</v>
      </c>
      <c r="J659">
        <v>89.06</v>
      </c>
      <c r="K659" t="s">
        <v>63</v>
      </c>
      <c r="L659">
        <v>9.1</v>
      </c>
      <c r="N659" t="s">
        <v>35</v>
      </c>
      <c r="O659">
        <v>6</v>
      </c>
      <c r="P659" t="s">
        <v>43</v>
      </c>
      <c r="Q659">
        <v>76.7</v>
      </c>
    </row>
    <row r="660" spans="1:17" x14ac:dyDescent="0.35">
      <c r="A660" s="1">
        <v>45816</v>
      </c>
      <c r="B660" t="s">
        <v>99</v>
      </c>
      <c r="C660" t="s">
        <v>72</v>
      </c>
      <c r="D660" t="s">
        <v>100</v>
      </c>
      <c r="E660" t="s">
        <v>33</v>
      </c>
      <c r="F660">
        <v>221.58</v>
      </c>
      <c r="G660">
        <v>148.69999999999999</v>
      </c>
      <c r="H660">
        <v>93.81</v>
      </c>
      <c r="I660">
        <v>97</v>
      </c>
      <c r="J660">
        <v>78.53</v>
      </c>
      <c r="K660" t="s">
        <v>47</v>
      </c>
      <c r="L660">
        <v>7.4</v>
      </c>
      <c r="M660">
        <v>3.5</v>
      </c>
      <c r="N660" t="s">
        <v>35</v>
      </c>
      <c r="O660">
        <v>10</v>
      </c>
      <c r="P660" t="s">
        <v>23</v>
      </c>
      <c r="Q660">
        <v>61.2</v>
      </c>
    </row>
    <row r="661" spans="1:17" x14ac:dyDescent="0.35">
      <c r="A661" s="1">
        <v>45816</v>
      </c>
      <c r="B661" t="s">
        <v>86</v>
      </c>
      <c r="C661" t="s">
        <v>25</v>
      </c>
      <c r="D661" t="s">
        <v>87</v>
      </c>
      <c r="E661" t="s">
        <v>27</v>
      </c>
      <c r="F661">
        <v>611.28</v>
      </c>
      <c r="G661">
        <v>62.8</v>
      </c>
      <c r="H661">
        <v>92.26</v>
      </c>
      <c r="I661">
        <v>96.83</v>
      </c>
      <c r="J661">
        <v>76.31</v>
      </c>
      <c r="K661" t="s">
        <v>34</v>
      </c>
      <c r="L661">
        <v>8.1999999999999993</v>
      </c>
      <c r="M661">
        <v>3</v>
      </c>
      <c r="N661" t="s">
        <v>39</v>
      </c>
      <c r="O661">
        <v>8</v>
      </c>
      <c r="P661" t="s">
        <v>30</v>
      </c>
      <c r="Q661">
        <v>60.5</v>
      </c>
    </row>
    <row r="662" spans="1:17" x14ac:dyDescent="0.35">
      <c r="A662" s="1">
        <v>45816</v>
      </c>
      <c r="B662" t="s">
        <v>53</v>
      </c>
      <c r="C662" t="s">
        <v>41</v>
      </c>
      <c r="D662" t="s">
        <v>54</v>
      </c>
      <c r="E662" t="s">
        <v>27</v>
      </c>
      <c r="F662">
        <v>410.55</v>
      </c>
      <c r="G662">
        <v>55.1</v>
      </c>
      <c r="H662">
        <v>97.71</v>
      </c>
      <c r="I662">
        <v>97.44</v>
      </c>
      <c r="J662">
        <v>76.02</v>
      </c>
      <c r="K662" t="s">
        <v>34</v>
      </c>
      <c r="L662">
        <v>9.3000000000000007</v>
      </c>
      <c r="M662">
        <v>4.0999999999999996</v>
      </c>
      <c r="N662" t="s">
        <v>29</v>
      </c>
      <c r="O662">
        <v>15</v>
      </c>
      <c r="P662" t="s">
        <v>43</v>
      </c>
      <c r="Q662">
        <v>62.4</v>
      </c>
    </row>
    <row r="663" spans="1:17" x14ac:dyDescent="0.35">
      <c r="A663" s="1">
        <v>45816</v>
      </c>
      <c r="B663" t="s">
        <v>99</v>
      </c>
      <c r="C663" t="s">
        <v>72</v>
      </c>
      <c r="D663" t="s">
        <v>100</v>
      </c>
      <c r="E663" t="s">
        <v>33</v>
      </c>
      <c r="F663">
        <v>174.36</v>
      </c>
      <c r="G663">
        <v>72.3</v>
      </c>
      <c r="H663">
        <v>95.6</v>
      </c>
      <c r="I663">
        <v>94.59</v>
      </c>
      <c r="J663">
        <v>70.77</v>
      </c>
      <c r="K663" t="s">
        <v>47</v>
      </c>
      <c r="L663">
        <v>6.3</v>
      </c>
      <c r="M663">
        <v>2.2000000000000002</v>
      </c>
      <c r="N663" t="s">
        <v>35</v>
      </c>
      <c r="O663">
        <v>8</v>
      </c>
      <c r="P663" t="s">
        <v>43</v>
      </c>
      <c r="Q663">
        <v>57.3</v>
      </c>
    </row>
    <row r="664" spans="1:17" x14ac:dyDescent="0.35">
      <c r="A664" s="1">
        <v>45816</v>
      </c>
      <c r="B664" t="s">
        <v>89</v>
      </c>
      <c r="C664" t="s">
        <v>67</v>
      </c>
      <c r="D664" t="s">
        <v>90</v>
      </c>
      <c r="E664" t="s">
        <v>27</v>
      </c>
      <c r="F664">
        <v>599.11</v>
      </c>
      <c r="G664">
        <v>48.4</v>
      </c>
      <c r="H664">
        <v>95.89</v>
      </c>
      <c r="I664">
        <v>95.05</v>
      </c>
      <c r="J664">
        <v>76.64</v>
      </c>
      <c r="K664" t="s">
        <v>47</v>
      </c>
      <c r="L664">
        <v>8.5</v>
      </c>
      <c r="M664">
        <v>4.3</v>
      </c>
      <c r="N664" t="s">
        <v>29</v>
      </c>
      <c r="O664">
        <v>11</v>
      </c>
      <c r="P664" t="s">
        <v>43</v>
      </c>
      <c r="Q664">
        <v>60.2</v>
      </c>
    </row>
    <row r="665" spans="1:17" x14ac:dyDescent="0.35">
      <c r="A665" s="1">
        <v>45816</v>
      </c>
      <c r="B665" t="s">
        <v>82</v>
      </c>
      <c r="C665" t="s">
        <v>72</v>
      </c>
      <c r="D665" t="s">
        <v>83</v>
      </c>
      <c r="E665" t="s">
        <v>20</v>
      </c>
      <c r="F665">
        <v>53.38</v>
      </c>
      <c r="G665">
        <v>126.5</v>
      </c>
      <c r="H665">
        <v>92.45</v>
      </c>
      <c r="I665">
        <v>95.38</v>
      </c>
      <c r="J665">
        <v>73.569999999999993</v>
      </c>
      <c r="K665" t="s">
        <v>58</v>
      </c>
      <c r="L665">
        <v>7.1</v>
      </c>
      <c r="N665" t="s">
        <v>35</v>
      </c>
      <c r="O665">
        <v>6</v>
      </c>
      <c r="P665" t="s">
        <v>43</v>
      </c>
      <c r="Q665">
        <v>69.5</v>
      </c>
    </row>
    <row r="666" spans="1:17" x14ac:dyDescent="0.35">
      <c r="A666" s="1">
        <v>45816</v>
      </c>
      <c r="B666" t="s">
        <v>17</v>
      </c>
      <c r="C666" t="s">
        <v>18</v>
      </c>
      <c r="D666" t="s">
        <v>19</v>
      </c>
      <c r="E666" t="s">
        <v>20</v>
      </c>
      <c r="F666">
        <v>304.61</v>
      </c>
      <c r="G666">
        <v>99.7</v>
      </c>
      <c r="H666">
        <v>88.02</v>
      </c>
      <c r="I666">
        <v>94.56</v>
      </c>
      <c r="J666">
        <v>79.27</v>
      </c>
      <c r="K666" t="s">
        <v>63</v>
      </c>
      <c r="L666">
        <v>7.4</v>
      </c>
      <c r="N666" t="s">
        <v>35</v>
      </c>
      <c r="O666">
        <v>10</v>
      </c>
      <c r="P666" t="s">
        <v>23</v>
      </c>
      <c r="Q666">
        <v>69.5</v>
      </c>
    </row>
    <row r="667" spans="1:17" x14ac:dyDescent="0.35">
      <c r="A667" s="1">
        <v>45816</v>
      </c>
      <c r="B667" t="s">
        <v>53</v>
      </c>
      <c r="C667" t="s">
        <v>41</v>
      </c>
      <c r="D667" t="s">
        <v>54</v>
      </c>
      <c r="E667" t="s">
        <v>27</v>
      </c>
      <c r="F667">
        <v>273.82</v>
      </c>
      <c r="G667">
        <v>48.6</v>
      </c>
      <c r="H667">
        <v>95.5</v>
      </c>
      <c r="I667">
        <v>98.41</v>
      </c>
      <c r="J667">
        <v>76</v>
      </c>
      <c r="K667" t="s">
        <v>47</v>
      </c>
      <c r="L667">
        <v>7.8</v>
      </c>
      <c r="M667">
        <v>1.9</v>
      </c>
      <c r="N667" t="s">
        <v>29</v>
      </c>
      <c r="O667">
        <v>13</v>
      </c>
      <c r="P667" t="s">
        <v>43</v>
      </c>
      <c r="Q667">
        <v>61</v>
      </c>
    </row>
    <row r="668" spans="1:17" x14ac:dyDescent="0.35">
      <c r="A668" s="1">
        <v>45816</v>
      </c>
      <c r="B668" t="s">
        <v>40</v>
      </c>
      <c r="C668" t="s">
        <v>41</v>
      </c>
      <c r="D668" t="s">
        <v>42</v>
      </c>
      <c r="E668" t="s">
        <v>27</v>
      </c>
      <c r="F668">
        <v>632.44000000000005</v>
      </c>
      <c r="G668">
        <v>44.8</v>
      </c>
      <c r="H668">
        <v>92.82</v>
      </c>
      <c r="I668">
        <v>97.65</v>
      </c>
      <c r="J668">
        <v>76.5</v>
      </c>
      <c r="K668" t="s">
        <v>47</v>
      </c>
      <c r="L668">
        <v>9.4</v>
      </c>
      <c r="M668">
        <v>3.5</v>
      </c>
      <c r="N668" t="s">
        <v>39</v>
      </c>
      <c r="O668">
        <v>14</v>
      </c>
      <c r="P668" t="s">
        <v>43</v>
      </c>
      <c r="Q668">
        <v>62.1</v>
      </c>
    </row>
    <row r="669" spans="1:17" x14ac:dyDescent="0.35">
      <c r="A669" s="1">
        <v>45816</v>
      </c>
      <c r="B669" t="s">
        <v>24</v>
      </c>
      <c r="C669" t="s">
        <v>25</v>
      </c>
      <c r="D669" t="s">
        <v>26</v>
      </c>
      <c r="E669" t="s">
        <v>27</v>
      </c>
      <c r="F669">
        <v>772.07</v>
      </c>
      <c r="G669">
        <v>67.3</v>
      </c>
      <c r="H669">
        <v>93.59</v>
      </c>
      <c r="I669">
        <v>97.83</v>
      </c>
      <c r="J669">
        <v>77.66</v>
      </c>
      <c r="K669" t="s">
        <v>47</v>
      </c>
      <c r="L669">
        <v>8.1999999999999993</v>
      </c>
      <c r="M669">
        <v>3.4</v>
      </c>
      <c r="N669" t="s">
        <v>39</v>
      </c>
      <c r="O669">
        <v>13</v>
      </c>
      <c r="P669" t="s">
        <v>30</v>
      </c>
      <c r="Q669">
        <v>60.9</v>
      </c>
    </row>
    <row r="670" spans="1:17" x14ac:dyDescent="0.35">
      <c r="A670" s="1">
        <v>45816</v>
      </c>
      <c r="B670" t="s">
        <v>55</v>
      </c>
      <c r="C670" t="s">
        <v>56</v>
      </c>
      <c r="D670">
        <v>4</v>
      </c>
      <c r="E670" t="s">
        <v>57</v>
      </c>
      <c r="F670">
        <v>30</v>
      </c>
      <c r="G670">
        <v>138.9</v>
      </c>
      <c r="H670">
        <v>90.72</v>
      </c>
      <c r="I670">
        <v>96.13</v>
      </c>
      <c r="J670">
        <v>75.3</v>
      </c>
      <c r="K670" t="s">
        <v>58</v>
      </c>
      <c r="L670">
        <v>7</v>
      </c>
      <c r="N670" t="s">
        <v>35</v>
      </c>
      <c r="O670">
        <v>2</v>
      </c>
      <c r="P670" t="s">
        <v>43</v>
      </c>
      <c r="Q670">
        <v>69.7</v>
      </c>
    </row>
    <row r="671" spans="1:17" x14ac:dyDescent="0.35">
      <c r="A671" s="1">
        <v>45816</v>
      </c>
      <c r="B671" t="s">
        <v>55</v>
      </c>
      <c r="C671" t="s">
        <v>56</v>
      </c>
      <c r="D671">
        <v>4</v>
      </c>
      <c r="E671" t="s">
        <v>57</v>
      </c>
      <c r="F671">
        <v>30</v>
      </c>
      <c r="G671">
        <v>147.5</v>
      </c>
      <c r="H671">
        <v>89.15</v>
      </c>
      <c r="I671">
        <v>96.69</v>
      </c>
      <c r="J671">
        <v>78.849999999999994</v>
      </c>
      <c r="K671" t="s">
        <v>58</v>
      </c>
      <c r="L671">
        <v>6.8</v>
      </c>
      <c r="N671" t="s">
        <v>35</v>
      </c>
      <c r="O671">
        <v>3</v>
      </c>
      <c r="P671" t="s">
        <v>23</v>
      </c>
      <c r="Q671">
        <v>70</v>
      </c>
    </row>
    <row r="672" spans="1:17" x14ac:dyDescent="0.35">
      <c r="A672" s="1">
        <v>45816</v>
      </c>
      <c r="B672" t="s">
        <v>31</v>
      </c>
      <c r="C672" t="s">
        <v>18</v>
      </c>
      <c r="D672" t="s">
        <v>32</v>
      </c>
      <c r="E672" t="s">
        <v>33</v>
      </c>
      <c r="F672">
        <v>232.9</v>
      </c>
      <c r="G672">
        <v>162.6</v>
      </c>
      <c r="H672">
        <v>96.76</v>
      </c>
      <c r="I672">
        <v>95.78</v>
      </c>
      <c r="J672">
        <v>70.489999999999995</v>
      </c>
      <c r="K672" t="s">
        <v>28</v>
      </c>
      <c r="L672">
        <v>7.7</v>
      </c>
      <c r="M672">
        <v>4.2</v>
      </c>
      <c r="N672" t="s">
        <v>35</v>
      </c>
      <c r="O672">
        <v>10</v>
      </c>
      <c r="P672" t="s">
        <v>23</v>
      </c>
      <c r="Q672">
        <v>60.4</v>
      </c>
    </row>
    <row r="673" spans="1:17" x14ac:dyDescent="0.35">
      <c r="A673" s="1">
        <v>45816</v>
      </c>
      <c r="B673" t="s">
        <v>64</v>
      </c>
      <c r="C673" t="s">
        <v>25</v>
      </c>
      <c r="D673" t="s">
        <v>65</v>
      </c>
      <c r="E673" t="s">
        <v>27</v>
      </c>
      <c r="F673">
        <v>608.80999999999995</v>
      </c>
      <c r="G673">
        <v>60</v>
      </c>
      <c r="H673">
        <v>94.02</v>
      </c>
      <c r="I673">
        <v>97.23</v>
      </c>
      <c r="J673">
        <v>78.95</v>
      </c>
      <c r="K673" t="s">
        <v>34</v>
      </c>
      <c r="L673">
        <v>9.4</v>
      </c>
      <c r="M673">
        <v>4.0999999999999996</v>
      </c>
      <c r="N673" t="s">
        <v>39</v>
      </c>
      <c r="O673">
        <v>9</v>
      </c>
      <c r="P673" t="s">
        <v>30</v>
      </c>
      <c r="Q673">
        <v>62.5</v>
      </c>
    </row>
    <row r="674" spans="1:17" x14ac:dyDescent="0.35">
      <c r="A674" s="1">
        <v>45816</v>
      </c>
      <c r="B674" t="s">
        <v>97</v>
      </c>
      <c r="C674" t="s">
        <v>72</v>
      </c>
      <c r="D674" t="s">
        <v>98</v>
      </c>
      <c r="E674" t="s">
        <v>33</v>
      </c>
      <c r="F674">
        <v>126.53</v>
      </c>
      <c r="G674">
        <v>100.6</v>
      </c>
      <c r="H674">
        <v>95.46</v>
      </c>
      <c r="I674">
        <v>95.92</v>
      </c>
      <c r="J674">
        <v>75.53</v>
      </c>
      <c r="K674" t="s">
        <v>47</v>
      </c>
      <c r="L674">
        <v>7.3</v>
      </c>
      <c r="M674">
        <v>1.7</v>
      </c>
      <c r="N674" t="s">
        <v>35</v>
      </c>
      <c r="O674">
        <v>8</v>
      </c>
      <c r="P674" t="s">
        <v>23</v>
      </c>
      <c r="Q674">
        <v>60.8</v>
      </c>
    </row>
    <row r="675" spans="1:17" x14ac:dyDescent="0.35">
      <c r="A675" s="1">
        <v>45816</v>
      </c>
      <c r="B675" t="s">
        <v>55</v>
      </c>
      <c r="C675" t="s">
        <v>56</v>
      </c>
      <c r="D675">
        <v>4</v>
      </c>
      <c r="E675" t="s">
        <v>57</v>
      </c>
      <c r="F675">
        <v>30</v>
      </c>
      <c r="G675">
        <v>132</v>
      </c>
      <c r="H675">
        <v>91.91</v>
      </c>
      <c r="I675">
        <v>95.34</v>
      </c>
      <c r="J675">
        <v>70.59</v>
      </c>
      <c r="K675" t="s">
        <v>58</v>
      </c>
      <c r="L675">
        <v>7.3</v>
      </c>
      <c r="N675" t="s">
        <v>35</v>
      </c>
      <c r="O675">
        <v>4</v>
      </c>
      <c r="P675" t="s">
        <v>23</v>
      </c>
      <c r="Q675">
        <v>69.3</v>
      </c>
    </row>
    <row r="676" spans="1:17" x14ac:dyDescent="0.35">
      <c r="A676" s="1">
        <v>45816</v>
      </c>
      <c r="B676" t="s">
        <v>59</v>
      </c>
      <c r="C676" t="s">
        <v>60</v>
      </c>
      <c r="D676" t="s">
        <v>61</v>
      </c>
      <c r="E676" t="s">
        <v>62</v>
      </c>
      <c r="F676">
        <v>525.91999999999996</v>
      </c>
      <c r="G676">
        <v>180.8</v>
      </c>
      <c r="H676">
        <v>86.71</v>
      </c>
      <c r="I676">
        <v>93.07</v>
      </c>
      <c r="J676">
        <v>88.48</v>
      </c>
      <c r="K676" t="s">
        <v>34</v>
      </c>
      <c r="L676">
        <v>9.4</v>
      </c>
      <c r="N676" t="s">
        <v>35</v>
      </c>
      <c r="O676">
        <v>3</v>
      </c>
      <c r="P676" t="s">
        <v>23</v>
      </c>
      <c r="Q676">
        <v>76.5</v>
      </c>
    </row>
    <row r="677" spans="1:17" x14ac:dyDescent="0.35">
      <c r="A677" s="1">
        <v>45816</v>
      </c>
      <c r="B677" t="s">
        <v>97</v>
      </c>
      <c r="C677" t="s">
        <v>72</v>
      </c>
      <c r="D677" t="s">
        <v>98</v>
      </c>
      <c r="E677" t="s">
        <v>33</v>
      </c>
      <c r="F677">
        <v>170.98</v>
      </c>
      <c r="G677">
        <v>222.7</v>
      </c>
      <c r="H677">
        <v>97.76</v>
      </c>
      <c r="I677">
        <v>94.48</v>
      </c>
      <c r="J677">
        <v>72.459999999999994</v>
      </c>
      <c r="K677" t="s">
        <v>28</v>
      </c>
      <c r="L677">
        <v>7</v>
      </c>
      <c r="M677">
        <v>3.7</v>
      </c>
      <c r="N677" t="s">
        <v>35</v>
      </c>
      <c r="O677">
        <v>7</v>
      </c>
      <c r="P677" t="s">
        <v>43</v>
      </c>
      <c r="Q677">
        <v>60</v>
      </c>
    </row>
    <row r="678" spans="1:17" x14ac:dyDescent="0.35">
      <c r="A678" s="1">
        <v>45816</v>
      </c>
      <c r="B678" t="s">
        <v>55</v>
      </c>
      <c r="C678" t="s">
        <v>56</v>
      </c>
      <c r="D678">
        <v>4</v>
      </c>
      <c r="E678" t="s">
        <v>57</v>
      </c>
      <c r="F678">
        <v>30</v>
      </c>
      <c r="G678">
        <v>152</v>
      </c>
      <c r="H678">
        <v>87.37</v>
      </c>
      <c r="I678">
        <v>95.24</v>
      </c>
      <c r="J678">
        <v>76.989999999999995</v>
      </c>
      <c r="K678" t="s">
        <v>21</v>
      </c>
      <c r="L678">
        <v>7.9</v>
      </c>
      <c r="N678" t="s">
        <v>35</v>
      </c>
      <c r="O678">
        <v>3</v>
      </c>
      <c r="P678" t="s">
        <v>23</v>
      </c>
      <c r="Q678">
        <v>71.3</v>
      </c>
    </row>
    <row r="679" spans="1:17" x14ac:dyDescent="0.35">
      <c r="A679" s="1">
        <v>45816</v>
      </c>
      <c r="B679" t="s">
        <v>93</v>
      </c>
      <c r="C679" t="s">
        <v>37</v>
      </c>
      <c r="D679" t="s">
        <v>94</v>
      </c>
      <c r="E679" t="s">
        <v>27</v>
      </c>
      <c r="F679">
        <v>271.33</v>
      </c>
      <c r="G679">
        <v>22.9</v>
      </c>
      <c r="H679">
        <v>96.07</v>
      </c>
      <c r="I679">
        <v>94.97</v>
      </c>
      <c r="J679">
        <v>76.349999999999994</v>
      </c>
      <c r="K679" t="s">
        <v>28</v>
      </c>
      <c r="L679">
        <v>7.5</v>
      </c>
      <c r="M679">
        <v>2.2999999999999998</v>
      </c>
      <c r="N679" t="s">
        <v>39</v>
      </c>
      <c r="O679">
        <v>8</v>
      </c>
      <c r="P679" t="s">
        <v>23</v>
      </c>
      <c r="Q679">
        <v>59.3</v>
      </c>
    </row>
    <row r="680" spans="1:17" x14ac:dyDescent="0.35">
      <c r="A680" s="1">
        <v>45816</v>
      </c>
      <c r="B680" t="s">
        <v>91</v>
      </c>
      <c r="C680" t="s">
        <v>67</v>
      </c>
      <c r="D680" t="s">
        <v>92</v>
      </c>
      <c r="E680" t="s">
        <v>27</v>
      </c>
      <c r="F680">
        <v>783.94</v>
      </c>
      <c r="G680">
        <v>59.2</v>
      </c>
      <c r="H680">
        <v>94.65</v>
      </c>
      <c r="I680">
        <v>96.7</v>
      </c>
      <c r="J680">
        <v>84.4</v>
      </c>
      <c r="K680" t="s">
        <v>28</v>
      </c>
      <c r="L680">
        <v>8.6999999999999993</v>
      </c>
      <c r="M680">
        <v>2.8</v>
      </c>
      <c r="N680" t="s">
        <v>29</v>
      </c>
      <c r="O680">
        <v>14</v>
      </c>
      <c r="P680" t="s">
        <v>43</v>
      </c>
      <c r="Q680">
        <v>63.1</v>
      </c>
    </row>
    <row r="681" spans="1:17" x14ac:dyDescent="0.35">
      <c r="A681" s="1">
        <v>45816</v>
      </c>
      <c r="B681" t="s">
        <v>55</v>
      </c>
      <c r="C681" t="s">
        <v>56</v>
      </c>
      <c r="D681">
        <v>4</v>
      </c>
      <c r="E681" t="s">
        <v>57</v>
      </c>
      <c r="F681">
        <v>30</v>
      </c>
      <c r="G681">
        <v>140.4</v>
      </c>
      <c r="H681">
        <v>91.88</v>
      </c>
      <c r="I681">
        <v>96.91</v>
      </c>
      <c r="J681">
        <v>76.23</v>
      </c>
      <c r="K681" t="s">
        <v>58</v>
      </c>
      <c r="L681">
        <v>6.1</v>
      </c>
      <c r="N681" t="s">
        <v>35</v>
      </c>
      <c r="O681">
        <v>5</v>
      </c>
      <c r="P681" t="s">
        <v>43</v>
      </c>
      <c r="Q681">
        <v>68.5</v>
      </c>
    </row>
    <row r="682" spans="1:17" x14ac:dyDescent="0.35">
      <c r="A682" s="1">
        <v>45816</v>
      </c>
      <c r="B682" t="s">
        <v>24</v>
      </c>
      <c r="C682" t="s">
        <v>25</v>
      </c>
      <c r="D682" t="s">
        <v>26</v>
      </c>
      <c r="E682" t="s">
        <v>27</v>
      </c>
      <c r="F682">
        <v>436.16</v>
      </c>
      <c r="G682">
        <v>25.1</v>
      </c>
      <c r="H682">
        <v>97.46</v>
      </c>
      <c r="I682">
        <v>96.82</v>
      </c>
      <c r="J682">
        <v>79.16</v>
      </c>
      <c r="K682" t="s">
        <v>47</v>
      </c>
      <c r="L682">
        <v>8.1999999999999993</v>
      </c>
      <c r="M682">
        <v>3.4</v>
      </c>
      <c r="N682" t="s">
        <v>39</v>
      </c>
      <c r="O682">
        <v>12</v>
      </c>
      <c r="P682" t="s">
        <v>30</v>
      </c>
      <c r="Q682">
        <v>60.8</v>
      </c>
    </row>
    <row r="683" spans="1:17" x14ac:dyDescent="0.35">
      <c r="A683" s="1">
        <v>45816</v>
      </c>
      <c r="B683" t="s">
        <v>86</v>
      </c>
      <c r="C683" t="s">
        <v>25</v>
      </c>
      <c r="D683" t="s">
        <v>87</v>
      </c>
      <c r="E683" t="s">
        <v>27</v>
      </c>
      <c r="F683">
        <v>332.72</v>
      </c>
      <c r="G683">
        <v>28</v>
      </c>
      <c r="H683">
        <v>94.59</v>
      </c>
      <c r="I683">
        <v>96.13</v>
      </c>
      <c r="J683">
        <v>78.05</v>
      </c>
      <c r="K683" t="s">
        <v>28</v>
      </c>
      <c r="L683">
        <v>8.1</v>
      </c>
      <c r="M683">
        <v>4.8</v>
      </c>
      <c r="N683" t="s">
        <v>39</v>
      </c>
      <c r="O683">
        <v>13</v>
      </c>
      <c r="P683" t="s">
        <v>30</v>
      </c>
      <c r="Q683">
        <v>59</v>
      </c>
    </row>
    <row r="684" spans="1:17" x14ac:dyDescent="0.35">
      <c r="A684" s="1">
        <v>45816</v>
      </c>
      <c r="B684" t="s">
        <v>86</v>
      </c>
      <c r="C684" t="s">
        <v>25</v>
      </c>
      <c r="D684" t="s">
        <v>87</v>
      </c>
      <c r="E684" t="s">
        <v>27</v>
      </c>
      <c r="F684">
        <v>750.45</v>
      </c>
      <c r="G684">
        <v>26.4</v>
      </c>
      <c r="H684">
        <v>96.34</v>
      </c>
      <c r="I684">
        <v>96.88</v>
      </c>
      <c r="J684">
        <v>77.38</v>
      </c>
      <c r="K684" t="s">
        <v>28</v>
      </c>
      <c r="L684">
        <v>8.1999999999999993</v>
      </c>
      <c r="M684">
        <v>3.5</v>
      </c>
      <c r="N684" t="s">
        <v>39</v>
      </c>
      <c r="O684">
        <v>12</v>
      </c>
      <c r="P684" t="s">
        <v>30</v>
      </c>
      <c r="Q684">
        <v>60.3</v>
      </c>
    </row>
    <row r="685" spans="1:17" x14ac:dyDescent="0.35">
      <c r="A685" s="1">
        <v>45816</v>
      </c>
      <c r="B685" t="s">
        <v>59</v>
      </c>
      <c r="C685" t="s">
        <v>60</v>
      </c>
      <c r="D685" t="s">
        <v>61</v>
      </c>
      <c r="E685" t="s">
        <v>62</v>
      </c>
      <c r="F685">
        <v>427.12</v>
      </c>
      <c r="G685">
        <v>183</v>
      </c>
      <c r="H685">
        <v>87.2</v>
      </c>
      <c r="I685">
        <v>93.33</v>
      </c>
      <c r="J685">
        <v>87.89</v>
      </c>
      <c r="K685" t="s">
        <v>34</v>
      </c>
      <c r="L685">
        <v>8.4</v>
      </c>
      <c r="N685" t="s">
        <v>35</v>
      </c>
      <c r="O685">
        <v>3</v>
      </c>
      <c r="P685" t="s">
        <v>43</v>
      </c>
      <c r="Q685">
        <v>74.5</v>
      </c>
    </row>
    <row r="686" spans="1:17" x14ac:dyDescent="0.35">
      <c r="A686" s="1">
        <v>45816</v>
      </c>
      <c r="B686" t="s">
        <v>78</v>
      </c>
      <c r="C686" t="s">
        <v>41</v>
      </c>
      <c r="D686" t="s">
        <v>79</v>
      </c>
      <c r="E686" t="s">
        <v>27</v>
      </c>
      <c r="F686">
        <v>302.61</v>
      </c>
      <c r="G686">
        <v>61.5</v>
      </c>
      <c r="H686">
        <v>96.42</v>
      </c>
      <c r="I686">
        <v>97.03</v>
      </c>
      <c r="J686">
        <v>77.3</v>
      </c>
      <c r="K686" t="s">
        <v>34</v>
      </c>
      <c r="L686">
        <v>7.6</v>
      </c>
      <c r="M686">
        <v>4.2</v>
      </c>
      <c r="N686" t="s">
        <v>29</v>
      </c>
      <c r="O686">
        <v>10</v>
      </c>
      <c r="P686" t="s">
        <v>43</v>
      </c>
      <c r="Q686">
        <v>59.5</v>
      </c>
    </row>
    <row r="687" spans="1:17" x14ac:dyDescent="0.35">
      <c r="A687" s="1">
        <v>45816</v>
      </c>
      <c r="B687" t="s">
        <v>36</v>
      </c>
      <c r="C687" t="s">
        <v>37</v>
      </c>
      <c r="D687" t="s">
        <v>38</v>
      </c>
      <c r="E687" t="s">
        <v>27</v>
      </c>
      <c r="F687">
        <v>352.31</v>
      </c>
      <c r="G687">
        <v>30.8</v>
      </c>
      <c r="H687">
        <v>93.95</v>
      </c>
      <c r="I687">
        <v>94.49</v>
      </c>
      <c r="J687">
        <v>83.23</v>
      </c>
      <c r="K687" t="s">
        <v>34</v>
      </c>
      <c r="L687">
        <v>7.1</v>
      </c>
      <c r="M687">
        <v>3</v>
      </c>
      <c r="N687" t="s">
        <v>29</v>
      </c>
      <c r="O687">
        <v>8</v>
      </c>
      <c r="P687" t="s">
        <v>23</v>
      </c>
      <c r="Q687">
        <v>59.1</v>
      </c>
    </row>
    <row r="688" spans="1:17" x14ac:dyDescent="0.35">
      <c r="A688" s="1">
        <v>45816</v>
      </c>
      <c r="B688" t="s">
        <v>59</v>
      </c>
      <c r="C688" t="s">
        <v>60</v>
      </c>
      <c r="D688" t="s">
        <v>61</v>
      </c>
      <c r="E688" t="s">
        <v>62</v>
      </c>
      <c r="F688">
        <v>361.26</v>
      </c>
      <c r="G688">
        <v>177.3</v>
      </c>
      <c r="H688">
        <v>90.21</v>
      </c>
      <c r="I688">
        <v>95.62</v>
      </c>
      <c r="J688">
        <v>86.24</v>
      </c>
      <c r="K688" t="s">
        <v>34</v>
      </c>
      <c r="L688">
        <v>7.1</v>
      </c>
      <c r="N688" t="s">
        <v>35</v>
      </c>
      <c r="O688">
        <v>4</v>
      </c>
      <c r="P688" t="s">
        <v>43</v>
      </c>
      <c r="Q688">
        <v>72.599999999999994</v>
      </c>
    </row>
    <row r="689" spans="1:17" x14ac:dyDescent="0.35">
      <c r="A689" s="1">
        <v>45816</v>
      </c>
      <c r="B689" t="s">
        <v>59</v>
      </c>
      <c r="C689" t="s">
        <v>60</v>
      </c>
      <c r="D689" t="s">
        <v>61</v>
      </c>
      <c r="E689" t="s">
        <v>62</v>
      </c>
      <c r="F689">
        <v>317.72000000000003</v>
      </c>
      <c r="G689">
        <v>181.1</v>
      </c>
      <c r="H689">
        <v>87.4</v>
      </c>
      <c r="I689">
        <v>95.9</v>
      </c>
      <c r="J689">
        <v>91.93</v>
      </c>
      <c r="K689" t="s">
        <v>63</v>
      </c>
      <c r="L689">
        <v>7.8</v>
      </c>
      <c r="N689" t="s">
        <v>35</v>
      </c>
      <c r="O689">
        <v>4</v>
      </c>
      <c r="P689" t="s">
        <v>43</v>
      </c>
      <c r="Q689">
        <v>74.599999999999994</v>
      </c>
    </row>
    <row r="690" spans="1:17" x14ac:dyDescent="0.35">
      <c r="A690" s="1">
        <v>45816</v>
      </c>
      <c r="B690" t="s">
        <v>48</v>
      </c>
      <c r="C690" t="s">
        <v>49</v>
      </c>
      <c r="D690" t="s">
        <v>50</v>
      </c>
      <c r="E690" t="s">
        <v>33</v>
      </c>
      <c r="F690">
        <v>359.37</v>
      </c>
      <c r="G690">
        <v>125</v>
      </c>
      <c r="H690">
        <v>93.69</v>
      </c>
      <c r="I690">
        <v>96.83</v>
      </c>
      <c r="J690">
        <v>79.28</v>
      </c>
      <c r="K690" t="s">
        <v>34</v>
      </c>
      <c r="L690">
        <v>7.3</v>
      </c>
      <c r="M690">
        <v>3.2</v>
      </c>
      <c r="N690" t="s">
        <v>22</v>
      </c>
      <c r="O690">
        <v>5</v>
      </c>
      <c r="P690" t="s">
        <v>43</v>
      </c>
      <c r="Q690">
        <v>60.8</v>
      </c>
    </row>
    <row r="691" spans="1:17" x14ac:dyDescent="0.35">
      <c r="A691" s="1">
        <v>45816</v>
      </c>
      <c r="B691" t="s">
        <v>40</v>
      </c>
      <c r="C691" t="s">
        <v>41</v>
      </c>
      <c r="D691" t="s">
        <v>42</v>
      </c>
      <c r="E691" t="s">
        <v>27</v>
      </c>
      <c r="F691">
        <v>370.9</v>
      </c>
      <c r="G691">
        <v>47.2</v>
      </c>
      <c r="H691">
        <v>97.82</v>
      </c>
      <c r="I691">
        <v>97.47</v>
      </c>
      <c r="J691">
        <v>80.540000000000006</v>
      </c>
      <c r="K691" t="s">
        <v>34</v>
      </c>
      <c r="L691">
        <v>8.1999999999999993</v>
      </c>
      <c r="M691">
        <v>3</v>
      </c>
      <c r="N691" t="s">
        <v>39</v>
      </c>
      <c r="O691">
        <v>15</v>
      </c>
      <c r="P691" t="s">
        <v>43</v>
      </c>
      <c r="Q691">
        <v>61.9</v>
      </c>
    </row>
    <row r="692" spans="1:17" x14ac:dyDescent="0.35">
      <c r="A692" s="1">
        <v>45816</v>
      </c>
      <c r="B692" t="s">
        <v>44</v>
      </c>
      <c r="C692" t="s">
        <v>45</v>
      </c>
      <c r="D692" t="s">
        <v>46</v>
      </c>
      <c r="E692" t="s">
        <v>27</v>
      </c>
      <c r="F692">
        <v>586.66</v>
      </c>
      <c r="G692">
        <v>494.1</v>
      </c>
      <c r="H692">
        <v>94.33</v>
      </c>
      <c r="I692">
        <v>98.63</v>
      </c>
      <c r="J692">
        <v>76.27</v>
      </c>
      <c r="K692" t="s">
        <v>28</v>
      </c>
      <c r="L692">
        <v>8.8000000000000007</v>
      </c>
      <c r="M692">
        <v>4</v>
      </c>
      <c r="N692" t="s">
        <v>29</v>
      </c>
      <c r="O692">
        <v>13</v>
      </c>
      <c r="P692" t="s">
        <v>23</v>
      </c>
      <c r="Q692">
        <v>63.5</v>
      </c>
    </row>
    <row r="693" spans="1:17" x14ac:dyDescent="0.35">
      <c r="A693" s="1">
        <v>45816</v>
      </c>
      <c r="B693" t="s">
        <v>51</v>
      </c>
      <c r="C693" t="s">
        <v>45</v>
      </c>
      <c r="D693" t="s">
        <v>52</v>
      </c>
      <c r="E693" t="s">
        <v>33</v>
      </c>
      <c r="F693">
        <v>989.48</v>
      </c>
      <c r="G693">
        <v>601.70000000000005</v>
      </c>
      <c r="H693">
        <v>97.55</v>
      </c>
      <c r="I693">
        <v>99</v>
      </c>
      <c r="J693">
        <v>71.41</v>
      </c>
      <c r="K693" t="s">
        <v>88</v>
      </c>
      <c r="L693">
        <v>8.8000000000000007</v>
      </c>
      <c r="M693">
        <v>3.3</v>
      </c>
      <c r="N693" t="s">
        <v>35</v>
      </c>
      <c r="O693">
        <v>9</v>
      </c>
      <c r="P693" t="s">
        <v>23</v>
      </c>
      <c r="Q693">
        <v>63.8</v>
      </c>
    </row>
    <row r="694" spans="1:17" x14ac:dyDescent="0.35">
      <c r="A694" s="1">
        <v>45816</v>
      </c>
      <c r="B694" t="s">
        <v>55</v>
      </c>
      <c r="C694" t="s">
        <v>56</v>
      </c>
      <c r="D694">
        <v>4</v>
      </c>
      <c r="E694" t="s">
        <v>57</v>
      </c>
      <c r="F694">
        <v>30</v>
      </c>
      <c r="G694">
        <v>152.6</v>
      </c>
      <c r="H694">
        <v>91.42</v>
      </c>
      <c r="I694">
        <v>95.19</v>
      </c>
      <c r="J694">
        <v>78.31</v>
      </c>
      <c r="K694" t="s">
        <v>58</v>
      </c>
      <c r="L694">
        <v>7</v>
      </c>
      <c r="N694" t="s">
        <v>35</v>
      </c>
      <c r="O694">
        <v>4</v>
      </c>
      <c r="P694" t="s">
        <v>43</v>
      </c>
      <c r="Q694">
        <v>70.599999999999994</v>
      </c>
    </row>
    <row r="695" spans="1:17" x14ac:dyDescent="0.35">
      <c r="A695" s="1">
        <v>45816</v>
      </c>
      <c r="B695" t="s">
        <v>24</v>
      </c>
      <c r="C695" t="s">
        <v>25</v>
      </c>
      <c r="D695" t="s">
        <v>26</v>
      </c>
      <c r="E695" t="s">
        <v>27</v>
      </c>
      <c r="F695">
        <v>491.17</v>
      </c>
      <c r="G695">
        <v>71.900000000000006</v>
      </c>
      <c r="H695">
        <v>96.87</v>
      </c>
      <c r="I695">
        <v>96.36</v>
      </c>
      <c r="J695">
        <v>75</v>
      </c>
      <c r="K695" t="s">
        <v>34</v>
      </c>
      <c r="L695">
        <v>9.1</v>
      </c>
      <c r="M695">
        <v>4.9000000000000004</v>
      </c>
      <c r="N695" t="s">
        <v>29</v>
      </c>
      <c r="O695">
        <v>11</v>
      </c>
      <c r="P695" t="s">
        <v>30</v>
      </c>
      <c r="Q695">
        <v>61.4</v>
      </c>
    </row>
    <row r="696" spans="1:17" x14ac:dyDescent="0.35">
      <c r="A696" s="1">
        <v>45816</v>
      </c>
      <c r="B696" t="s">
        <v>95</v>
      </c>
      <c r="C696" t="s">
        <v>49</v>
      </c>
      <c r="D696" t="s">
        <v>96</v>
      </c>
      <c r="E696" t="s">
        <v>27</v>
      </c>
      <c r="F696">
        <v>337.06</v>
      </c>
      <c r="G696">
        <v>36.700000000000003</v>
      </c>
      <c r="H696">
        <v>97.23</v>
      </c>
      <c r="I696">
        <v>96.82</v>
      </c>
      <c r="J696">
        <v>83.72</v>
      </c>
      <c r="K696" t="s">
        <v>28</v>
      </c>
      <c r="L696">
        <v>8.3000000000000007</v>
      </c>
      <c r="M696">
        <v>4.5</v>
      </c>
      <c r="N696" t="s">
        <v>29</v>
      </c>
      <c r="O696">
        <v>10</v>
      </c>
      <c r="P696" t="s">
        <v>43</v>
      </c>
      <c r="Q696">
        <v>61.2</v>
      </c>
    </row>
    <row r="697" spans="1:17" x14ac:dyDescent="0.35">
      <c r="A697" s="1">
        <v>45816</v>
      </c>
      <c r="B697" t="s">
        <v>59</v>
      </c>
      <c r="C697" t="s">
        <v>60</v>
      </c>
      <c r="D697" t="s">
        <v>61</v>
      </c>
      <c r="E697" t="s">
        <v>62</v>
      </c>
      <c r="F697">
        <v>400.86</v>
      </c>
      <c r="G697">
        <v>173.1</v>
      </c>
      <c r="H697">
        <v>89.52</v>
      </c>
      <c r="I697">
        <v>95.46</v>
      </c>
      <c r="J697">
        <v>85.87</v>
      </c>
      <c r="K697" t="s">
        <v>63</v>
      </c>
      <c r="L697">
        <v>9</v>
      </c>
      <c r="N697" t="s">
        <v>35</v>
      </c>
      <c r="O697">
        <v>6</v>
      </c>
      <c r="P697" t="s">
        <v>43</v>
      </c>
      <c r="Q697">
        <v>76.2</v>
      </c>
    </row>
    <row r="698" spans="1:17" x14ac:dyDescent="0.35">
      <c r="A698" s="1">
        <v>45816</v>
      </c>
      <c r="B698" t="s">
        <v>36</v>
      </c>
      <c r="C698" t="s">
        <v>37</v>
      </c>
      <c r="D698" t="s">
        <v>38</v>
      </c>
      <c r="E698" t="s">
        <v>33</v>
      </c>
      <c r="F698">
        <v>392</v>
      </c>
      <c r="G698">
        <v>77.2</v>
      </c>
      <c r="H698">
        <v>97.99</v>
      </c>
      <c r="I698">
        <v>96.39</v>
      </c>
      <c r="J698">
        <v>74.260000000000005</v>
      </c>
      <c r="K698" t="s">
        <v>47</v>
      </c>
      <c r="L698">
        <v>7.7</v>
      </c>
      <c r="M698">
        <v>4.7</v>
      </c>
      <c r="N698" t="s">
        <v>35</v>
      </c>
      <c r="O698">
        <v>5</v>
      </c>
      <c r="P698" t="s">
        <v>23</v>
      </c>
      <c r="Q698">
        <v>59.3</v>
      </c>
    </row>
    <row r="699" spans="1:17" x14ac:dyDescent="0.35">
      <c r="A699" s="1">
        <v>45816</v>
      </c>
      <c r="B699" t="s">
        <v>36</v>
      </c>
      <c r="C699" t="s">
        <v>37</v>
      </c>
      <c r="D699" t="s">
        <v>38</v>
      </c>
      <c r="E699" t="s">
        <v>33</v>
      </c>
      <c r="F699">
        <v>423.9</v>
      </c>
      <c r="G699">
        <v>78.8</v>
      </c>
      <c r="H699">
        <v>93.45</v>
      </c>
      <c r="I699">
        <v>96.59</v>
      </c>
      <c r="J699">
        <v>70.05</v>
      </c>
      <c r="K699" t="s">
        <v>28</v>
      </c>
      <c r="L699">
        <v>9.5</v>
      </c>
      <c r="M699">
        <v>4.2</v>
      </c>
      <c r="N699" t="s">
        <v>35</v>
      </c>
      <c r="O699">
        <v>6</v>
      </c>
      <c r="P699" t="s">
        <v>23</v>
      </c>
      <c r="Q699">
        <v>61.3</v>
      </c>
    </row>
    <row r="700" spans="1:17" x14ac:dyDescent="0.35">
      <c r="A700" s="1">
        <v>45816</v>
      </c>
      <c r="B700" t="s">
        <v>40</v>
      </c>
      <c r="C700" t="s">
        <v>41</v>
      </c>
      <c r="D700" t="s">
        <v>42</v>
      </c>
      <c r="E700" t="s">
        <v>27</v>
      </c>
      <c r="F700">
        <v>641.39</v>
      </c>
      <c r="G700">
        <v>58.5</v>
      </c>
      <c r="H700">
        <v>96.61</v>
      </c>
      <c r="I700">
        <v>96.85</v>
      </c>
      <c r="J700">
        <v>77.94</v>
      </c>
      <c r="K700" t="s">
        <v>47</v>
      </c>
      <c r="L700">
        <v>8.6999999999999993</v>
      </c>
      <c r="M700">
        <v>4.8</v>
      </c>
      <c r="N700" t="s">
        <v>39</v>
      </c>
      <c r="O700">
        <v>12</v>
      </c>
      <c r="P700" t="s">
        <v>43</v>
      </c>
      <c r="Q700">
        <v>61</v>
      </c>
    </row>
    <row r="701" spans="1:17" x14ac:dyDescent="0.35">
      <c r="A701" s="1">
        <v>45816</v>
      </c>
      <c r="B701" t="s">
        <v>101</v>
      </c>
      <c r="C701" t="s">
        <v>45</v>
      </c>
      <c r="D701" t="s">
        <v>102</v>
      </c>
      <c r="E701" t="s">
        <v>33</v>
      </c>
      <c r="F701">
        <v>429.75</v>
      </c>
      <c r="G701">
        <v>1883</v>
      </c>
      <c r="H701">
        <v>97.04</v>
      </c>
      <c r="I701">
        <v>99.46</v>
      </c>
      <c r="J701">
        <v>71.11</v>
      </c>
      <c r="K701" t="s">
        <v>47</v>
      </c>
      <c r="L701">
        <v>8.5</v>
      </c>
      <c r="M701">
        <v>3.7</v>
      </c>
      <c r="N701" t="s">
        <v>35</v>
      </c>
      <c r="O701">
        <v>6</v>
      </c>
      <c r="P701" t="s">
        <v>23</v>
      </c>
      <c r="Q701">
        <v>63</v>
      </c>
    </row>
    <row r="702" spans="1:17" x14ac:dyDescent="0.35">
      <c r="A702" s="1">
        <v>45816</v>
      </c>
      <c r="B702" t="s">
        <v>66</v>
      </c>
      <c r="C702" t="s">
        <v>67</v>
      </c>
      <c r="D702" t="s">
        <v>68</v>
      </c>
      <c r="E702" t="s">
        <v>27</v>
      </c>
      <c r="F702">
        <v>660.12</v>
      </c>
      <c r="G702">
        <v>34.9</v>
      </c>
      <c r="H702">
        <v>96.43</v>
      </c>
      <c r="I702">
        <v>93.38</v>
      </c>
      <c r="J702">
        <v>82.58</v>
      </c>
      <c r="K702" t="s">
        <v>47</v>
      </c>
      <c r="L702">
        <v>8</v>
      </c>
      <c r="M702">
        <v>2</v>
      </c>
      <c r="N702" t="s">
        <v>39</v>
      </c>
      <c r="O702">
        <v>13</v>
      </c>
      <c r="P702" t="s">
        <v>23</v>
      </c>
      <c r="Q702">
        <v>61.4</v>
      </c>
    </row>
    <row r="703" spans="1:17" x14ac:dyDescent="0.35">
      <c r="A703" s="1">
        <v>45816</v>
      </c>
      <c r="B703" t="s">
        <v>53</v>
      </c>
      <c r="C703" t="s">
        <v>41</v>
      </c>
      <c r="D703" t="s">
        <v>54</v>
      </c>
      <c r="E703" t="s">
        <v>27</v>
      </c>
      <c r="F703">
        <v>688.17</v>
      </c>
      <c r="G703">
        <v>59.1</v>
      </c>
      <c r="H703">
        <v>96.22</v>
      </c>
      <c r="I703">
        <v>96.25</v>
      </c>
      <c r="J703">
        <v>76.66</v>
      </c>
      <c r="K703" t="s">
        <v>34</v>
      </c>
      <c r="L703">
        <v>9.4</v>
      </c>
      <c r="M703">
        <v>1.7</v>
      </c>
      <c r="N703" t="s">
        <v>39</v>
      </c>
      <c r="O703">
        <v>12</v>
      </c>
      <c r="P703" t="s">
        <v>43</v>
      </c>
      <c r="Q703">
        <v>63.9</v>
      </c>
    </row>
    <row r="704" spans="1:17" x14ac:dyDescent="0.35">
      <c r="A704" s="1">
        <v>45816</v>
      </c>
      <c r="B704" t="s">
        <v>95</v>
      </c>
      <c r="C704" t="s">
        <v>49</v>
      </c>
      <c r="D704" t="s">
        <v>96</v>
      </c>
      <c r="E704" t="s">
        <v>33</v>
      </c>
      <c r="F704">
        <v>228.84</v>
      </c>
      <c r="G704">
        <v>96.6</v>
      </c>
      <c r="H704">
        <v>97.05</v>
      </c>
      <c r="I704">
        <v>94.51</v>
      </c>
      <c r="J704">
        <v>77.180000000000007</v>
      </c>
      <c r="K704" t="s">
        <v>34</v>
      </c>
      <c r="L704">
        <v>8.1</v>
      </c>
      <c r="M704">
        <v>1.7</v>
      </c>
      <c r="N704" t="s">
        <v>22</v>
      </c>
      <c r="O704">
        <v>7</v>
      </c>
      <c r="P704" t="s">
        <v>23</v>
      </c>
      <c r="Q704">
        <v>62.4</v>
      </c>
    </row>
    <row r="705" spans="1:17" x14ac:dyDescent="0.35">
      <c r="A705" s="1">
        <v>45816</v>
      </c>
      <c r="B705" t="s">
        <v>36</v>
      </c>
      <c r="C705" t="s">
        <v>37</v>
      </c>
      <c r="D705" t="s">
        <v>38</v>
      </c>
      <c r="E705" t="s">
        <v>27</v>
      </c>
      <c r="F705">
        <v>243.67</v>
      </c>
      <c r="G705">
        <v>23.3</v>
      </c>
      <c r="H705">
        <v>95.21</v>
      </c>
      <c r="I705">
        <v>95.19</v>
      </c>
      <c r="J705">
        <v>78.62</v>
      </c>
      <c r="K705" t="s">
        <v>47</v>
      </c>
      <c r="L705">
        <v>7.3</v>
      </c>
      <c r="M705">
        <v>4.2</v>
      </c>
      <c r="N705" t="s">
        <v>39</v>
      </c>
      <c r="O705">
        <v>9</v>
      </c>
      <c r="P705" t="s">
        <v>23</v>
      </c>
      <c r="Q705">
        <v>58</v>
      </c>
    </row>
    <row r="706" spans="1:17" x14ac:dyDescent="0.35">
      <c r="A706" s="1">
        <v>45816</v>
      </c>
      <c r="B706" t="s">
        <v>93</v>
      </c>
      <c r="C706" t="s">
        <v>37</v>
      </c>
      <c r="D706" t="s">
        <v>94</v>
      </c>
      <c r="E706" t="s">
        <v>27</v>
      </c>
      <c r="F706">
        <v>338.08</v>
      </c>
      <c r="G706">
        <v>18.100000000000001</v>
      </c>
      <c r="H706">
        <v>96.01</v>
      </c>
      <c r="I706">
        <v>93.93</v>
      </c>
      <c r="J706">
        <v>77.25</v>
      </c>
      <c r="K706" t="s">
        <v>28</v>
      </c>
      <c r="L706">
        <v>7.9</v>
      </c>
      <c r="M706">
        <v>2.5</v>
      </c>
      <c r="N706" t="s">
        <v>39</v>
      </c>
      <c r="O706">
        <v>10</v>
      </c>
      <c r="P706" t="s">
        <v>23</v>
      </c>
      <c r="Q706">
        <v>59.7</v>
      </c>
    </row>
    <row r="707" spans="1:17" x14ac:dyDescent="0.35">
      <c r="A707" s="1">
        <v>45816</v>
      </c>
      <c r="B707" t="s">
        <v>91</v>
      </c>
      <c r="C707" t="s">
        <v>67</v>
      </c>
      <c r="D707" t="s">
        <v>92</v>
      </c>
      <c r="E707" t="s">
        <v>27</v>
      </c>
      <c r="F707">
        <v>759.99</v>
      </c>
      <c r="G707">
        <v>26</v>
      </c>
      <c r="H707">
        <v>93.48</v>
      </c>
      <c r="I707">
        <v>95.31</v>
      </c>
      <c r="J707">
        <v>81.63</v>
      </c>
      <c r="K707" t="s">
        <v>47</v>
      </c>
      <c r="L707">
        <v>8</v>
      </c>
      <c r="M707">
        <v>4.2</v>
      </c>
      <c r="N707" t="s">
        <v>39</v>
      </c>
      <c r="O707">
        <v>14</v>
      </c>
      <c r="P707" t="s">
        <v>23</v>
      </c>
      <c r="Q707">
        <v>59.5</v>
      </c>
    </row>
    <row r="708" spans="1:17" x14ac:dyDescent="0.35">
      <c r="A708" s="1">
        <v>45816</v>
      </c>
      <c r="B708" t="s">
        <v>53</v>
      </c>
      <c r="C708" t="s">
        <v>41</v>
      </c>
      <c r="D708" t="s">
        <v>54</v>
      </c>
      <c r="E708" t="s">
        <v>27</v>
      </c>
      <c r="F708">
        <v>426.97</v>
      </c>
      <c r="G708">
        <v>28.7</v>
      </c>
      <c r="H708">
        <v>95.64</v>
      </c>
      <c r="I708">
        <v>96.71</v>
      </c>
      <c r="J708">
        <v>80.86</v>
      </c>
      <c r="K708" t="s">
        <v>34</v>
      </c>
      <c r="L708">
        <v>9.4</v>
      </c>
      <c r="M708">
        <v>1.9</v>
      </c>
      <c r="N708" t="s">
        <v>39</v>
      </c>
      <c r="O708">
        <v>15</v>
      </c>
      <c r="P708" t="s">
        <v>43</v>
      </c>
      <c r="Q708">
        <v>63.8</v>
      </c>
    </row>
    <row r="709" spans="1:17" x14ac:dyDescent="0.35">
      <c r="A709" s="1">
        <v>45816</v>
      </c>
      <c r="B709" t="s">
        <v>64</v>
      </c>
      <c r="C709" t="s">
        <v>25</v>
      </c>
      <c r="D709" t="s">
        <v>65</v>
      </c>
      <c r="E709" t="s">
        <v>27</v>
      </c>
      <c r="F709">
        <v>476.81</v>
      </c>
      <c r="G709">
        <v>22.5</v>
      </c>
      <c r="H709">
        <v>97.44</v>
      </c>
      <c r="I709">
        <v>96.75</v>
      </c>
      <c r="J709">
        <v>80.37</v>
      </c>
      <c r="K709" t="s">
        <v>28</v>
      </c>
      <c r="L709">
        <v>9.1</v>
      </c>
      <c r="M709">
        <v>2.4</v>
      </c>
      <c r="N709" t="s">
        <v>29</v>
      </c>
      <c r="O709">
        <v>15</v>
      </c>
      <c r="P709" t="s">
        <v>30</v>
      </c>
      <c r="Q709">
        <v>63.1</v>
      </c>
    </row>
    <row r="710" spans="1:17" x14ac:dyDescent="0.35">
      <c r="A710" s="1">
        <v>45816</v>
      </c>
      <c r="B710" t="s">
        <v>82</v>
      </c>
      <c r="C710" t="s">
        <v>72</v>
      </c>
      <c r="D710" t="s">
        <v>83</v>
      </c>
      <c r="E710" t="s">
        <v>20</v>
      </c>
      <c r="F710">
        <v>98.68</v>
      </c>
      <c r="G710">
        <v>74.7</v>
      </c>
      <c r="H710">
        <v>91.05</v>
      </c>
      <c r="I710">
        <v>95.55</v>
      </c>
      <c r="J710">
        <v>71.47</v>
      </c>
      <c r="K710" t="s">
        <v>21</v>
      </c>
      <c r="L710">
        <v>7.6</v>
      </c>
      <c r="N710" t="s">
        <v>22</v>
      </c>
      <c r="O710">
        <v>10</v>
      </c>
      <c r="P710" t="s">
        <v>23</v>
      </c>
      <c r="Q710">
        <v>68.599999999999994</v>
      </c>
    </row>
    <row r="711" spans="1:17" x14ac:dyDescent="0.35">
      <c r="A711" s="1">
        <v>45816</v>
      </c>
      <c r="B711" t="s">
        <v>91</v>
      </c>
      <c r="C711" t="s">
        <v>67</v>
      </c>
      <c r="D711" t="s">
        <v>92</v>
      </c>
      <c r="E711" t="s">
        <v>27</v>
      </c>
      <c r="F711">
        <v>426.09</v>
      </c>
      <c r="G711">
        <v>23.9</v>
      </c>
      <c r="H711">
        <v>95.68</v>
      </c>
      <c r="I711">
        <v>94.61</v>
      </c>
      <c r="J711">
        <v>78.23</v>
      </c>
      <c r="K711" t="s">
        <v>28</v>
      </c>
      <c r="L711">
        <v>9.1</v>
      </c>
      <c r="M711">
        <v>3.6</v>
      </c>
      <c r="N711" t="s">
        <v>29</v>
      </c>
      <c r="O711">
        <v>12</v>
      </c>
      <c r="P711" t="s">
        <v>43</v>
      </c>
      <c r="Q711">
        <v>61.3</v>
      </c>
    </row>
    <row r="712" spans="1:17" x14ac:dyDescent="0.35">
      <c r="A712" s="1">
        <v>45816</v>
      </c>
      <c r="B712" t="s">
        <v>59</v>
      </c>
      <c r="C712" t="s">
        <v>60</v>
      </c>
      <c r="D712" t="s">
        <v>61</v>
      </c>
      <c r="E712" t="s">
        <v>62</v>
      </c>
      <c r="F712">
        <v>418.76</v>
      </c>
      <c r="G712">
        <v>182.2</v>
      </c>
      <c r="H712">
        <v>89.53</v>
      </c>
      <c r="I712">
        <v>94.64</v>
      </c>
      <c r="J712">
        <v>86.71</v>
      </c>
      <c r="K712" t="s">
        <v>63</v>
      </c>
      <c r="L712">
        <v>8.9</v>
      </c>
      <c r="N712" t="s">
        <v>35</v>
      </c>
      <c r="O712">
        <v>4</v>
      </c>
      <c r="P712" t="s">
        <v>43</v>
      </c>
      <c r="Q712">
        <v>76</v>
      </c>
    </row>
    <row r="713" spans="1:17" x14ac:dyDescent="0.35">
      <c r="A713" s="1">
        <v>45816</v>
      </c>
      <c r="B713" t="s">
        <v>86</v>
      </c>
      <c r="C713" t="s">
        <v>25</v>
      </c>
      <c r="D713" t="s">
        <v>87</v>
      </c>
      <c r="E713" t="s">
        <v>27</v>
      </c>
      <c r="F713">
        <v>570.20000000000005</v>
      </c>
      <c r="G713">
        <v>26.6</v>
      </c>
      <c r="H713">
        <v>96.45</v>
      </c>
      <c r="I713">
        <v>97.33</v>
      </c>
      <c r="J713">
        <v>77.69</v>
      </c>
      <c r="K713" t="s">
        <v>47</v>
      </c>
      <c r="L713">
        <v>8.4</v>
      </c>
      <c r="M713">
        <v>2.2000000000000002</v>
      </c>
      <c r="N713" t="s">
        <v>39</v>
      </c>
      <c r="O713">
        <v>9</v>
      </c>
      <c r="P713" t="s">
        <v>30</v>
      </c>
      <c r="Q713">
        <v>61.6</v>
      </c>
    </row>
    <row r="714" spans="1:17" x14ac:dyDescent="0.35">
      <c r="A714" s="1">
        <v>45816</v>
      </c>
      <c r="B714" t="s">
        <v>55</v>
      </c>
      <c r="C714" t="s">
        <v>56</v>
      </c>
      <c r="D714">
        <v>4</v>
      </c>
      <c r="E714" t="s">
        <v>57</v>
      </c>
      <c r="F714">
        <v>30</v>
      </c>
      <c r="G714">
        <v>136.9</v>
      </c>
      <c r="H714">
        <v>86.39</v>
      </c>
      <c r="I714">
        <v>94.71</v>
      </c>
      <c r="J714">
        <v>80</v>
      </c>
      <c r="K714" t="s">
        <v>63</v>
      </c>
      <c r="L714">
        <v>7.8</v>
      </c>
      <c r="N714" t="s">
        <v>35</v>
      </c>
      <c r="O714">
        <v>4</v>
      </c>
      <c r="P714" t="s">
        <v>23</v>
      </c>
      <c r="Q714">
        <v>71.099999999999994</v>
      </c>
    </row>
    <row r="715" spans="1:17" x14ac:dyDescent="0.35">
      <c r="A715" s="1">
        <v>45816</v>
      </c>
      <c r="B715" t="s">
        <v>55</v>
      </c>
      <c r="C715" t="s">
        <v>56</v>
      </c>
      <c r="D715">
        <v>4</v>
      </c>
      <c r="E715" t="s">
        <v>57</v>
      </c>
      <c r="F715">
        <v>30</v>
      </c>
      <c r="G715">
        <v>142.19999999999999</v>
      </c>
      <c r="H715">
        <v>90.04</v>
      </c>
      <c r="I715">
        <v>93.62</v>
      </c>
      <c r="J715">
        <v>74.09</v>
      </c>
      <c r="K715" t="s">
        <v>21</v>
      </c>
      <c r="L715">
        <v>7.4</v>
      </c>
      <c r="N715" t="s">
        <v>35</v>
      </c>
      <c r="O715">
        <v>3</v>
      </c>
      <c r="P715" t="s">
        <v>43</v>
      </c>
      <c r="Q715">
        <v>69.7</v>
      </c>
    </row>
    <row r="716" spans="1:17" x14ac:dyDescent="0.35">
      <c r="A716" s="1">
        <v>45816</v>
      </c>
      <c r="B716" t="s">
        <v>66</v>
      </c>
      <c r="C716" t="s">
        <v>67</v>
      </c>
      <c r="D716" t="s">
        <v>68</v>
      </c>
      <c r="E716" t="s">
        <v>27</v>
      </c>
      <c r="F716">
        <v>272.99</v>
      </c>
      <c r="G716">
        <v>66.5</v>
      </c>
      <c r="H716">
        <v>96.08</v>
      </c>
      <c r="I716">
        <v>93.2</v>
      </c>
      <c r="J716">
        <v>84.86</v>
      </c>
      <c r="K716" t="s">
        <v>34</v>
      </c>
      <c r="L716">
        <v>7.5</v>
      </c>
      <c r="M716">
        <v>4.5</v>
      </c>
      <c r="N716" t="s">
        <v>29</v>
      </c>
      <c r="O716">
        <v>15</v>
      </c>
      <c r="P716" t="s">
        <v>23</v>
      </c>
      <c r="Q716">
        <v>59.8</v>
      </c>
    </row>
    <row r="717" spans="1:17" x14ac:dyDescent="0.35">
      <c r="A717" s="1">
        <v>45816</v>
      </c>
      <c r="B717" t="s">
        <v>51</v>
      </c>
      <c r="C717" t="s">
        <v>45</v>
      </c>
      <c r="D717" t="s">
        <v>52</v>
      </c>
      <c r="E717" t="s">
        <v>27</v>
      </c>
      <c r="F717">
        <v>448.14</v>
      </c>
      <c r="G717">
        <v>346.7</v>
      </c>
      <c r="H717">
        <v>96.58</v>
      </c>
      <c r="I717">
        <v>98.38</v>
      </c>
      <c r="J717">
        <v>82.54</v>
      </c>
      <c r="K717" t="s">
        <v>47</v>
      </c>
      <c r="L717">
        <v>9.1999999999999993</v>
      </c>
      <c r="M717">
        <v>4.2</v>
      </c>
      <c r="N717" t="s">
        <v>29</v>
      </c>
      <c r="O717">
        <v>8</v>
      </c>
      <c r="P717" t="s">
        <v>23</v>
      </c>
      <c r="Q717">
        <v>65.5</v>
      </c>
    </row>
    <row r="718" spans="1:17" x14ac:dyDescent="0.35">
      <c r="A718" s="1">
        <v>45816</v>
      </c>
      <c r="B718" t="s">
        <v>95</v>
      </c>
      <c r="C718" t="s">
        <v>49</v>
      </c>
      <c r="D718" t="s">
        <v>96</v>
      </c>
      <c r="E718" t="s">
        <v>27</v>
      </c>
      <c r="F718">
        <v>235.26</v>
      </c>
      <c r="G718">
        <v>48.9</v>
      </c>
      <c r="H718">
        <v>92.24</v>
      </c>
      <c r="I718">
        <v>93.61</v>
      </c>
      <c r="J718">
        <v>78.709999999999994</v>
      </c>
      <c r="K718" t="s">
        <v>34</v>
      </c>
      <c r="L718">
        <v>7.5</v>
      </c>
      <c r="M718">
        <v>3.2</v>
      </c>
      <c r="N718" t="s">
        <v>39</v>
      </c>
      <c r="O718">
        <v>10</v>
      </c>
      <c r="P718" t="s">
        <v>23</v>
      </c>
      <c r="Q718">
        <v>58.8</v>
      </c>
    </row>
    <row r="719" spans="1:17" x14ac:dyDescent="0.35">
      <c r="A719" s="1">
        <v>45816</v>
      </c>
      <c r="B719" t="s">
        <v>69</v>
      </c>
      <c r="C719" t="s">
        <v>18</v>
      </c>
      <c r="D719" t="s">
        <v>70</v>
      </c>
      <c r="E719" t="s">
        <v>20</v>
      </c>
      <c r="F719">
        <v>171.88</v>
      </c>
      <c r="G719">
        <v>236.9</v>
      </c>
      <c r="H719">
        <v>91.71</v>
      </c>
      <c r="I719">
        <v>96.57</v>
      </c>
      <c r="J719">
        <v>77.64</v>
      </c>
      <c r="K719" t="s">
        <v>63</v>
      </c>
      <c r="L719">
        <v>7.1</v>
      </c>
      <c r="N719" t="s">
        <v>35</v>
      </c>
      <c r="O719">
        <v>6</v>
      </c>
      <c r="P719" t="s">
        <v>23</v>
      </c>
      <c r="Q719">
        <v>71.400000000000006</v>
      </c>
    </row>
    <row r="720" spans="1:17" x14ac:dyDescent="0.35">
      <c r="A720" s="1">
        <v>45816</v>
      </c>
      <c r="B720" t="s">
        <v>71</v>
      </c>
      <c r="C720" t="s">
        <v>72</v>
      </c>
      <c r="D720" t="s">
        <v>73</v>
      </c>
      <c r="E720" t="s">
        <v>33</v>
      </c>
      <c r="F720">
        <v>163.05000000000001</v>
      </c>
      <c r="G720">
        <v>134.1</v>
      </c>
      <c r="H720">
        <v>94.23</v>
      </c>
      <c r="I720">
        <v>93.69</v>
      </c>
      <c r="J720">
        <v>75.27</v>
      </c>
      <c r="K720" t="s">
        <v>28</v>
      </c>
      <c r="L720">
        <v>7.8</v>
      </c>
      <c r="M720">
        <v>4.5999999999999996</v>
      </c>
      <c r="N720" t="s">
        <v>35</v>
      </c>
      <c r="O720">
        <v>6</v>
      </c>
      <c r="P720" t="s">
        <v>43</v>
      </c>
      <c r="Q720">
        <v>59.8</v>
      </c>
    </row>
    <row r="721" spans="1:17" x14ac:dyDescent="0.35">
      <c r="A721" s="1">
        <v>45816</v>
      </c>
      <c r="B721" t="s">
        <v>93</v>
      </c>
      <c r="C721" t="s">
        <v>37</v>
      </c>
      <c r="D721" t="s">
        <v>94</v>
      </c>
      <c r="E721" t="s">
        <v>33</v>
      </c>
      <c r="F721">
        <v>498.44</v>
      </c>
      <c r="G721">
        <v>152.4</v>
      </c>
      <c r="H721">
        <v>94.26</v>
      </c>
      <c r="I721">
        <v>96.83</v>
      </c>
      <c r="J721">
        <v>74.599999999999994</v>
      </c>
      <c r="K721" t="s">
        <v>28</v>
      </c>
      <c r="L721">
        <v>8.5</v>
      </c>
      <c r="M721">
        <v>2.7</v>
      </c>
      <c r="N721" t="s">
        <v>22</v>
      </c>
      <c r="O721">
        <v>10</v>
      </c>
      <c r="P721" t="s">
        <v>23</v>
      </c>
      <c r="Q721">
        <v>63</v>
      </c>
    </row>
    <row r="722" spans="1:17" x14ac:dyDescent="0.35">
      <c r="A722" s="1">
        <v>45816</v>
      </c>
      <c r="B722" t="s">
        <v>51</v>
      </c>
      <c r="C722" t="s">
        <v>45</v>
      </c>
      <c r="D722" t="s">
        <v>52</v>
      </c>
      <c r="E722" t="s">
        <v>33</v>
      </c>
      <c r="F722">
        <v>225.9</v>
      </c>
      <c r="G722">
        <v>662.3</v>
      </c>
      <c r="H722">
        <v>92.35</v>
      </c>
      <c r="I722">
        <v>99.17</v>
      </c>
      <c r="J722">
        <v>77.510000000000005</v>
      </c>
      <c r="K722" t="s">
        <v>47</v>
      </c>
      <c r="L722">
        <v>7.5</v>
      </c>
      <c r="M722">
        <v>4.5999999999999996</v>
      </c>
      <c r="N722" t="s">
        <v>35</v>
      </c>
      <c r="O722">
        <v>6</v>
      </c>
      <c r="P722" t="s">
        <v>23</v>
      </c>
      <c r="Q722">
        <v>60.9</v>
      </c>
    </row>
    <row r="723" spans="1:17" x14ac:dyDescent="0.35">
      <c r="A723" s="1">
        <v>45816</v>
      </c>
      <c r="B723" t="s">
        <v>82</v>
      </c>
      <c r="C723" t="s">
        <v>72</v>
      </c>
      <c r="D723" t="s">
        <v>83</v>
      </c>
      <c r="E723" t="s">
        <v>20</v>
      </c>
      <c r="F723">
        <v>159.97</v>
      </c>
      <c r="G723">
        <v>180.3</v>
      </c>
      <c r="H723">
        <v>90.04</v>
      </c>
      <c r="I723">
        <v>93.25</v>
      </c>
      <c r="J723">
        <v>78.72</v>
      </c>
      <c r="K723" t="s">
        <v>58</v>
      </c>
      <c r="L723">
        <v>7.7</v>
      </c>
      <c r="N723" t="s">
        <v>35</v>
      </c>
      <c r="O723">
        <v>7</v>
      </c>
      <c r="P723" t="s">
        <v>23</v>
      </c>
      <c r="Q723">
        <v>71.8</v>
      </c>
    </row>
    <row r="724" spans="1:17" x14ac:dyDescent="0.35">
      <c r="A724" s="1">
        <v>45816</v>
      </c>
      <c r="B724" t="s">
        <v>55</v>
      </c>
      <c r="C724" t="s">
        <v>56</v>
      </c>
      <c r="D724">
        <v>4</v>
      </c>
      <c r="E724" t="s">
        <v>57</v>
      </c>
      <c r="F724">
        <v>30</v>
      </c>
      <c r="G724">
        <v>130.9</v>
      </c>
      <c r="H724">
        <v>90.24</v>
      </c>
      <c r="I724">
        <v>94.9</v>
      </c>
      <c r="J724">
        <v>75.16</v>
      </c>
      <c r="K724" t="s">
        <v>21</v>
      </c>
      <c r="L724">
        <v>7.5</v>
      </c>
      <c r="N724" t="s">
        <v>35</v>
      </c>
      <c r="O724">
        <v>5</v>
      </c>
      <c r="P724" t="s">
        <v>23</v>
      </c>
      <c r="Q724">
        <v>70.2</v>
      </c>
    </row>
    <row r="725" spans="1:17" x14ac:dyDescent="0.35">
      <c r="A725" s="1">
        <v>45816</v>
      </c>
      <c r="B725" t="s">
        <v>48</v>
      </c>
      <c r="C725" t="s">
        <v>49</v>
      </c>
      <c r="D725" t="s">
        <v>50</v>
      </c>
      <c r="E725" t="s">
        <v>33</v>
      </c>
      <c r="F725">
        <v>201.56</v>
      </c>
      <c r="G725">
        <v>122.3</v>
      </c>
      <c r="H725">
        <v>96.93</v>
      </c>
      <c r="I725">
        <v>96.13</v>
      </c>
      <c r="J725">
        <v>74.040000000000006</v>
      </c>
      <c r="K725" t="s">
        <v>34</v>
      </c>
      <c r="L725">
        <v>8.1999999999999993</v>
      </c>
      <c r="M725">
        <v>4.2</v>
      </c>
      <c r="N725" t="s">
        <v>35</v>
      </c>
      <c r="O725">
        <v>10</v>
      </c>
      <c r="P725" t="s">
        <v>43</v>
      </c>
      <c r="Q725">
        <v>61.1</v>
      </c>
    </row>
    <row r="726" spans="1:17" x14ac:dyDescent="0.35">
      <c r="A726" s="1">
        <v>45816</v>
      </c>
      <c r="B726" t="s">
        <v>99</v>
      </c>
      <c r="C726" t="s">
        <v>72</v>
      </c>
      <c r="D726" t="s">
        <v>100</v>
      </c>
      <c r="E726" t="s">
        <v>27</v>
      </c>
      <c r="F726">
        <v>199.59</v>
      </c>
      <c r="G726">
        <v>54.2</v>
      </c>
      <c r="H726">
        <v>95.77</v>
      </c>
      <c r="I726">
        <v>93.04</v>
      </c>
      <c r="J726">
        <v>79.44</v>
      </c>
      <c r="K726" t="s">
        <v>34</v>
      </c>
      <c r="L726">
        <v>7.8</v>
      </c>
      <c r="M726">
        <v>3.5</v>
      </c>
      <c r="N726" t="s">
        <v>39</v>
      </c>
      <c r="O726">
        <v>15</v>
      </c>
      <c r="P726" t="s">
        <v>23</v>
      </c>
      <c r="Q726">
        <v>59.8</v>
      </c>
    </row>
    <row r="727" spans="1:17" x14ac:dyDescent="0.35">
      <c r="A727" s="1">
        <v>45816</v>
      </c>
      <c r="B727" t="s">
        <v>31</v>
      </c>
      <c r="C727" t="s">
        <v>18</v>
      </c>
      <c r="D727" t="s">
        <v>32</v>
      </c>
      <c r="E727" t="s">
        <v>27</v>
      </c>
      <c r="F727">
        <v>285.95</v>
      </c>
      <c r="G727">
        <v>46.7</v>
      </c>
      <c r="H727">
        <v>95.34</v>
      </c>
      <c r="I727">
        <v>96.83</v>
      </c>
      <c r="J727">
        <v>78.09</v>
      </c>
      <c r="K727" t="s">
        <v>34</v>
      </c>
      <c r="L727">
        <v>8.3000000000000007</v>
      </c>
      <c r="M727">
        <v>1.8</v>
      </c>
      <c r="N727" t="s">
        <v>29</v>
      </c>
      <c r="O727">
        <v>10</v>
      </c>
      <c r="P727" t="s">
        <v>23</v>
      </c>
      <c r="Q727">
        <v>61.9</v>
      </c>
    </row>
    <row r="728" spans="1:17" x14ac:dyDescent="0.35">
      <c r="A728" s="1">
        <v>45816</v>
      </c>
      <c r="B728" t="s">
        <v>86</v>
      </c>
      <c r="C728" t="s">
        <v>25</v>
      </c>
      <c r="D728" t="s">
        <v>87</v>
      </c>
      <c r="E728" t="s">
        <v>27</v>
      </c>
      <c r="F728">
        <v>566.21</v>
      </c>
      <c r="G728">
        <v>22.8</v>
      </c>
      <c r="H728">
        <v>95.36</v>
      </c>
      <c r="I728">
        <v>98.3</v>
      </c>
      <c r="J728">
        <v>81.62</v>
      </c>
      <c r="K728" t="s">
        <v>28</v>
      </c>
      <c r="L728">
        <v>8.1999999999999993</v>
      </c>
      <c r="M728">
        <v>4.4000000000000004</v>
      </c>
      <c r="N728" t="s">
        <v>29</v>
      </c>
      <c r="O728">
        <v>12</v>
      </c>
      <c r="P728" t="s">
        <v>30</v>
      </c>
      <c r="Q728">
        <v>60.4</v>
      </c>
    </row>
    <row r="729" spans="1:17" x14ac:dyDescent="0.35">
      <c r="A729" s="1">
        <v>45816</v>
      </c>
      <c r="B729" t="s">
        <v>55</v>
      </c>
      <c r="C729" t="s">
        <v>56</v>
      </c>
      <c r="D729">
        <v>4</v>
      </c>
      <c r="E729" t="s">
        <v>57</v>
      </c>
      <c r="F729">
        <v>30</v>
      </c>
      <c r="G729">
        <v>128.9</v>
      </c>
      <c r="H729">
        <v>88.23</v>
      </c>
      <c r="I729">
        <v>94.06</v>
      </c>
      <c r="J729">
        <v>75.510000000000005</v>
      </c>
      <c r="K729" t="s">
        <v>21</v>
      </c>
      <c r="L729">
        <v>6.8</v>
      </c>
      <c r="N729" t="s">
        <v>35</v>
      </c>
      <c r="O729">
        <v>3</v>
      </c>
      <c r="P729" t="s">
        <v>23</v>
      </c>
      <c r="Q729">
        <v>68.2</v>
      </c>
    </row>
    <row r="730" spans="1:17" x14ac:dyDescent="0.35">
      <c r="A730" s="1">
        <v>45816</v>
      </c>
      <c r="B730" t="s">
        <v>80</v>
      </c>
      <c r="C730" t="s">
        <v>45</v>
      </c>
      <c r="D730" t="s">
        <v>81</v>
      </c>
      <c r="E730" t="s">
        <v>27</v>
      </c>
      <c r="F730">
        <v>933.78</v>
      </c>
      <c r="G730">
        <v>521.1</v>
      </c>
      <c r="H730">
        <v>96.74</v>
      </c>
      <c r="I730">
        <v>98.82</v>
      </c>
      <c r="J730">
        <v>83.06</v>
      </c>
      <c r="K730" t="s">
        <v>47</v>
      </c>
      <c r="L730">
        <v>9.3000000000000007</v>
      </c>
      <c r="M730">
        <v>4.3</v>
      </c>
      <c r="N730" t="s">
        <v>39</v>
      </c>
      <c r="O730">
        <v>14</v>
      </c>
      <c r="P730" t="s">
        <v>23</v>
      </c>
      <c r="Q730">
        <v>65.7</v>
      </c>
    </row>
    <row r="731" spans="1:17" x14ac:dyDescent="0.35">
      <c r="A731" s="1">
        <v>45816</v>
      </c>
      <c r="B731" t="s">
        <v>84</v>
      </c>
      <c r="C731" t="s">
        <v>18</v>
      </c>
      <c r="D731" t="s">
        <v>85</v>
      </c>
      <c r="E731" t="s">
        <v>33</v>
      </c>
      <c r="F731">
        <v>159.91999999999999</v>
      </c>
      <c r="G731">
        <v>150.69999999999999</v>
      </c>
      <c r="H731">
        <v>97.21</v>
      </c>
      <c r="I731">
        <v>95.39</v>
      </c>
      <c r="J731">
        <v>78.61</v>
      </c>
      <c r="K731" t="s">
        <v>47</v>
      </c>
      <c r="L731">
        <v>6.1</v>
      </c>
      <c r="M731">
        <v>2</v>
      </c>
      <c r="N731" t="s">
        <v>35</v>
      </c>
      <c r="O731">
        <v>7</v>
      </c>
      <c r="P731" t="s">
        <v>23</v>
      </c>
      <c r="Q731">
        <v>60.4</v>
      </c>
    </row>
    <row r="732" spans="1:17" x14ac:dyDescent="0.35">
      <c r="A732" s="1">
        <v>45816</v>
      </c>
      <c r="B732" t="s">
        <v>36</v>
      </c>
      <c r="C732" t="s">
        <v>37</v>
      </c>
      <c r="D732" t="s">
        <v>38</v>
      </c>
      <c r="E732" t="s">
        <v>27</v>
      </c>
      <c r="F732">
        <v>242.32</v>
      </c>
      <c r="G732">
        <v>52.4</v>
      </c>
      <c r="H732">
        <v>93.05</v>
      </c>
      <c r="I732">
        <v>96.87</v>
      </c>
      <c r="J732">
        <v>84.99</v>
      </c>
      <c r="K732" t="s">
        <v>47</v>
      </c>
      <c r="L732">
        <v>7.6</v>
      </c>
      <c r="M732">
        <v>1.6</v>
      </c>
      <c r="N732" t="s">
        <v>39</v>
      </c>
      <c r="O732">
        <v>10</v>
      </c>
      <c r="P732" t="s">
        <v>23</v>
      </c>
      <c r="Q732">
        <v>61.8</v>
      </c>
    </row>
    <row r="733" spans="1:17" x14ac:dyDescent="0.35">
      <c r="A733" s="1">
        <v>45816</v>
      </c>
      <c r="B733" t="s">
        <v>59</v>
      </c>
      <c r="C733" t="s">
        <v>60</v>
      </c>
      <c r="D733" t="s">
        <v>61</v>
      </c>
      <c r="E733" t="s">
        <v>62</v>
      </c>
      <c r="F733">
        <v>322.92</v>
      </c>
      <c r="G733">
        <v>188.3</v>
      </c>
      <c r="H733">
        <v>86.55</v>
      </c>
      <c r="I733">
        <v>94.84</v>
      </c>
      <c r="J733">
        <v>86.16</v>
      </c>
      <c r="K733" t="s">
        <v>63</v>
      </c>
      <c r="L733">
        <v>8.4</v>
      </c>
      <c r="N733" t="s">
        <v>35</v>
      </c>
      <c r="O733">
        <v>5</v>
      </c>
      <c r="P733" t="s">
        <v>43</v>
      </c>
      <c r="Q733">
        <v>74.3</v>
      </c>
    </row>
    <row r="734" spans="1:17" x14ac:dyDescent="0.35">
      <c r="A734" s="1">
        <v>45816</v>
      </c>
      <c r="B734" t="s">
        <v>53</v>
      </c>
      <c r="C734" t="s">
        <v>41</v>
      </c>
      <c r="D734" t="s">
        <v>54</v>
      </c>
      <c r="E734" t="s">
        <v>27</v>
      </c>
      <c r="F734">
        <v>220.64</v>
      </c>
      <c r="G734">
        <v>34.299999999999997</v>
      </c>
      <c r="H734">
        <v>92.06</v>
      </c>
      <c r="I734">
        <v>96.24</v>
      </c>
      <c r="J734">
        <v>76.239999999999995</v>
      </c>
      <c r="K734" t="s">
        <v>28</v>
      </c>
      <c r="L734">
        <v>7.3</v>
      </c>
      <c r="M734">
        <v>4.7</v>
      </c>
      <c r="N734" t="s">
        <v>29</v>
      </c>
      <c r="O734">
        <v>13</v>
      </c>
      <c r="P734" t="s">
        <v>43</v>
      </c>
      <c r="Q734">
        <v>57.1</v>
      </c>
    </row>
    <row r="735" spans="1:17" x14ac:dyDescent="0.35">
      <c r="A735" s="1">
        <v>45816</v>
      </c>
      <c r="B735" t="s">
        <v>93</v>
      </c>
      <c r="C735" t="s">
        <v>37</v>
      </c>
      <c r="D735" t="s">
        <v>94</v>
      </c>
      <c r="E735" t="s">
        <v>27</v>
      </c>
      <c r="F735">
        <v>496.21</v>
      </c>
      <c r="G735">
        <v>65.5</v>
      </c>
      <c r="H735">
        <v>92.71</v>
      </c>
      <c r="I735">
        <v>94.8</v>
      </c>
      <c r="J735">
        <v>83.53</v>
      </c>
      <c r="K735" t="s">
        <v>34</v>
      </c>
      <c r="L735">
        <v>8.6999999999999993</v>
      </c>
      <c r="M735">
        <v>1.6</v>
      </c>
      <c r="N735" t="s">
        <v>39</v>
      </c>
      <c r="O735">
        <v>12</v>
      </c>
      <c r="P735" t="s">
        <v>23</v>
      </c>
      <c r="Q735">
        <v>63.2</v>
      </c>
    </row>
    <row r="736" spans="1:17" x14ac:dyDescent="0.35">
      <c r="A736" s="1">
        <v>45816</v>
      </c>
      <c r="B736" t="s">
        <v>53</v>
      </c>
      <c r="C736" t="s">
        <v>41</v>
      </c>
      <c r="D736" t="s">
        <v>54</v>
      </c>
      <c r="E736" t="s">
        <v>27</v>
      </c>
      <c r="F736">
        <v>243.79</v>
      </c>
      <c r="G736">
        <v>19.600000000000001</v>
      </c>
      <c r="H736">
        <v>97.43</v>
      </c>
      <c r="I736">
        <v>98.37</v>
      </c>
      <c r="J736">
        <v>82.15</v>
      </c>
      <c r="K736" t="s">
        <v>47</v>
      </c>
      <c r="L736">
        <v>7.7</v>
      </c>
      <c r="M736">
        <v>3</v>
      </c>
      <c r="N736" t="s">
        <v>39</v>
      </c>
      <c r="O736">
        <v>11</v>
      </c>
      <c r="P736" t="s">
        <v>43</v>
      </c>
      <c r="Q736">
        <v>60.9</v>
      </c>
    </row>
    <row r="737" spans="1:17" x14ac:dyDescent="0.35">
      <c r="A737" s="1">
        <v>45816</v>
      </c>
      <c r="B737" t="s">
        <v>82</v>
      </c>
      <c r="C737" t="s">
        <v>72</v>
      </c>
      <c r="D737" t="s">
        <v>83</v>
      </c>
      <c r="E737" t="s">
        <v>20</v>
      </c>
      <c r="F737">
        <v>79.78</v>
      </c>
      <c r="G737">
        <v>228.8</v>
      </c>
      <c r="H737">
        <v>88.56</v>
      </c>
      <c r="I737">
        <v>95.57</v>
      </c>
      <c r="J737">
        <v>75.25</v>
      </c>
      <c r="K737" t="s">
        <v>21</v>
      </c>
      <c r="L737">
        <v>7.1</v>
      </c>
      <c r="N737" t="s">
        <v>35</v>
      </c>
      <c r="O737">
        <v>10</v>
      </c>
      <c r="P737" t="s">
        <v>23</v>
      </c>
      <c r="Q737">
        <v>70.099999999999994</v>
      </c>
    </row>
    <row r="738" spans="1:17" x14ac:dyDescent="0.35">
      <c r="A738" s="1">
        <v>45816</v>
      </c>
      <c r="B738" t="s">
        <v>55</v>
      </c>
      <c r="C738" t="s">
        <v>56</v>
      </c>
      <c r="D738">
        <v>4</v>
      </c>
      <c r="E738" t="s">
        <v>57</v>
      </c>
      <c r="F738">
        <v>30</v>
      </c>
      <c r="G738">
        <v>123.7</v>
      </c>
      <c r="H738">
        <v>90.42</v>
      </c>
      <c r="I738">
        <v>96.03</v>
      </c>
      <c r="J738">
        <v>70.430000000000007</v>
      </c>
      <c r="K738" t="s">
        <v>58</v>
      </c>
      <c r="L738">
        <v>6.1</v>
      </c>
      <c r="N738" t="s">
        <v>35</v>
      </c>
      <c r="O738">
        <v>2</v>
      </c>
      <c r="P738" t="s">
        <v>23</v>
      </c>
      <c r="Q738">
        <v>66.5</v>
      </c>
    </row>
    <row r="739" spans="1:17" x14ac:dyDescent="0.35">
      <c r="A739" s="1">
        <v>45816</v>
      </c>
      <c r="B739" t="s">
        <v>80</v>
      </c>
      <c r="C739" t="s">
        <v>45</v>
      </c>
      <c r="D739" t="s">
        <v>81</v>
      </c>
      <c r="E739" t="s">
        <v>27</v>
      </c>
      <c r="F739">
        <v>832.71</v>
      </c>
      <c r="G739">
        <v>635.20000000000005</v>
      </c>
      <c r="H739">
        <v>94.83</v>
      </c>
      <c r="I739">
        <v>98.9</v>
      </c>
      <c r="J739">
        <v>75.88</v>
      </c>
      <c r="K739" t="s">
        <v>34</v>
      </c>
      <c r="L739">
        <v>8.3000000000000007</v>
      </c>
      <c r="M739">
        <v>1.8</v>
      </c>
      <c r="N739" t="s">
        <v>29</v>
      </c>
      <c r="O739">
        <v>14</v>
      </c>
      <c r="P739" t="s">
        <v>23</v>
      </c>
      <c r="Q739">
        <v>64.2</v>
      </c>
    </row>
    <row r="740" spans="1:17" x14ac:dyDescent="0.35">
      <c r="A740" s="1">
        <v>45816</v>
      </c>
      <c r="B740" t="s">
        <v>101</v>
      </c>
      <c r="C740" t="s">
        <v>45</v>
      </c>
      <c r="D740" t="s">
        <v>102</v>
      </c>
      <c r="E740" t="s">
        <v>33</v>
      </c>
      <c r="F740">
        <v>572.95000000000005</v>
      </c>
      <c r="G740">
        <v>1785.7</v>
      </c>
      <c r="H740">
        <v>92.51</v>
      </c>
      <c r="I740">
        <v>98.31</v>
      </c>
      <c r="J740">
        <v>70.09</v>
      </c>
      <c r="K740" t="s">
        <v>47</v>
      </c>
      <c r="L740">
        <v>9</v>
      </c>
      <c r="M740">
        <v>2.4</v>
      </c>
      <c r="N740" t="s">
        <v>22</v>
      </c>
      <c r="O740">
        <v>8</v>
      </c>
      <c r="P740" t="s">
        <v>23</v>
      </c>
      <c r="Q740">
        <v>63.6</v>
      </c>
    </row>
    <row r="741" spans="1:17" x14ac:dyDescent="0.35">
      <c r="A741" s="1">
        <v>45816</v>
      </c>
      <c r="B741" t="s">
        <v>53</v>
      </c>
      <c r="C741" t="s">
        <v>41</v>
      </c>
      <c r="D741" t="s">
        <v>54</v>
      </c>
      <c r="E741" t="s">
        <v>27</v>
      </c>
      <c r="F741">
        <v>483.55</v>
      </c>
      <c r="G741">
        <v>44.7</v>
      </c>
      <c r="H741">
        <v>95.31</v>
      </c>
      <c r="I741">
        <v>97.65</v>
      </c>
      <c r="J741">
        <v>80.66</v>
      </c>
      <c r="K741" t="s">
        <v>28</v>
      </c>
      <c r="L741">
        <v>8.9</v>
      </c>
      <c r="M741">
        <v>2.1</v>
      </c>
      <c r="N741" t="s">
        <v>39</v>
      </c>
      <c r="O741">
        <v>9</v>
      </c>
      <c r="P741" t="s">
        <v>43</v>
      </c>
      <c r="Q741">
        <v>63.3</v>
      </c>
    </row>
    <row r="742" spans="1:17" x14ac:dyDescent="0.35">
      <c r="A742" s="1">
        <v>45816</v>
      </c>
      <c r="B742" t="s">
        <v>82</v>
      </c>
      <c r="C742" t="s">
        <v>72</v>
      </c>
      <c r="D742" t="s">
        <v>83</v>
      </c>
      <c r="E742" t="s">
        <v>20</v>
      </c>
      <c r="F742">
        <v>174.34</v>
      </c>
      <c r="G742">
        <v>232.9</v>
      </c>
      <c r="H742">
        <v>91.15</v>
      </c>
      <c r="I742">
        <v>96.24</v>
      </c>
      <c r="J742">
        <v>78.37</v>
      </c>
      <c r="K742" t="s">
        <v>21</v>
      </c>
      <c r="L742">
        <v>6.2</v>
      </c>
      <c r="N742" t="s">
        <v>35</v>
      </c>
      <c r="O742">
        <v>5</v>
      </c>
      <c r="P742" t="s">
        <v>43</v>
      </c>
      <c r="Q742">
        <v>69.599999999999994</v>
      </c>
    </row>
    <row r="743" spans="1:17" x14ac:dyDescent="0.35">
      <c r="A743" s="1">
        <v>45816</v>
      </c>
      <c r="B743" t="s">
        <v>101</v>
      </c>
      <c r="C743" t="s">
        <v>45</v>
      </c>
      <c r="D743" t="s">
        <v>102</v>
      </c>
      <c r="E743" t="s">
        <v>27</v>
      </c>
      <c r="F743">
        <v>532.05999999999995</v>
      </c>
      <c r="G743">
        <v>1892.7</v>
      </c>
      <c r="H743">
        <v>93.11</v>
      </c>
      <c r="I743">
        <v>98.09</v>
      </c>
      <c r="J743">
        <v>76.83</v>
      </c>
      <c r="K743" t="s">
        <v>88</v>
      </c>
      <c r="L743">
        <v>8.4</v>
      </c>
      <c r="M743">
        <v>4.7</v>
      </c>
      <c r="N743" t="s">
        <v>29</v>
      </c>
      <c r="O743">
        <v>9</v>
      </c>
      <c r="P743" t="s">
        <v>23</v>
      </c>
      <c r="Q743">
        <v>62.2</v>
      </c>
    </row>
    <row r="744" spans="1:17" x14ac:dyDescent="0.35">
      <c r="A744" s="1">
        <v>45816</v>
      </c>
      <c r="B744" t="s">
        <v>74</v>
      </c>
      <c r="C744" t="s">
        <v>67</v>
      </c>
      <c r="D744" t="s">
        <v>75</v>
      </c>
      <c r="E744" t="s">
        <v>27</v>
      </c>
      <c r="F744">
        <v>376.16</v>
      </c>
      <c r="G744">
        <v>62.1</v>
      </c>
      <c r="H744">
        <v>96.47</v>
      </c>
      <c r="I744">
        <v>95.31</v>
      </c>
      <c r="J744">
        <v>75.45</v>
      </c>
      <c r="K744" t="s">
        <v>34</v>
      </c>
      <c r="L744">
        <v>8.1</v>
      </c>
      <c r="M744">
        <v>3.4</v>
      </c>
      <c r="N744" t="s">
        <v>29</v>
      </c>
      <c r="O744">
        <v>9</v>
      </c>
      <c r="P744" t="s">
        <v>23</v>
      </c>
      <c r="Q744">
        <v>60.3</v>
      </c>
    </row>
    <row r="745" spans="1:17" x14ac:dyDescent="0.35">
      <c r="A745" s="1">
        <v>45816</v>
      </c>
      <c r="B745" t="s">
        <v>84</v>
      </c>
      <c r="C745" t="s">
        <v>18</v>
      </c>
      <c r="D745" t="s">
        <v>85</v>
      </c>
      <c r="E745" t="s">
        <v>27</v>
      </c>
      <c r="F745">
        <v>122.79</v>
      </c>
      <c r="G745">
        <v>70.400000000000006</v>
      </c>
      <c r="H745">
        <v>94.64</v>
      </c>
      <c r="I745">
        <v>94.02</v>
      </c>
      <c r="J745">
        <v>80.89</v>
      </c>
      <c r="K745" t="s">
        <v>34</v>
      </c>
      <c r="L745">
        <v>7.1</v>
      </c>
      <c r="M745">
        <v>3.9</v>
      </c>
      <c r="N745" t="s">
        <v>29</v>
      </c>
      <c r="O745">
        <v>14</v>
      </c>
      <c r="P745" t="s">
        <v>23</v>
      </c>
      <c r="Q745">
        <v>58.9</v>
      </c>
    </row>
    <row r="746" spans="1:17" x14ac:dyDescent="0.35">
      <c r="A746" s="1">
        <v>45816</v>
      </c>
      <c r="B746" t="s">
        <v>95</v>
      </c>
      <c r="C746" t="s">
        <v>49</v>
      </c>
      <c r="D746" t="s">
        <v>96</v>
      </c>
      <c r="E746" t="s">
        <v>27</v>
      </c>
      <c r="F746">
        <v>423.12</v>
      </c>
      <c r="G746">
        <v>63.9</v>
      </c>
      <c r="H746">
        <v>96.97</v>
      </c>
      <c r="I746">
        <v>93.14</v>
      </c>
      <c r="J746">
        <v>78.2</v>
      </c>
      <c r="K746" t="s">
        <v>28</v>
      </c>
      <c r="L746">
        <v>9.5</v>
      </c>
      <c r="M746">
        <v>1.9</v>
      </c>
      <c r="N746" t="s">
        <v>39</v>
      </c>
      <c r="O746">
        <v>15</v>
      </c>
      <c r="P746" t="s">
        <v>43</v>
      </c>
      <c r="Q746">
        <v>63.9</v>
      </c>
    </row>
    <row r="747" spans="1:17" x14ac:dyDescent="0.35">
      <c r="A747" s="1">
        <v>45816</v>
      </c>
      <c r="B747" t="s">
        <v>59</v>
      </c>
      <c r="C747" t="s">
        <v>60</v>
      </c>
      <c r="D747" t="s">
        <v>61</v>
      </c>
      <c r="E747" t="s">
        <v>62</v>
      </c>
      <c r="F747">
        <v>533.05999999999995</v>
      </c>
      <c r="G747">
        <v>178.7</v>
      </c>
      <c r="H747">
        <v>86.55</v>
      </c>
      <c r="I747">
        <v>93.08</v>
      </c>
      <c r="J747">
        <v>86.97</v>
      </c>
      <c r="K747" t="s">
        <v>34</v>
      </c>
      <c r="L747">
        <v>8.3000000000000007</v>
      </c>
      <c r="N747" t="s">
        <v>35</v>
      </c>
      <c r="O747">
        <v>5</v>
      </c>
      <c r="P747" t="s">
        <v>43</v>
      </c>
      <c r="Q747">
        <v>73.900000000000006</v>
      </c>
    </row>
    <row r="748" spans="1:17" x14ac:dyDescent="0.35">
      <c r="A748" s="1">
        <v>45816</v>
      </c>
      <c r="B748" t="s">
        <v>97</v>
      </c>
      <c r="C748" t="s">
        <v>72</v>
      </c>
      <c r="D748" t="s">
        <v>98</v>
      </c>
      <c r="E748" t="s">
        <v>33</v>
      </c>
      <c r="F748">
        <v>77.91</v>
      </c>
      <c r="G748">
        <v>156.4</v>
      </c>
      <c r="H748">
        <v>94.94</v>
      </c>
      <c r="I748">
        <v>95.46</v>
      </c>
      <c r="J748">
        <v>74.489999999999995</v>
      </c>
      <c r="K748" t="s">
        <v>47</v>
      </c>
      <c r="L748">
        <v>6.7</v>
      </c>
      <c r="M748">
        <v>1.7</v>
      </c>
      <c r="N748" t="s">
        <v>22</v>
      </c>
      <c r="O748">
        <v>5</v>
      </c>
      <c r="P748" t="s">
        <v>23</v>
      </c>
      <c r="Q748">
        <v>60.6</v>
      </c>
    </row>
    <row r="749" spans="1:17" x14ac:dyDescent="0.35">
      <c r="A749" s="1">
        <v>45816</v>
      </c>
      <c r="B749" t="s">
        <v>97</v>
      </c>
      <c r="C749" t="s">
        <v>72</v>
      </c>
      <c r="D749" t="s">
        <v>98</v>
      </c>
      <c r="E749" t="s">
        <v>27</v>
      </c>
      <c r="F749">
        <v>59.96</v>
      </c>
      <c r="G749">
        <v>39.4</v>
      </c>
      <c r="H749">
        <v>96.97</v>
      </c>
      <c r="I749">
        <v>93.61</v>
      </c>
      <c r="J749">
        <v>75.09</v>
      </c>
      <c r="K749" t="s">
        <v>28</v>
      </c>
      <c r="L749">
        <v>6.1</v>
      </c>
      <c r="M749">
        <v>2.9</v>
      </c>
      <c r="N749" t="s">
        <v>39</v>
      </c>
      <c r="O749">
        <v>11</v>
      </c>
      <c r="P749" t="s">
        <v>23</v>
      </c>
      <c r="Q749">
        <v>56.6</v>
      </c>
    </row>
    <row r="750" spans="1:17" x14ac:dyDescent="0.35">
      <c r="A750" s="1">
        <v>45817</v>
      </c>
      <c r="B750" t="s">
        <v>80</v>
      </c>
      <c r="C750" t="s">
        <v>45</v>
      </c>
      <c r="D750" t="s">
        <v>81</v>
      </c>
      <c r="E750" t="s">
        <v>27</v>
      </c>
      <c r="F750">
        <v>911.39</v>
      </c>
      <c r="G750">
        <v>466</v>
      </c>
      <c r="H750">
        <v>95.55</v>
      </c>
      <c r="I750">
        <v>98.4</v>
      </c>
      <c r="J750">
        <v>82.78</v>
      </c>
      <c r="K750" t="s">
        <v>47</v>
      </c>
      <c r="L750">
        <v>8.1999999999999993</v>
      </c>
      <c r="M750">
        <v>3.3</v>
      </c>
      <c r="N750" t="s">
        <v>39</v>
      </c>
      <c r="O750">
        <v>14</v>
      </c>
      <c r="P750" t="s">
        <v>23</v>
      </c>
      <c r="Q750">
        <v>64.3</v>
      </c>
    </row>
    <row r="751" spans="1:17" x14ac:dyDescent="0.35">
      <c r="A751" s="1">
        <v>45817</v>
      </c>
      <c r="B751" t="s">
        <v>93</v>
      </c>
      <c r="C751" t="s">
        <v>37</v>
      </c>
      <c r="D751" t="s">
        <v>94</v>
      </c>
      <c r="E751" t="s">
        <v>33</v>
      </c>
      <c r="F751">
        <v>400.67</v>
      </c>
      <c r="G751">
        <v>131.30000000000001</v>
      </c>
      <c r="H751">
        <v>96.88</v>
      </c>
      <c r="I751">
        <v>96.31</v>
      </c>
      <c r="J751">
        <v>73.58</v>
      </c>
      <c r="K751" t="s">
        <v>47</v>
      </c>
      <c r="L751">
        <v>9.3000000000000007</v>
      </c>
      <c r="M751">
        <v>4.3</v>
      </c>
      <c r="N751" t="s">
        <v>22</v>
      </c>
      <c r="O751">
        <v>5</v>
      </c>
      <c r="P751" t="s">
        <v>23</v>
      </c>
      <c r="Q751">
        <v>63</v>
      </c>
    </row>
    <row r="752" spans="1:17" x14ac:dyDescent="0.35">
      <c r="A752" s="1">
        <v>45817</v>
      </c>
      <c r="B752" t="s">
        <v>97</v>
      </c>
      <c r="C752" t="s">
        <v>72</v>
      </c>
      <c r="D752" t="s">
        <v>98</v>
      </c>
      <c r="E752" t="s">
        <v>33</v>
      </c>
      <c r="F752">
        <v>194.93</v>
      </c>
      <c r="G752">
        <v>205.9</v>
      </c>
      <c r="H752">
        <v>96.35</v>
      </c>
      <c r="I752">
        <v>95.75</v>
      </c>
      <c r="J752">
        <v>70.27</v>
      </c>
      <c r="K752" t="s">
        <v>34</v>
      </c>
      <c r="L752">
        <v>6.5</v>
      </c>
      <c r="M752">
        <v>3.8</v>
      </c>
      <c r="N752" t="s">
        <v>22</v>
      </c>
      <c r="O752">
        <v>9</v>
      </c>
      <c r="P752" t="s">
        <v>43</v>
      </c>
      <c r="Q752">
        <v>58.7</v>
      </c>
    </row>
    <row r="753" spans="1:17" x14ac:dyDescent="0.35">
      <c r="A753" s="1">
        <v>45817</v>
      </c>
      <c r="B753" t="s">
        <v>40</v>
      </c>
      <c r="C753" t="s">
        <v>41</v>
      </c>
      <c r="D753" t="s">
        <v>42</v>
      </c>
      <c r="E753" t="s">
        <v>27</v>
      </c>
      <c r="F753">
        <v>224.56</v>
      </c>
      <c r="G753">
        <v>37.6</v>
      </c>
      <c r="H753">
        <v>93.34</v>
      </c>
      <c r="I753">
        <v>96.48</v>
      </c>
      <c r="J753">
        <v>82.15</v>
      </c>
      <c r="K753" t="s">
        <v>34</v>
      </c>
      <c r="L753">
        <v>7.5</v>
      </c>
      <c r="M753">
        <v>2.7</v>
      </c>
      <c r="N753" t="s">
        <v>29</v>
      </c>
      <c r="O753">
        <v>14</v>
      </c>
      <c r="P753" t="s">
        <v>43</v>
      </c>
      <c r="Q753">
        <v>60.1</v>
      </c>
    </row>
    <row r="754" spans="1:17" x14ac:dyDescent="0.35">
      <c r="A754" s="1">
        <v>45817</v>
      </c>
      <c r="B754" t="s">
        <v>93</v>
      </c>
      <c r="C754" t="s">
        <v>37</v>
      </c>
      <c r="D754" t="s">
        <v>94</v>
      </c>
      <c r="E754" t="s">
        <v>33</v>
      </c>
      <c r="F754">
        <v>464.98</v>
      </c>
      <c r="G754">
        <v>234.2</v>
      </c>
      <c r="H754">
        <v>97.66</v>
      </c>
      <c r="I754">
        <v>93.79</v>
      </c>
      <c r="J754">
        <v>79.72</v>
      </c>
      <c r="K754" t="s">
        <v>47</v>
      </c>
      <c r="L754">
        <v>8.1999999999999993</v>
      </c>
      <c r="M754">
        <v>2.7</v>
      </c>
      <c r="N754" t="s">
        <v>22</v>
      </c>
      <c r="O754">
        <v>5</v>
      </c>
      <c r="P754" t="s">
        <v>23</v>
      </c>
      <c r="Q754">
        <v>63.7</v>
      </c>
    </row>
    <row r="755" spans="1:17" x14ac:dyDescent="0.35">
      <c r="A755" s="1">
        <v>45817</v>
      </c>
      <c r="B755" t="s">
        <v>53</v>
      </c>
      <c r="C755" t="s">
        <v>41</v>
      </c>
      <c r="D755" t="s">
        <v>54</v>
      </c>
      <c r="E755" t="s">
        <v>27</v>
      </c>
      <c r="F755">
        <v>230.92</v>
      </c>
      <c r="G755">
        <v>71.400000000000006</v>
      </c>
      <c r="H755">
        <v>95.84</v>
      </c>
      <c r="I755">
        <v>98.15</v>
      </c>
      <c r="J755">
        <v>77.61</v>
      </c>
      <c r="K755" t="s">
        <v>28</v>
      </c>
      <c r="L755">
        <v>8.4</v>
      </c>
      <c r="M755">
        <v>3.8</v>
      </c>
      <c r="N755" t="s">
        <v>29</v>
      </c>
      <c r="O755">
        <v>11</v>
      </c>
      <c r="P755" t="s">
        <v>43</v>
      </c>
      <c r="Q755">
        <v>61.5</v>
      </c>
    </row>
    <row r="756" spans="1:17" x14ac:dyDescent="0.35">
      <c r="A756" s="1">
        <v>45817</v>
      </c>
      <c r="B756" t="s">
        <v>48</v>
      </c>
      <c r="C756" t="s">
        <v>49</v>
      </c>
      <c r="D756" t="s">
        <v>50</v>
      </c>
      <c r="E756" t="s">
        <v>33</v>
      </c>
      <c r="F756">
        <v>473.54</v>
      </c>
      <c r="G756">
        <v>164.7</v>
      </c>
      <c r="H756">
        <v>96.65</v>
      </c>
      <c r="I756">
        <v>94.52</v>
      </c>
      <c r="J756">
        <v>75.34</v>
      </c>
      <c r="K756" t="s">
        <v>34</v>
      </c>
      <c r="L756">
        <v>8.5</v>
      </c>
      <c r="M756">
        <v>2.8</v>
      </c>
      <c r="N756" t="s">
        <v>22</v>
      </c>
      <c r="O756">
        <v>8</v>
      </c>
      <c r="P756" t="s">
        <v>43</v>
      </c>
      <c r="Q756">
        <v>63.3</v>
      </c>
    </row>
    <row r="757" spans="1:17" x14ac:dyDescent="0.35">
      <c r="A757" s="1">
        <v>45817</v>
      </c>
      <c r="B757" t="s">
        <v>95</v>
      </c>
      <c r="C757" t="s">
        <v>49</v>
      </c>
      <c r="D757" t="s">
        <v>96</v>
      </c>
      <c r="E757" t="s">
        <v>27</v>
      </c>
      <c r="F757">
        <v>213.07</v>
      </c>
      <c r="G757">
        <v>46.2</v>
      </c>
      <c r="H757">
        <v>96.23</v>
      </c>
      <c r="I757">
        <v>95.33</v>
      </c>
      <c r="J757">
        <v>77.69</v>
      </c>
      <c r="K757" t="s">
        <v>47</v>
      </c>
      <c r="L757">
        <v>7.1</v>
      </c>
      <c r="M757">
        <v>2.8</v>
      </c>
      <c r="N757" t="s">
        <v>29</v>
      </c>
      <c r="O757">
        <v>9</v>
      </c>
      <c r="P757" t="s">
        <v>23</v>
      </c>
      <c r="Q757">
        <v>59.1</v>
      </c>
    </row>
    <row r="758" spans="1:17" x14ac:dyDescent="0.35">
      <c r="A758" s="1">
        <v>45817</v>
      </c>
      <c r="B758" t="s">
        <v>76</v>
      </c>
      <c r="C758" t="s">
        <v>45</v>
      </c>
      <c r="D758" t="s">
        <v>77</v>
      </c>
      <c r="E758" t="s">
        <v>33</v>
      </c>
      <c r="F758">
        <v>157.35</v>
      </c>
      <c r="G758">
        <v>439.8</v>
      </c>
      <c r="H758">
        <v>92.9</v>
      </c>
      <c r="I758">
        <v>98.1</v>
      </c>
      <c r="J758">
        <v>79.77</v>
      </c>
      <c r="K758" t="s">
        <v>34</v>
      </c>
      <c r="L758">
        <v>7.4</v>
      </c>
      <c r="M758">
        <v>2.2000000000000002</v>
      </c>
      <c r="N758" t="s">
        <v>35</v>
      </c>
      <c r="O758">
        <v>8</v>
      </c>
      <c r="P758" t="s">
        <v>23</v>
      </c>
      <c r="Q758">
        <v>62.7</v>
      </c>
    </row>
    <row r="759" spans="1:17" x14ac:dyDescent="0.35">
      <c r="A759" s="1">
        <v>45817</v>
      </c>
      <c r="B759" t="s">
        <v>44</v>
      </c>
      <c r="C759" t="s">
        <v>45</v>
      </c>
      <c r="D759" t="s">
        <v>46</v>
      </c>
      <c r="E759" t="s">
        <v>27</v>
      </c>
      <c r="F759">
        <v>170.56</v>
      </c>
      <c r="G759">
        <v>718.3</v>
      </c>
      <c r="H759">
        <v>93.43</v>
      </c>
      <c r="I759">
        <v>98.58</v>
      </c>
      <c r="J759">
        <v>82.93</v>
      </c>
      <c r="K759" t="s">
        <v>28</v>
      </c>
      <c r="L759">
        <v>6.6</v>
      </c>
      <c r="M759">
        <v>3.4</v>
      </c>
      <c r="N759" t="s">
        <v>39</v>
      </c>
      <c r="O759">
        <v>15</v>
      </c>
      <c r="P759" t="s">
        <v>23</v>
      </c>
      <c r="Q759">
        <v>61.2</v>
      </c>
    </row>
    <row r="760" spans="1:17" x14ac:dyDescent="0.35">
      <c r="A760" s="1">
        <v>45817</v>
      </c>
      <c r="B760" t="s">
        <v>89</v>
      </c>
      <c r="C760" t="s">
        <v>67</v>
      </c>
      <c r="D760" t="s">
        <v>90</v>
      </c>
      <c r="E760" t="s">
        <v>27</v>
      </c>
      <c r="F760">
        <v>240.16</v>
      </c>
      <c r="G760">
        <v>48.9</v>
      </c>
      <c r="H760">
        <v>94.23</v>
      </c>
      <c r="I760">
        <v>96.81</v>
      </c>
      <c r="J760">
        <v>76.42</v>
      </c>
      <c r="K760" t="s">
        <v>47</v>
      </c>
      <c r="L760">
        <v>8</v>
      </c>
      <c r="M760">
        <v>2.2999999999999998</v>
      </c>
      <c r="N760" t="s">
        <v>39</v>
      </c>
      <c r="O760">
        <v>8</v>
      </c>
      <c r="P760" t="s">
        <v>23</v>
      </c>
      <c r="Q760">
        <v>60.7</v>
      </c>
    </row>
    <row r="761" spans="1:17" x14ac:dyDescent="0.35">
      <c r="A761" s="1">
        <v>45817</v>
      </c>
      <c r="B761" t="s">
        <v>55</v>
      </c>
      <c r="C761" t="s">
        <v>56</v>
      </c>
      <c r="D761">
        <v>4</v>
      </c>
      <c r="E761" t="s">
        <v>57</v>
      </c>
      <c r="F761">
        <v>30</v>
      </c>
      <c r="G761">
        <v>125</v>
      </c>
      <c r="H761">
        <v>87.55</v>
      </c>
      <c r="I761">
        <v>95.22</v>
      </c>
      <c r="J761">
        <v>77.3</v>
      </c>
      <c r="K761" t="s">
        <v>58</v>
      </c>
      <c r="L761">
        <v>6.4</v>
      </c>
      <c r="N761" t="s">
        <v>35</v>
      </c>
      <c r="O761">
        <v>2</v>
      </c>
      <c r="P761" t="s">
        <v>43</v>
      </c>
      <c r="Q761">
        <v>67.8</v>
      </c>
    </row>
    <row r="762" spans="1:17" x14ac:dyDescent="0.35">
      <c r="A762" s="1">
        <v>45817</v>
      </c>
      <c r="B762" t="s">
        <v>59</v>
      </c>
      <c r="C762" t="s">
        <v>60</v>
      </c>
      <c r="D762" t="s">
        <v>61</v>
      </c>
      <c r="E762" t="s">
        <v>62</v>
      </c>
      <c r="F762">
        <v>518.29999999999995</v>
      </c>
      <c r="G762">
        <v>190.6</v>
      </c>
      <c r="H762">
        <v>87.15</v>
      </c>
      <c r="I762">
        <v>95.72</v>
      </c>
      <c r="J762">
        <v>91.6</v>
      </c>
      <c r="K762" t="s">
        <v>63</v>
      </c>
      <c r="L762">
        <v>9.1</v>
      </c>
      <c r="N762" t="s">
        <v>35</v>
      </c>
      <c r="O762">
        <v>4</v>
      </c>
      <c r="P762" t="s">
        <v>23</v>
      </c>
      <c r="Q762">
        <v>77.099999999999994</v>
      </c>
    </row>
    <row r="763" spans="1:17" x14ac:dyDescent="0.35">
      <c r="A763" s="1">
        <v>45817</v>
      </c>
      <c r="B763" t="s">
        <v>55</v>
      </c>
      <c r="C763" t="s">
        <v>56</v>
      </c>
      <c r="D763">
        <v>4</v>
      </c>
      <c r="E763" t="s">
        <v>57</v>
      </c>
      <c r="F763">
        <v>30</v>
      </c>
      <c r="G763">
        <v>121</v>
      </c>
      <c r="H763">
        <v>86.46</v>
      </c>
      <c r="I763">
        <v>94.55</v>
      </c>
      <c r="J763">
        <v>74.02</v>
      </c>
      <c r="K763" t="s">
        <v>21</v>
      </c>
      <c r="L763">
        <v>7.5</v>
      </c>
      <c r="N763" t="s">
        <v>35</v>
      </c>
      <c r="O763">
        <v>3</v>
      </c>
      <c r="P763" t="s">
        <v>43</v>
      </c>
      <c r="Q763">
        <v>68.900000000000006</v>
      </c>
    </row>
    <row r="764" spans="1:17" x14ac:dyDescent="0.35">
      <c r="A764" s="1">
        <v>45817</v>
      </c>
      <c r="B764" t="s">
        <v>40</v>
      </c>
      <c r="C764" t="s">
        <v>41</v>
      </c>
      <c r="D764" t="s">
        <v>42</v>
      </c>
      <c r="E764" t="s">
        <v>27</v>
      </c>
      <c r="F764">
        <v>283.63</v>
      </c>
      <c r="G764">
        <v>64.7</v>
      </c>
      <c r="H764">
        <v>94.94</v>
      </c>
      <c r="I764">
        <v>96.62</v>
      </c>
      <c r="J764">
        <v>76.41</v>
      </c>
      <c r="K764" t="s">
        <v>28</v>
      </c>
      <c r="L764">
        <v>8.3000000000000007</v>
      </c>
      <c r="M764">
        <v>3.3</v>
      </c>
      <c r="N764" t="s">
        <v>39</v>
      </c>
      <c r="O764">
        <v>11</v>
      </c>
      <c r="P764" t="s">
        <v>43</v>
      </c>
      <c r="Q764">
        <v>60.9</v>
      </c>
    </row>
    <row r="765" spans="1:17" x14ac:dyDescent="0.35">
      <c r="A765" s="1">
        <v>45817</v>
      </c>
      <c r="B765" t="s">
        <v>59</v>
      </c>
      <c r="C765" t="s">
        <v>60</v>
      </c>
      <c r="D765" t="s">
        <v>61</v>
      </c>
      <c r="E765" t="s">
        <v>62</v>
      </c>
      <c r="F765">
        <v>444.23</v>
      </c>
      <c r="G765">
        <v>184.9</v>
      </c>
      <c r="H765">
        <v>85.49</v>
      </c>
      <c r="I765">
        <v>96.16</v>
      </c>
      <c r="J765">
        <v>87.95</v>
      </c>
      <c r="K765" t="s">
        <v>34</v>
      </c>
      <c r="L765">
        <v>8.5</v>
      </c>
      <c r="N765" t="s">
        <v>35</v>
      </c>
      <c r="O765">
        <v>3</v>
      </c>
      <c r="P765" t="s">
        <v>43</v>
      </c>
      <c r="Q765">
        <v>74.900000000000006</v>
      </c>
    </row>
    <row r="766" spans="1:17" x14ac:dyDescent="0.35">
      <c r="A766" s="1">
        <v>45817</v>
      </c>
      <c r="B766" t="s">
        <v>59</v>
      </c>
      <c r="C766" t="s">
        <v>60</v>
      </c>
      <c r="D766" t="s">
        <v>61</v>
      </c>
      <c r="E766" t="s">
        <v>62</v>
      </c>
      <c r="F766">
        <v>442.56</v>
      </c>
      <c r="G766">
        <v>169.3</v>
      </c>
      <c r="H766">
        <v>89.33</v>
      </c>
      <c r="I766">
        <v>94.99</v>
      </c>
      <c r="J766">
        <v>88.05</v>
      </c>
      <c r="K766" t="s">
        <v>63</v>
      </c>
      <c r="L766">
        <v>8</v>
      </c>
      <c r="N766" t="s">
        <v>35</v>
      </c>
      <c r="O766">
        <v>6</v>
      </c>
      <c r="P766" t="s">
        <v>43</v>
      </c>
      <c r="Q766">
        <v>74.5</v>
      </c>
    </row>
    <row r="767" spans="1:17" x14ac:dyDescent="0.35">
      <c r="A767" s="1">
        <v>45817</v>
      </c>
      <c r="B767" t="s">
        <v>59</v>
      </c>
      <c r="C767" t="s">
        <v>60</v>
      </c>
      <c r="D767" t="s">
        <v>61</v>
      </c>
      <c r="E767" t="s">
        <v>62</v>
      </c>
      <c r="F767">
        <v>494.89</v>
      </c>
      <c r="G767">
        <v>191.2</v>
      </c>
      <c r="H767">
        <v>91.01</v>
      </c>
      <c r="I767">
        <v>95.45</v>
      </c>
      <c r="J767">
        <v>89.79</v>
      </c>
      <c r="K767" t="s">
        <v>63</v>
      </c>
      <c r="L767">
        <v>9.4</v>
      </c>
      <c r="N767" t="s">
        <v>35</v>
      </c>
      <c r="O767">
        <v>5</v>
      </c>
      <c r="P767" t="s">
        <v>43</v>
      </c>
      <c r="Q767">
        <v>78</v>
      </c>
    </row>
    <row r="768" spans="1:17" x14ac:dyDescent="0.35">
      <c r="A768" s="1">
        <v>45817</v>
      </c>
      <c r="B768" t="s">
        <v>48</v>
      </c>
      <c r="C768" t="s">
        <v>49</v>
      </c>
      <c r="D768" t="s">
        <v>50</v>
      </c>
      <c r="E768" t="s">
        <v>27</v>
      </c>
      <c r="F768">
        <v>289.81</v>
      </c>
      <c r="G768">
        <v>28.8</v>
      </c>
      <c r="H768">
        <v>94.82</v>
      </c>
      <c r="I768">
        <v>94.55</v>
      </c>
      <c r="J768">
        <v>81.95</v>
      </c>
      <c r="K768" t="s">
        <v>34</v>
      </c>
      <c r="L768">
        <v>8</v>
      </c>
      <c r="M768">
        <v>2.7</v>
      </c>
      <c r="N768" t="s">
        <v>39</v>
      </c>
      <c r="O768">
        <v>14</v>
      </c>
      <c r="P768" t="s">
        <v>23</v>
      </c>
      <c r="Q768">
        <v>60.7</v>
      </c>
    </row>
    <row r="769" spans="1:17" x14ac:dyDescent="0.35">
      <c r="A769" s="1">
        <v>45817</v>
      </c>
      <c r="B769" t="s">
        <v>86</v>
      </c>
      <c r="C769" t="s">
        <v>25</v>
      </c>
      <c r="D769" t="s">
        <v>87</v>
      </c>
      <c r="E769" t="s">
        <v>27</v>
      </c>
      <c r="F769">
        <v>330.71</v>
      </c>
      <c r="G769">
        <v>21.4</v>
      </c>
      <c r="H769">
        <v>96.19</v>
      </c>
      <c r="I769">
        <v>96.26</v>
      </c>
      <c r="J769">
        <v>79.47</v>
      </c>
      <c r="K769" t="s">
        <v>28</v>
      </c>
      <c r="L769">
        <v>7.9</v>
      </c>
      <c r="M769">
        <v>4.7</v>
      </c>
      <c r="N769" t="s">
        <v>29</v>
      </c>
      <c r="O769">
        <v>9</v>
      </c>
      <c r="P769" t="s">
        <v>30</v>
      </c>
      <c r="Q769">
        <v>59.1</v>
      </c>
    </row>
    <row r="770" spans="1:17" x14ac:dyDescent="0.35">
      <c r="A770" s="1">
        <v>45817</v>
      </c>
      <c r="B770" t="s">
        <v>86</v>
      </c>
      <c r="C770" t="s">
        <v>25</v>
      </c>
      <c r="D770" t="s">
        <v>87</v>
      </c>
      <c r="E770" t="s">
        <v>27</v>
      </c>
      <c r="F770">
        <v>258.22000000000003</v>
      </c>
      <c r="G770">
        <v>62</v>
      </c>
      <c r="H770">
        <v>94.23</v>
      </c>
      <c r="I770">
        <v>96.49</v>
      </c>
      <c r="J770">
        <v>82.5</v>
      </c>
      <c r="K770" t="s">
        <v>47</v>
      </c>
      <c r="L770">
        <v>8.1999999999999993</v>
      </c>
      <c r="M770">
        <v>2.2000000000000002</v>
      </c>
      <c r="N770" t="s">
        <v>39</v>
      </c>
      <c r="O770">
        <v>9</v>
      </c>
      <c r="P770" t="s">
        <v>30</v>
      </c>
      <c r="Q770">
        <v>62.3</v>
      </c>
    </row>
    <row r="771" spans="1:17" x14ac:dyDescent="0.35">
      <c r="A771" s="1">
        <v>45817</v>
      </c>
      <c r="B771" t="s">
        <v>80</v>
      </c>
      <c r="C771" t="s">
        <v>45</v>
      </c>
      <c r="D771" t="s">
        <v>81</v>
      </c>
      <c r="E771" t="s">
        <v>33</v>
      </c>
      <c r="F771">
        <v>357.79</v>
      </c>
      <c r="G771">
        <v>472.5</v>
      </c>
      <c r="H771">
        <v>93.62</v>
      </c>
      <c r="I771">
        <v>98.85</v>
      </c>
      <c r="J771">
        <v>75.37</v>
      </c>
      <c r="K771" t="s">
        <v>47</v>
      </c>
      <c r="L771">
        <v>7.4</v>
      </c>
      <c r="M771">
        <v>1.8</v>
      </c>
      <c r="N771" t="s">
        <v>35</v>
      </c>
      <c r="O771">
        <v>8</v>
      </c>
      <c r="P771" t="s">
        <v>23</v>
      </c>
      <c r="Q771">
        <v>62.4</v>
      </c>
    </row>
    <row r="772" spans="1:17" x14ac:dyDescent="0.35">
      <c r="A772" s="1">
        <v>45817</v>
      </c>
      <c r="B772" t="s">
        <v>17</v>
      </c>
      <c r="C772" t="s">
        <v>18</v>
      </c>
      <c r="D772" t="s">
        <v>19</v>
      </c>
      <c r="E772" t="s">
        <v>20</v>
      </c>
      <c r="F772">
        <v>201.14</v>
      </c>
      <c r="G772">
        <v>199.4</v>
      </c>
      <c r="H772">
        <v>92.83</v>
      </c>
      <c r="I772">
        <v>95.58</v>
      </c>
      <c r="J772">
        <v>74.91</v>
      </c>
      <c r="K772" t="s">
        <v>58</v>
      </c>
      <c r="L772">
        <v>7.1</v>
      </c>
      <c r="N772" t="s">
        <v>35</v>
      </c>
      <c r="O772">
        <v>10</v>
      </c>
      <c r="P772" t="s">
        <v>23</v>
      </c>
      <c r="Q772">
        <v>70.900000000000006</v>
      </c>
    </row>
    <row r="773" spans="1:17" x14ac:dyDescent="0.35">
      <c r="A773" s="1">
        <v>45817</v>
      </c>
      <c r="B773" t="s">
        <v>31</v>
      </c>
      <c r="C773" t="s">
        <v>18</v>
      </c>
      <c r="D773" t="s">
        <v>32</v>
      </c>
      <c r="E773" t="s">
        <v>33</v>
      </c>
      <c r="F773">
        <v>99.77</v>
      </c>
      <c r="G773">
        <v>239.9</v>
      </c>
      <c r="H773">
        <v>95.21</v>
      </c>
      <c r="I773">
        <v>93.65</v>
      </c>
      <c r="J773">
        <v>73.180000000000007</v>
      </c>
      <c r="K773" t="s">
        <v>47</v>
      </c>
      <c r="L773">
        <v>7.5</v>
      </c>
      <c r="M773">
        <v>1.9</v>
      </c>
      <c r="N773" t="s">
        <v>35</v>
      </c>
      <c r="O773">
        <v>6</v>
      </c>
      <c r="P773" t="s">
        <v>23</v>
      </c>
      <c r="Q773">
        <v>61.6</v>
      </c>
    </row>
    <row r="774" spans="1:17" x14ac:dyDescent="0.35">
      <c r="A774" s="1">
        <v>45817</v>
      </c>
      <c r="B774" t="s">
        <v>66</v>
      </c>
      <c r="C774" t="s">
        <v>67</v>
      </c>
      <c r="D774" t="s">
        <v>68</v>
      </c>
      <c r="E774" t="s">
        <v>27</v>
      </c>
      <c r="F774">
        <v>366.28</v>
      </c>
      <c r="G774">
        <v>20.5</v>
      </c>
      <c r="H774">
        <v>97.25</v>
      </c>
      <c r="I774">
        <v>95.62</v>
      </c>
      <c r="J774">
        <v>83.94</v>
      </c>
      <c r="K774" t="s">
        <v>34</v>
      </c>
      <c r="L774">
        <v>7.6</v>
      </c>
      <c r="M774">
        <v>2.2999999999999998</v>
      </c>
      <c r="N774" t="s">
        <v>39</v>
      </c>
      <c r="O774">
        <v>14</v>
      </c>
      <c r="P774" t="s">
        <v>43</v>
      </c>
      <c r="Q774">
        <v>61</v>
      </c>
    </row>
    <row r="775" spans="1:17" x14ac:dyDescent="0.35">
      <c r="A775" s="1">
        <v>45817</v>
      </c>
      <c r="B775" t="s">
        <v>64</v>
      </c>
      <c r="C775" t="s">
        <v>25</v>
      </c>
      <c r="D775" t="s">
        <v>65</v>
      </c>
      <c r="E775" t="s">
        <v>27</v>
      </c>
      <c r="F775">
        <v>578.76</v>
      </c>
      <c r="G775">
        <v>22.6</v>
      </c>
      <c r="H775">
        <v>93.57</v>
      </c>
      <c r="I775">
        <v>97.1</v>
      </c>
      <c r="J775">
        <v>75.819999999999993</v>
      </c>
      <c r="K775" t="s">
        <v>47</v>
      </c>
      <c r="L775">
        <v>9.4</v>
      </c>
      <c r="M775">
        <v>2.2999999999999998</v>
      </c>
      <c r="N775" t="s">
        <v>39</v>
      </c>
      <c r="O775">
        <v>15</v>
      </c>
      <c r="P775" t="s">
        <v>30</v>
      </c>
      <c r="Q775">
        <v>62.3</v>
      </c>
    </row>
    <row r="776" spans="1:17" x14ac:dyDescent="0.35">
      <c r="A776" s="1">
        <v>45817</v>
      </c>
      <c r="B776" t="s">
        <v>48</v>
      </c>
      <c r="C776" t="s">
        <v>49</v>
      </c>
      <c r="D776" t="s">
        <v>50</v>
      </c>
      <c r="E776" t="s">
        <v>33</v>
      </c>
      <c r="F776">
        <v>334.15</v>
      </c>
      <c r="G776">
        <v>146.4</v>
      </c>
      <c r="H776">
        <v>97.16</v>
      </c>
      <c r="I776">
        <v>96.96</v>
      </c>
      <c r="J776">
        <v>73.05</v>
      </c>
      <c r="K776" t="s">
        <v>28</v>
      </c>
      <c r="L776">
        <v>7.1</v>
      </c>
      <c r="M776">
        <v>4.9000000000000004</v>
      </c>
      <c r="N776" t="s">
        <v>35</v>
      </c>
      <c r="O776">
        <v>6</v>
      </c>
      <c r="P776" t="s">
        <v>43</v>
      </c>
      <c r="Q776">
        <v>59.3</v>
      </c>
    </row>
    <row r="777" spans="1:17" x14ac:dyDescent="0.35">
      <c r="A777" s="1">
        <v>45817</v>
      </c>
      <c r="B777" t="s">
        <v>55</v>
      </c>
      <c r="C777" t="s">
        <v>56</v>
      </c>
      <c r="D777">
        <v>4</v>
      </c>
      <c r="E777" t="s">
        <v>57</v>
      </c>
      <c r="F777">
        <v>30</v>
      </c>
      <c r="G777">
        <v>161.4</v>
      </c>
      <c r="H777">
        <v>85.16</v>
      </c>
      <c r="I777">
        <v>93.91</v>
      </c>
      <c r="J777">
        <v>71.260000000000005</v>
      </c>
      <c r="K777" t="s">
        <v>63</v>
      </c>
      <c r="L777">
        <v>7.1</v>
      </c>
      <c r="N777" t="s">
        <v>35</v>
      </c>
      <c r="O777">
        <v>2</v>
      </c>
      <c r="P777" t="s">
        <v>23</v>
      </c>
      <c r="Q777">
        <v>68.099999999999994</v>
      </c>
    </row>
    <row r="778" spans="1:17" x14ac:dyDescent="0.35">
      <c r="A778" s="1">
        <v>45817</v>
      </c>
      <c r="B778" t="s">
        <v>78</v>
      </c>
      <c r="C778" t="s">
        <v>41</v>
      </c>
      <c r="D778" t="s">
        <v>79</v>
      </c>
      <c r="E778" t="s">
        <v>27</v>
      </c>
      <c r="F778">
        <v>689.84</v>
      </c>
      <c r="G778">
        <v>43.8</v>
      </c>
      <c r="H778">
        <v>97.61</v>
      </c>
      <c r="I778">
        <v>96.02</v>
      </c>
      <c r="J778">
        <v>78.84</v>
      </c>
      <c r="K778" t="s">
        <v>34</v>
      </c>
      <c r="L778">
        <v>9.1</v>
      </c>
      <c r="M778">
        <v>4.8</v>
      </c>
      <c r="N778" t="s">
        <v>29</v>
      </c>
      <c r="O778">
        <v>8</v>
      </c>
      <c r="P778" t="s">
        <v>43</v>
      </c>
      <c r="Q778">
        <v>61.6</v>
      </c>
    </row>
    <row r="779" spans="1:17" x14ac:dyDescent="0.35">
      <c r="A779" s="1">
        <v>45817</v>
      </c>
      <c r="B779" t="s">
        <v>80</v>
      </c>
      <c r="C779" t="s">
        <v>45</v>
      </c>
      <c r="D779" t="s">
        <v>81</v>
      </c>
      <c r="E779" t="s">
        <v>27</v>
      </c>
      <c r="F779">
        <v>508.09</v>
      </c>
      <c r="G779">
        <v>413.7</v>
      </c>
      <c r="H779">
        <v>92.97</v>
      </c>
      <c r="I779">
        <v>98.35</v>
      </c>
      <c r="J779">
        <v>79.95</v>
      </c>
      <c r="K779" t="s">
        <v>47</v>
      </c>
      <c r="L779">
        <v>8.1999999999999993</v>
      </c>
      <c r="M779">
        <v>3.7</v>
      </c>
      <c r="N779" t="s">
        <v>29</v>
      </c>
      <c r="O779">
        <v>9</v>
      </c>
      <c r="P779" t="s">
        <v>23</v>
      </c>
      <c r="Q779">
        <v>63.1</v>
      </c>
    </row>
    <row r="780" spans="1:17" x14ac:dyDescent="0.35">
      <c r="A780" s="1">
        <v>45817</v>
      </c>
      <c r="B780" t="s">
        <v>17</v>
      </c>
      <c r="C780" t="s">
        <v>18</v>
      </c>
      <c r="D780" t="s">
        <v>19</v>
      </c>
      <c r="E780" t="s">
        <v>20</v>
      </c>
      <c r="F780">
        <v>83.72</v>
      </c>
      <c r="G780">
        <v>121.7</v>
      </c>
      <c r="H780">
        <v>90.05</v>
      </c>
      <c r="I780">
        <v>96.03</v>
      </c>
      <c r="J780">
        <v>78.430000000000007</v>
      </c>
      <c r="K780" t="s">
        <v>63</v>
      </c>
      <c r="L780">
        <v>7.5</v>
      </c>
      <c r="N780" t="s">
        <v>35</v>
      </c>
      <c r="O780">
        <v>8</v>
      </c>
      <c r="P780" t="s">
        <v>23</v>
      </c>
      <c r="Q780">
        <v>70.8</v>
      </c>
    </row>
    <row r="781" spans="1:17" x14ac:dyDescent="0.35">
      <c r="A781" s="1">
        <v>45817</v>
      </c>
      <c r="B781" t="s">
        <v>59</v>
      </c>
      <c r="C781" t="s">
        <v>60</v>
      </c>
      <c r="D781" t="s">
        <v>61</v>
      </c>
      <c r="E781" t="s">
        <v>62</v>
      </c>
      <c r="F781">
        <v>437.92</v>
      </c>
      <c r="G781">
        <v>190.1</v>
      </c>
      <c r="H781">
        <v>89.46</v>
      </c>
      <c r="I781">
        <v>94.76</v>
      </c>
      <c r="J781">
        <v>86.32</v>
      </c>
      <c r="K781" t="s">
        <v>63</v>
      </c>
      <c r="L781">
        <v>8.3000000000000007</v>
      </c>
      <c r="N781" t="s">
        <v>35</v>
      </c>
      <c r="O781">
        <v>3</v>
      </c>
      <c r="P781" t="s">
        <v>23</v>
      </c>
      <c r="Q781">
        <v>74.7</v>
      </c>
    </row>
    <row r="782" spans="1:17" x14ac:dyDescent="0.35">
      <c r="A782" s="1">
        <v>45817</v>
      </c>
      <c r="B782" t="s">
        <v>84</v>
      </c>
      <c r="C782" t="s">
        <v>18</v>
      </c>
      <c r="D782" t="s">
        <v>85</v>
      </c>
      <c r="E782" t="s">
        <v>33</v>
      </c>
      <c r="F782">
        <v>196.53</v>
      </c>
      <c r="G782">
        <v>153.4</v>
      </c>
      <c r="H782">
        <v>93.12</v>
      </c>
      <c r="I782">
        <v>94.99</v>
      </c>
      <c r="J782">
        <v>71.319999999999993</v>
      </c>
      <c r="K782" t="s">
        <v>28</v>
      </c>
      <c r="L782">
        <v>7.8</v>
      </c>
      <c r="M782">
        <v>4.8</v>
      </c>
      <c r="N782" t="s">
        <v>22</v>
      </c>
      <c r="O782">
        <v>10</v>
      </c>
      <c r="P782" t="s">
        <v>23</v>
      </c>
      <c r="Q782">
        <v>59.4</v>
      </c>
    </row>
    <row r="783" spans="1:17" x14ac:dyDescent="0.35">
      <c r="A783" s="1">
        <v>45817</v>
      </c>
      <c r="B783" t="s">
        <v>91</v>
      </c>
      <c r="C783" t="s">
        <v>67</v>
      </c>
      <c r="D783" t="s">
        <v>92</v>
      </c>
      <c r="E783" t="s">
        <v>27</v>
      </c>
      <c r="F783">
        <v>659.77</v>
      </c>
      <c r="G783">
        <v>57.7</v>
      </c>
      <c r="H783">
        <v>97.53</v>
      </c>
      <c r="I783">
        <v>96.61</v>
      </c>
      <c r="J783">
        <v>81.040000000000006</v>
      </c>
      <c r="K783" t="s">
        <v>34</v>
      </c>
      <c r="L783">
        <v>9</v>
      </c>
      <c r="M783">
        <v>4.4000000000000004</v>
      </c>
      <c r="N783" t="s">
        <v>39</v>
      </c>
      <c r="O783">
        <v>15</v>
      </c>
      <c r="P783" t="s">
        <v>23</v>
      </c>
      <c r="Q783">
        <v>62.4</v>
      </c>
    </row>
    <row r="784" spans="1:17" x14ac:dyDescent="0.35">
      <c r="A784" s="1">
        <v>45817</v>
      </c>
      <c r="B784" t="s">
        <v>55</v>
      </c>
      <c r="C784" t="s">
        <v>56</v>
      </c>
      <c r="D784">
        <v>4</v>
      </c>
      <c r="E784" t="s">
        <v>57</v>
      </c>
      <c r="F784">
        <v>30</v>
      </c>
      <c r="G784">
        <v>137.80000000000001</v>
      </c>
      <c r="H784">
        <v>89.1</v>
      </c>
      <c r="I784">
        <v>94.86</v>
      </c>
      <c r="J784">
        <v>71.180000000000007</v>
      </c>
      <c r="K784" t="s">
        <v>58</v>
      </c>
      <c r="L784">
        <v>7.7</v>
      </c>
      <c r="N784" t="s">
        <v>35</v>
      </c>
      <c r="O784">
        <v>2</v>
      </c>
      <c r="P784" t="s">
        <v>23</v>
      </c>
      <c r="Q784">
        <v>69.7</v>
      </c>
    </row>
    <row r="785" spans="1:17" x14ac:dyDescent="0.35">
      <c r="A785" s="1">
        <v>45817</v>
      </c>
      <c r="B785" t="s">
        <v>95</v>
      </c>
      <c r="C785" t="s">
        <v>49</v>
      </c>
      <c r="D785" t="s">
        <v>96</v>
      </c>
      <c r="E785" t="s">
        <v>33</v>
      </c>
      <c r="F785">
        <v>373.95</v>
      </c>
      <c r="G785">
        <v>154</v>
      </c>
      <c r="H785">
        <v>93.49</v>
      </c>
      <c r="I785">
        <v>93.44</v>
      </c>
      <c r="J785">
        <v>78.19</v>
      </c>
      <c r="K785" t="s">
        <v>28</v>
      </c>
      <c r="L785">
        <v>8</v>
      </c>
      <c r="M785">
        <v>2.5</v>
      </c>
      <c r="N785" t="s">
        <v>35</v>
      </c>
      <c r="O785">
        <v>9</v>
      </c>
      <c r="P785" t="s">
        <v>43</v>
      </c>
      <c r="Q785">
        <v>62.2</v>
      </c>
    </row>
    <row r="786" spans="1:17" x14ac:dyDescent="0.35">
      <c r="A786" s="1">
        <v>45817</v>
      </c>
      <c r="B786" t="s">
        <v>66</v>
      </c>
      <c r="C786" t="s">
        <v>67</v>
      </c>
      <c r="D786" t="s">
        <v>68</v>
      </c>
      <c r="E786" t="s">
        <v>27</v>
      </c>
      <c r="F786">
        <v>612.72</v>
      </c>
      <c r="G786">
        <v>23.1</v>
      </c>
      <c r="H786">
        <v>95.02</v>
      </c>
      <c r="I786">
        <v>95.8</v>
      </c>
      <c r="J786">
        <v>79.77</v>
      </c>
      <c r="K786" t="s">
        <v>34</v>
      </c>
      <c r="L786">
        <v>9.3000000000000007</v>
      </c>
      <c r="M786">
        <v>3.9</v>
      </c>
      <c r="N786" t="s">
        <v>29</v>
      </c>
      <c r="O786">
        <v>9</v>
      </c>
      <c r="P786" t="s">
        <v>43</v>
      </c>
      <c r="Q786">
        <v>61.8</v>
      </c>
    </row>
    <row r="787" spans="1:17" x14ac:dyDescent="0.35">
      <c r="A787" s="1">
        <v>45817</v>
      </c>
      <c r="B787" t="s">
        <v>93</v>
      </c>
      <c r="C787" t="s">
        <v>37</v>
      </c>
      <c r="D787" t="s">
        <v>94</v>
      </c>
      <c r="E787" t="s">
        <v>27</v>
      </c>
      <c r="F787">
        <v>256.73</v>
      </c>
      <c r="G787">
        <v>38.700000000000003</v>
      </c>
      <c r="H787">
        <v>94.59</v>
      </c>
      <c r="I787">
        <v>95.75</v>
      </c>
      <c r="J787">
        <v>77.150000000000006</v>
      </c>
      <c r="K787" t="s">
        <v>34</v>
      </c>
      <c r="L787">
        <v>7</v>
      </c>
      <c r="M787">
        <v>3.4</v>
      </c>
      <c r="N787" t="s">
        <v>29</v>
      </c>
      <c r="O787">
        <v>10</v>
      </c>
      <c r="P787" t="s">
        <v>23</v>
      </c>
      <c r="Q787">
        <v>58.1</v>
      </c>
    </row>
    <row r="788" spans="1:17" x14ac:dyDescent="0.35">
      <c r="A788" s="1">
        <v>45817</v>
      </c>
      <c r="B788" t="s">
        <v>17</v>
      </c>
      <c r="C788" t="s">
        <v>18</v>
      </c>
      <c r="D788" t="s">
        <v>19</v>
      </c>
      <c r="E788" t="s">
        <v>20</v>
      </c>
      <c r="F788">
        <v>276.39</v>
      </c>
      <c r="G788">
        <v>136</v>
      </c>
      <c r="H788">
        <v>92.12</v>
      </c>
      <c r="I788">
        <v>95.97</v>
      </c>
      <c r="J788">
        <v>77.62</v>
      </c>
      <c r="K788" t="s">
        <v>21</v>
      </c>
      <c r="L788">
        <v>7.9</v>
      </c>
      <c r="N788" t="s">
        <v>35</v>
      </c>
      <c r="O788">
        <v>7</v>
      </c>
      <c r="P788" t="s">
        <v>23</v>
      </c>
      <c r="Q788">
        <v>72.2</v>
      </c>
    </row>
    <row r="789" spans="1:17" x14ac:dyDescent="0.35">
      <c r="A789" s="1">
        <v>45817</v>
      </c>
      <c r="B789" t="s">
        <v>24</v>
      </c>
      <c r="C789" t="s">
        <v>25</v>
      </c>
      <c r="D789" t="s">
        <v>26</v>
      </c>
      <c r="E789" t="s">
        <v>27</v>
      </c>
      <c r="F789">
        <v>809.24</v>
      </c>
      <c r="G789">
        <v>32.9</v>
      </c>
      <c r="H789">
        <v>95.66</v>
      </c>
      <c r="I789">
        <v>96.79</v>
      </c>
      <c r="J789">
        <v>75.64</v>
      </c>
      <c r="K789" t="s">
        <v>47</v>
      </c>
      <c r="L789">
        <v>8.4</v>
      </c>
      <c r="M789">
        <v>4.3</v>
      </c>
      <c r="N789" t="s">
        <v>29</v>
      </c>
      <c r="O789">
        <v>15</v>
      </c>
      <c r="P789" t="s">
        <v>30</v>
      </c>
      <c r="Q789">
        <v>59.8</v>
      </c>
    </row>
    <row r="790" spans="1:17" x14ac:dyDescent="0.35">
      <c r="A790" s="1">
        <v>45817</v>
      </c>
      <c r="B790" t="s">
        <v>86</v>
      </c>
      <c r="C790" t="s">
        <v>25</v>
      </c>
      <c r="D790" t="s">
        <v>87</v>
      </c>
      <c r="E790" t="s">
        <v>27</v>
      </c>
      <c r="F790">
        <v>723.05</v>
      </c>
      <c r="G790">
        <v>23.8</v>
      </c>
      <c r="H790">
        <v>92.45</v>
      </c>
      <c r="I790">
        <v>96.93</v>
      </c>
      <c r="J790">
        <v>76.540000000000006</v>
      </c>
      <c r="K790" t="s">
        <v>47</v>
      </c>
      <c r="L790">
        <v>9.1999999999999993</v>
      </c>
      <c r="M790">
        <v>4.5</v>
      </c>
      <c r="N790" t="s">
        <v>29</v>
      </c>
      <c r="O790">
        <v>8</v>
      </c>
      <c r="P790" t="s">
        <v>30</v>
      </c>
      <c r="Q790">
        <v>60.5</v>
      </c>
    </row>
    <row r="791" spans="1:17" x14ac:dyDescent="0.35">
      <c r="A791" s="1">
        <v>45817</v>
      </c>
      <c r="B791" t="s">
        <v>40</v>
      </c>
      <c r="C791" t="s">
        <v>41</v>
      </c>
      <c r="D791" t="s">
        <v>42</v>
      </c>
      <c r="E791" t="s">
        <v>27</v>
      </c>
      <c r="F791">
        <v>349.03</v>
      </c>
      <c r="G791">
        <v>50.9</v>
      </c>
      <c r="H791">
        <v>95.43</v>
      </c>
      <c r="I791">
        <v>96.39</v>
      </c>
      <c r="J791">
        <v>76.56</v>
      </c>
      <c r="K791" t="s">
        <v>34</v>
      </c>
      <c r="L791">
        <v>8.1999999999999993</v>
      </c>
      <c r="M791">
        <v>4.5</v>
      </c>
      <c r="N791" t="s">
        <v>39</v>
      </c>
      <c r="O791">
        <v>10</v>
      </c>
      <c r="P791" t="s">
        <v>43</v>
      </c>
      <c r="Q791">
        <v>59.7</v>
      </c>
    </row>
    <row r="792" spans="1:17" x14ac:dyDescent="0.35">
      <c r="A792" s="1">
        <v>45817</v>
      </c>
      <c r="B792" t="s">
        <v>93</v>
      </c>
      <c r="C792" t="s">
        <v>37</v>
      </c>
      <c r="D792" t="s">
        <v>94</v>
      </c>
      <c r="E792" t="s">
        <v>27</v>
      </c>
      <c r="F792">
        <v>317.92</v>
      </c>
      <c r="G792">
        <v>40.9</v>
      </c>
      <c r="H792">
        <v>97.69</v>
      </c>
      <c r="I792">
        <v>94.82</v>
      </c>
      <c r="J792">
        <v>82.11</v>
      </c>
      <c r="K792" t="s">
        <v>34</v>
      </c>
      <c r="L792">
        <v>8.4</v>
      </c>
      <c r="M792">
        <v>3.3</v>
      </c>
      <c r="N792" t="s">
        <v>39</v>
      </c>
      <c r="O792">
        <v>14</v>
      </c>
      <c r="P792" t="s">
        <v>23</v>
      </c>
      <c r="Q792">
        <v>61.7</v>
      </c>
    </row>
    <row r="793" spans="1:17" x14ac:dyDescent="0.35">
      <c r="A793" s="1">
        <v>45817</v>
      </c>
      <c r="B793" t="s">
        <v>36</v>
      </c>
      <c r="C793" t="s">
        <v>37</v>
      </c>
      <c r="D793" t="s">
        <v>38</v>
      </c>
      <c r="E793" t="s">
        <v>33</v>
      </c>
      <c r="F793">
        <v>451.43</v>
      </c>
      <c r="G793">
        <v>224.4</v>
      </c>
      <c r="H793">
        <v>94.76</v>
      </c>
      <c r="I793">
        <v>96.01</v>
      </c>
      <c r="J793">
        <v>78.91</v>
      </c>
      <c r="K793" t="s">
        <v>34</v>
      </c>
      <c r="L793">
        <v>8.4</v>
      </c>
      <c r="M793">
        <v>2.9</v>
      </c>
      <c r="N793" t="s">
        <v>35</v>
      </c>
      <c r="O793">
        <v>9</v>
      </c>
      <c r="P793" t="s">
        <v>23</v>
      </c>
      <c r="Q793">
        <v>63.7</v>
      </c>
    </row>
    <row r="794" spans="1:17" x14ac:dyDescent="0.35">
      <c r="A794" s="1">
        <v>45817</v>
      </c>
      <c r="B794" t="s">
        <v>36</v>
      </c>
      <c r="C794" t="s">
        <v>37</v>
      </c>
      <c r="D794" t="s">
        <v>38</v>
      </c>
      <c r="E794" t="s">
        <v>33</v>
      </c>
      <c r="F794">
        <v>398.33</v>
      </c>
      <c r="G794">
        <v>239.5</v>
      </c>
      <c r="H794">
        <v>97.83</v>
      </c>
      <c r="I794">
        <v>96.08</v>
      </c>
      <c r="J794">
        <v>70.290000000000006</v>
      </c>
      <c r="K794" t="s">
        <v>47</v>
      </c>
      <c r="L794">
        <v>7.6</v>
      </c>
      <c r="M794">
        <v>4.5</v>
      </c>
      <c r="N794" t="s">
        <v>35</v>
      </c>
      <c r="O794">
        <v>10</v>
      </c>
      <c r="P794" t="s">
        <v>23</v>
      </c>
      <c r="Q794">
        <v>60.4</v>
      </c>
    </row>
    <row r="795" spans="1:17" x14ac:dyDescent="0.35">
      <c r="A795" s="1">
        <v>45817</v>
      </c>
      <c r="B795" t="s">
        <v>64</v>
      </c>
      <c r="C795" t="s">
        <v>25</v>
      </c>
      <c r="D795" t="s">
        <v>65</v>
      </c>
      <c r="E795" t="s">
        <v>27</v>
      </c>
      <c r="F795">
        <v>567.36</v>
      </c>
      <c r="G795">
        <v>31.4</v>
      </c>
      <c r="H795">
        <v>93.54</v>
      </c>
      <c r="I795">
        <v>97.85</v>
      </c>
      <c r="J795">
        <v>81.900000000000006</v>
      </c>
      <c r="K795" t="s">
        <v>28</v>
      </c>
      <c r="L795">
        <v>9.3000000000000007</v>
      </c>
      <c r="M795">
        <v>2.2999999999999998</v>
      </c>
      <c r="N795" t="s">
        <v>39</v>
      </c>
      <c r="O795">
        <v>10</v>
      </c>
      <c r="P795" t="s">
        <v>30</v>
      </c>
      <c r="Q795">
        <v>63.5</v>
      </c>
    </row>
    <row r="796" spans="1:17" x14ac:dyDescent="0.35">
      <c r="A796" s="1">
        <v>45817</v>
      </c>
      <c r="B796" t="s">
        <v>48</v>
      </c>
      <c r="C796" t="s">
        <v>49</v>
      </c>
      <c r="D796" t="s">
        <v>50</v>
      </c>
      <c r="E796" t="s">
        <v>33</v>
      </c>
      <c r="F796">
        <v>235.63</v>
      </c>
      <c r="G796">
        <v>169</v>
      </c>
      <c r="H796">
        <v>93.72</v>
      </c>
      <c r="I796">
        <v>94</v>
      </c>
      <c r="J796">
        <v>71.52</v>
      </c>
      <c r="K796" t="s">
        <v>34</v>
      </c>
      <c r="L796">
        <v>7.4</v>
      </c>
      <c r="M796">
        <v>1.7</v>
      </c>
      <c r="N796" t="s">
        <v>22</v>
      </c>
      <c r="O796">
        <v>5</v>
      </c>
      <c r="P796" t="s">
        <v>23</v>
      </c>
      <c r="Q796">
        <v>61.1</v>
      </c>
    </row>
    <row r="797" spans="1:17" x14ac:dyDescent="0.35">
      <c r="A797" s="1">
        <v>45817</v>
      </c>
      <c r="B797" t="s">
        <v>93</v>
      </c>
      <c r="C797" t="s">
        <v>37</v>
      </c>
      <c r="D797" t="s">
        <v>94</v>
      </c>
      <c r="E797" t="s">
        <v>33</v>
      </c>
      <c r="F797">
        <v>317.12</v>
      </c>
      <c r="G797">
        <v>187.3</v>
      </c>
      <c r="H797">
        <v>93.05</v>
      </c>
      <c r="I797">
        <v>96.91</v>
      </c>
      <c r="J797">
        <v>76.98</v>
      </c>
      <c r="K797" t="s">
        <v>34</v>
      </c>
      <c r="L797">
        <v>7.5</v>
      </c>
      <c r="M797">
        <v>1.5</v>
      </c>
      <c r="N797" t="s">
        <v>35</v>
      </c>
      <c r="O797">
        <v>8</v>
      </c>
      <c r="P797" t="s">
        <v>23</v>
      </c>
      <c r="Q797">
        <v>62.7</v>
      </c>
    </row>
    <row r="798" spans="1:17" x14ac:dyDescent="0.35">
      <c r="A798" s="1">
        <v>45817</v>
      </c>
      <c r="B798" t="s">
        <v>66</v>
      </c>
      <c r="C798" t="s">
        <v>67</v>
      </c>
      <c r="D798" t="s">
        <v>68</v>
      </c>
      <c r="E798" t="s">
        <v>27</v>
      </c>
      <c r="F798">
        <v>671.21</v>
      </c>
      <c r="G798">
        <v>56.5</v>
      </c>
      <c r="H798">
        <v>96.03</v>
      </c>
      <c r="I798">
        <v>95.13</v>
      </c>
      <c r="J798">
        <v>84.74</v>
      </c>
      <c r="K798" t="s">
        <v>34</v>
      </c>
      <c r="L798">
        <v>8.9</v>
      </c>
      <c r="M798">
        <v>1.8</v>
      </c>
      <c r="N798" t="s">
        <v>39</v>
      </c>
      <c r="O798">
        <v>15</v>
      </c>
      <c r="P798" t="s">
        <v>43</v>
      </c>
      <c r="Q798">
        <v>64.099999999999994</v>
      </c>
    </row>
    <row r="799" spans="1:17" x14ac:dyDescent="0.35">
      <c r="A799" s="1">
        <v>45817</v>
      </c>
      <c r="B799" t="s">
        <v>86</v>
      </c>
      <c r="C799" t="s">
        <v>25</v>
      </c>
      <c r="D799" t="s">
        <v>87</v>
      </c>
      <c r="E799" t="s">
        <v>27</v>
      </c>
      <c r="F799">
        <v>304.29000000000002</v>
      </c>
      <c r="G799">
        <v>48.2</v>
      </c>
      <c r="H799">
        <v>97.67</v>
      </c>
      <c r="I799">
        <v>97.06</v>
      </c>
      <c r="J799">
        <v>78.38</v>
      </c>
      <c r="K799" t="s">
        <v>34</v>
      </c>
      <c r="L799">
        <v>8.1</v>
      </c>
      <c r="M799">
        <v>4.0999999999999996</v>
      </c>
      <c r="N799" t="s">
        <v>39</v>
      </c>
      <c r="O799">
        <v>10</v>
      </c>
      <c r="P799" t="s">
        <v>30</v>
      </c>
      <c r="Q799">
        <v>60.6</v>
      </c>
    </row>
    <row r="800" spans="1:17" x14ac:dyDescent="0.35">
      <c r="A800" s="1">
        <v>45817</v>
      </c>
      <c r="B800" t="s">
        <v>17</v>
      </c>
      <c r="C800" t="s">
        <v>18</v>
      </c>
      <c r="D800" t="s">
        <v>19</v>
      </c>
      <c r="E800" t="s">
        <v>20</v>
      </c>
      <c r="F800">
        <v>280.87</v>
      </c>
      <c r="G800">
        <v>104</v>
      </c>
      <c r="H800">
        <v>88.68</v>
      </c>
      <c r="I800">
        <v>94.72</v>
      </c>
      <c r="J800">
        <v>74.239999999999995</v>
      </c>
      <c r="K800" t="s">
        <v>63</v>
      </c>
      <c r="L800">
        <v>8.3000000000000007</v>
      </c>
      <c r="N800" t="s">
        <v>35</v>
      </c>
      <c r="O800">
        <v>10</v>
      </c>
      <c r="P800" t="s">
        <v>23</v>
      </c>
      <c r="Q800">
        <v>70.599999999999994</v>
      </c>
    </row>
    <row r="801" spans="1:17" x14ac:dyDescent="0.35">
      <c r="A801" s="1">
        <v>45817</v>
      </c>
      <c r="B801" t="s">
        <v>91</v>
      </c>
      <c r="C801" t="s">
        <v>67</v>
      </c>
      <c r="D801" t="s">
        <v>92</v>
      </c>
      <c r="E801" t="s">
        <v>27</v>
      </c>
      <c r="F801">
        <v>703.58</v>
      </c>
      <c r="G801">
        <v>26.3</v>
      </c>
      <c r="H801">
        <v>94.53</v>
      </c>
      <c r="I801">
        <v>96.69</v>
      </c>
      <c r="J801">
        <v>75.16</v>
      </c>
      <c r="K801" t="s">
        <v>47</v>
      </c>
      <c r="L801">
        <v>8.5</v>
      </c>
      <c r="M801">
        <v>5</v>
      </c>
      <c r="N801" t="s">
        <v>29</v>
      </c>
      <c r="O801">
        <v>13</v>
      </c>
      <c r="P801" t="s">
        <v>43</v>
      </c>
      <c r="Q801">
        <v>59.1</v>
      </c>
    </row>
    <row r="802" spans="1:17" x14ac:dyDescent="0.35">
      <c r="A802" s="1">
        <v>45817</v>
      </c>
      <c r="B802" t="s">
        <v>74</v>
      </c>
      <c r="C802" t="s">
        <v>67</v>
      </c>
      <c r="D802" t="s">
        <v>75</v>
      </c>
      <c r="E802" t="s">
        <v>27</v>
      </c>
      <c r="F802">
        <v>191.75</v>
      </c>
      <c r="G802">
        <v>28.1</v>
      </c>
      <c r="H802">
        <v>94.69</v>
      </c>
      <c r="I802">
        <v>95.22</v>
      </c>
      <c r="J802">
        <v>79.08</v>
      </c>
      <c r="K802" t="s">
        <v>47</v>
      </c>
      <c r="L802">
        <v>6.2</v>
      </c>
      <c r="M802">
        <v>3.4</v>
      </c>
      <c r="N802" t="s">
        <v>39</v>
      </c>
      <c r="O802">
        <v>13</v>
      </c>
      <c r="P802" t="s">
        <v>23</v>
      </c>
      <c r="Q802">
        <v>56.8</v>
      </c>
    </row>
    <row r="803" spans="1:17" x14ac:dyDescent="0.35">
      <c r="A803" s="1">
        <v>45817</v>
      </c>
      <c r="B803" t="s">
        <v>64</v>
      </c>
      <c r="C803" t="s">
        <v>25</v>
      </c>
      <c r="D803" t="s">
        <v>65</v>
      </c>
      <c r="E803" t="s">
        <v>27</v>
      </c>
      <c r="F803">
        <v>558.07000000000005</v>
      </c>
      <c r="G803">
        <v>27.4</v>
      </c>
      <c r="H803">
        <v>97.61</v>
      </c>
      <c r="I803">
        <v>96.45</v>
      </c>
      <c r="J803">
        <v>75.13</v>
      </c>
      <c r="K803" t="s">
        <v>34</v>
      </c>
      <c r="L803">
        <v>9.3000000000000007</v>
      </c>
      <c r="M803">
        <v>4.5999999999999996</v>
      </c>
      <c r="N803" t="s">
        <v>29</v>
      </c>
      <c r="O803">
        <v>14</v>
      </c>
      <c r="P803" t="s">
        <v>30</v>
      </c>
      <c r="Q803">
        <v>61.2</v>
      </c>
    </row>
    <row r="804" spans="1:17" x14ac:dyDescent="0.35">
      <c r="A804" s="1">
        <v>45817</v>
      </c>
      <c r="B804" t="s">
        <v>93</v>
      </c>
      <c r="C804" t="s">
        <v>37</v>
      </c>
      <c r="D804" t="s">
        <v>94</v>
      </c>
      <c r="E804" t="s">
        <v>27</v>
      </c>
      <c r="F804">
        <v>220.49</v>
      </c>
      <c r="G804">
        <v>59.9</v>
      </c>
      <c r="H804">
        <v>93.94</v>
      </c>
      <c r="I804">
        <v>96.7</v>
      </c>
      <c r="J804">
        <v>75.900000000000006</v>
      </c>
      <c r="K804" t="s">
        <v>28</v>
      </c>
      <c r="L804">
        <v>7.6</v>
      </c>
      <c r="M804">
        <v>2.8</v>
      </c>
      <c r="N804" t="s">
        <v>29</v>
      </c>
      <c r="O804">
        <v>13</v>
      </c>
      <c r="P804" t="s">
        <v>23</v>
      </c>
      <c r="Q804">
        <v>59.7</v>
      </c>
    </row>
    <row r="805" spans="1:17" x14ac:dyDescent="0.35">
      <c r="A805" s="1">
        <v>45817</v>
      </c>
      <c r="B805" t="s">
        <v>55</v>
      </c>
      <c r="C805" t="s">
        <v>56</v>
      </c>
      <c r="D805">
        <v>4</v>
      </c>
      <c r="E805" t="s">
        <v>57</v>
      </c>
      <c r="F805">
        <v>30</v>
      </c>
      <c r="G805">
        <v>120.4</v>
      </c>
      <c r="H805">
        <v>88.02</v>
      </c>
      <c r="I805">
        <v>93.79</v>
      </c>
      <c r="J805">
        <v>75.290000000000006</v>
      </c>
      <c r="K805" t="s">
        <v>58</v>
      </c>
      <c r="L805">
        <v>6.8</v>
      </c>
      <c r="N805" t="s">
        <v>35</v>
      </c>
      <c r="O805">
        <v>5</v>
      </c>
      <c r="P805" t="s">
        <v>43</v>
      </c>
      <c r="Q805">
        <v>67.900000000000006</v>
      </c>
    </row>
    <row r="806" spans="1:17" x14ac:dyDescent="0.35">
      <c r="A806" s="1">
        <v>45817</v>
      </c>
      <c r="B806" t="s">
        <v>55</v>
      </c>
      <c r="C806" t="s">
        <v>56</v>
      </c>
      <c r="D806">
        <v>4</v>
      </c>
      <c r="E806" t="s">
        <v>57</v>
      </c>
      <c r="F806">
        <v>30</v>
      </c>
      <c r="G806">
        <v>147.4</v>
      </c>
      <c r="H806">
        <v>87.73</v>
      </c>
      <c r="I806">
        <v>95.38</v>
      </c>
      <c r="J806">
        <v>78.650000000000006</v>
      </c>
      <c r="K806" t="s">
        <v>63</v>
      </c>
      <c r="L806">
        <v>7.4</v>
      </c>
      <c r="N806" t="s">
        <v>35</v>
      </c>
      <c r="O806">
        <v>4</v>
      </c>
      <c r="P806" t="s">
        <v>43</v>
      </c>
      <c r="Q806">
        <v>70.7</v>
      </c>
    </row>
    <row r="807" spans="1:17" x14ac:dyDescent="0.35">
      <c r="A807" s="1">
        <v>45817</v>
      </c>
      <c r="B807" t="s">
        <v>59</v>
      </c>
      <c r="C807" t="s">
        <v>60</v>
      </c>
      <c r="D807" t="s">
        <v>61</v>
      </c>
      <c r="E807" t="s">
        <v>62</v>
      </c>
      <c r="F807">
        <v>460.41</v>
      </c>
      <c r="G807">
        <v>179.6</v>
      </c>
      <c r="H807">
        <v>89.39</v>
      </c>
      <c r="I807">
        <v>96.57</v>
      </c>
      <c r="J807">
        <v>88.76</v>
      </c>
      <c r="K807" t="s">
        <v>34</v>
      </c>
      <c r="L807">
        <v>8.6999999999999993</v>
      </c>
      <c r="N807" t="s">
        <v>35</v>
      </c>
      <c r="O807">
        <v>6</v>
      </c>
      <c r="P807" t="s">
        <v>43</v>
      </c>
      <c r="Q807">
        <v>76.3</v>
      </c>
    </row>
    <row r="808" spans="1:17" x14ac:dyDescent="0.35">
      <c r="A808" s="1">
        <v>45817</v>
      </c>
      <c r="B808" t="s">
        <v>40</v>
      </c>
      <c r="C808" t="s">
        <v>41</v>
      </c>
      <c r="D808" t="s">
        <v>42</v>
      </c>
      <c r="E808" t="s">
        <v>27</v>
      </c>
      <c r="F808">
        <v>566.59</v>
      </c>
      <c r="G808">
        <v>36</v>
      </c>
      <c r="H808">
        <v>92.27</v>
      </c>
      <c r="I808">
        <v>97.37</v>
      </c>
      <c r="J808">
        <v>83.14</v>
      </c>
      <c r="K808" t="s">
        <v>47</v>
      </c>
      <c r="L808">
        <v>9.1999999999999993</v>
      </c>
      <c r="M808">
        <v>3.9</v>
      </c>
      <c r="N808" t="s">
        <v>39</v>
      </c>
      <c r="O808">
        <v>15</v>
      </c>
      <c r="P808" t="s">
        <v>43</v>
      </c>
      <c r="Q808">
        <v>62.2</v>
      </c>
    </row>
    <row r="809" spans="1:17" x14ac:dyDescent="0.35">
      <c r="A809" s="1">
        <v>45817</v>
      </c>
      <c r="B809" t="s">
        <v>89</v>
      </c>
      <c r="C809" t="s">
        <v>67</v>
      </c>
      <c r="D809" t="s">
        <v>90</v>
      </c>
      <c r="E809" t="s">
        <v>27</v>
      </c>
      <c r="F809">
        <v>719.41</v>
      </c>
      <c r="G809">
        <v>66.599999999999994</v>
      </c>
      <c r="H809">
        <v>95.3</v>
      </c>
      <c r="I809">
        <v>93.01</v>
      </c>
      <c r="J809">
        <v>78.55</v>
      </c>
      <c r="K809" t="s">
        <v>28</v>
      </c>
      <c r="L809">
        <v>8.1999999999999993</v>
      </c>
      <c r="M809">
        <v>3</v>
      </c>
      <c r="N809" t="s">
        <v>39</v>
      </c>
      <c r="O809">
        <v>10</v>
      </c>
      <c r="P809" t="s">
        <v>43</v>
      </c>
      <c r="Q809">
        <v>60.8</v>
      </c>
    </row>
    <row r="810" spans="1:17" x14ac:dyDescent="0.35">
      <c r="A810" s="1">
        <v>45817</v>
      </c>
      <c r="B810" t="s">
        <v>44</v>
      </c>
      <c r="C810" t="s">
        <v>45</v>
      </c>
      <c r="D810" t="s">
        <v>46</v>
      </c>
      <c r="E810" t="s">
        <v>27</v>
      </c>
      <c r="F810">
        <v>887.65</v>
      </c>
      <c r="G810">
        <v>374.1</v>
      </c>
      <c r="H810">
        <v>96.2</v>
      </c>
      <c r="I810">
        <v>99.22</v>
      </c>
      <c r="J810">
        <v>78.680000000000007</v>
      </c>
      <c r="K810" t="s">
        <v>28</v>
      </c>
      <c r="L810">
        <v>9</v>
      </c>
      <c r="M810">
        <v>4.5</v>
      </c>
      <c r="N810" t="s">
        <v>39</v>
      </c>
      <c r="O810">
        <v>11</v>
      </c>
      <c r="P810" t="s">
        <v>23</v>
      </c>
      <c r="Q810">
        <v>64.400000000000006</v>
      </c>
    </row>
    <row r="811" spans="1:17" x14ac:dyDescent="0.35">
      <c r="A811" s="1">
        <v>45817</v>
      </c>
      <c r="B811" t="s">
        <v>59</v>
      </c>
      <c r="C811" t="s">
        <v>60</v>
      </c>
      <c r="D811" t="s">
        <v>61</v>
      </c>
      <c r="E811" t="s">
        <v>62</v>
      </c>
      <c r="F811">
        <v>332.87</v>
      </c>
      <c r="G811">
        <v>168.2</v>
      </c>
      <c r="H811">
        <v>87.77</v>
      </c>
      <c r="I811">
        <v>96.37</v>
      </c>
      <c r="J811">
        <v>87.66</v>
      </c>
      <c r="K811" t="s">
        <v>34</v>
      </c>
      <c r="L811">
        <v>7.7</v>
      </c>
      <c r="N811" t="s">
        <v>35</v>
      </c>
      <c r="O811">
        <v>6</v>
      </c>
      <c r="P811" t="s">
        <v>43</v>
      </c>
      <c r="Q811">
        <v>73.8</v>
      </c>
    </row>
    <row r="812" spans="1:17" x14ac:dyDescent="0.35">
      <c r="A812" s="1">
        <v>45817</v>
      </c>
      <c r="B812" t="s">
        <v>36</v>
      </c>
      <c r="C812" t="s">
        <v>37</v>
      </c>
      <c r="D812" t="s">
        <v>38</v>
      </c>
      <c r="E812" t="s">
        <v>27</v>
      </c>
      <c r="F812">
        <v>415.73</v>
      </c>
      <c r="G812">
        <v>40.1</v>
      </c>
      <c r="H812">
        <v>95.93</v>
      </c>
      <c r="I812">
        <v>93.62</v>
      </c>
      <c r="J812">
        <v>79.69</v>
      </c>
      <c r="K812" t="s">
        <v>34</v>
      </c>
      <c r="L812">
        <v>8.5</v>
      </c>
      <c r="M812">
        <v>3.9</v>
      </c>
      <c r="N812" t="s">
        <v>39</v>
      </c>
      <c r="O812">
        <v>13</v>
      </c>
      <c r="P812" t="s">
        <v>23</v>
      </c>
      <c r="Q812">
        <v>60.6</v>
      </c>
    </row>
    <row r="813" spans="1:17" x14ac:dyDescent="0.35">
      <c r="A813" s="1">
        <v>45817</v>
      </c>
      <c r="B813" t="s">
        <v>82</v>
      </c>
      <c r="C813" t="s">
        <v>72</v>
      </c>
      <c r="D813" t="s">
        <v>83</v>
      </c>
      <c r="E813" t="s">
        <v>20</v>
      </c>
      <c r="F813">
        <v>238.94</v>
      </c>
      <c r="G813">
        <v>139.80000000000001</v>
      </c>
      <c r="H813">
        <v>92.15</v>
      </c>
      <c r="I813">
        <v>96.48</v>
      </c>
      <c r="J813">
        <v>75.959999999999994</v>
      </c>
      <c r="K813" t="s">
        <v>21</v>
      </c>
      <c r="L813">
        <v>7.3</v>
      </c>
      <c r="N813" t="s">
        <v>22</v>
      </c>
      <c r="O813">
        <v>7</v>
      </c>
      <c r="P813" t="s">
        <v>23</v>
      </c>
      <c r="Q813">
        <v>70.8</v>
      </c>
    </row>
    <row r="814" spans="1:17" x14ac:dyDescent="0.35">
      <c r="A814" s="1">
        <v>45817</v>
      </c>
      <c r="B814" t="s">
        <v>91</v>
      </c>
      <c r="C814" t="s">
        <v>67</v>
      </c>
      <c r="D814" t="s">
        <v>92</v>
      </c>
      <c r="E814" t="s">
        <v>27</v>
      </c>
      <c r="F814">
        <v>471.69</v>
      </c>
      <c r="G814">
        <v>35.1</v>
      </c>
      <c r="H814">
        <v>94.35</v>
      </c>
      <c r="I814">
        <v>94.34</v>
      </c>
      <c r="J814">
        <v>83.8</v>
      </c>
      <c r="K814" t="s">
        <v>47</v>
      </c>
      <c r="L814">
        <v>9.5</v>
      </c>
      <c r="M814">
        <v>2.2999999999999998</v>
      </c>
      <c r="N814" t="s">
        <v>39</v>
      </c>
      <c r="O814">
        <v>9</v>
      </c>
      <c r="P814" t="s">
        <v>43</v>
      </c>
      <c r="Q814">
        <v>63.7</v>
      </c>
    </row>
    <row r="815" spans="1:17" x14ac:dyDescent="0.35">
      <c r="A815" s="1">
        <v>45817</v>
      </c>
      <c r="B815" t="s">
        <v>84</v>
      </c>
      <c r="C815" t="s">
        <v>18</v>
      </c>
      <c r="D815" t="s">
        <v>85</v>
      </c>
      <c r="E815" t="s">
        <v>33</v>
      </c>
      <c r="F815">
        <v>222.35</v>
      </c>
      <c r="G815">
        <v>230</v>
      </c>
      <c r="H815">
        <v>96.77</v>
      </c>
      <c r="I815">
        <v>93.4</v>
      </c>
      <c r="J815">
        <v>70.849999999999994</v>
      </c>
      <c r="K815" t="s">
        <v>47</v>
      </c>
      <c r="L815">
        <v>7.2</v>
      </c>
      <c r="M815">
        <v>3.1</v>
      </c>
      <c r="N815" t="s">
        <v>35</v>
      </c>
      <c r="O815">
        <v>6</v>
      </c>
      <c r="P815" t="s">
        <v>23</v>
      </c>
      <c r="Q815">
        <v>60.1</v>
      </c>
    </row>
    <row r="816" spans="1:17" x14ac:dyDescent="0.35">
      <c r="A816" s="1">
        <v>45817</v>
      </c>
      <c r="B816" t="s">
        <v>48</v>
      </c>
      <c r="C816" t="s">
        <v>49</v>
      </c>
      <c r="D816" t="s">
        <v>50</v>
      </c>
      <c r="E816" t="s">
        <v>33</v>
      </c>
      <c r="F816">
        <v>458.7</v>
      </c>
      <c r="G816">
        <v>85.2</v>
      </c>
      <c r="H816">
        <v>93.2</v>
      </c>
      <c r="I816">
        <v>96.42</v>
      </c>
      <c r="J816">
        <v>71.45</v>
      </c>
      <c r="K816" t="s">
        <v>34</v>
      </c>
      <c r="L816">
        <v>8.6</v>
      </c>
      <c r="M816">
        <v>1.8</v>
      </c>
      <c r="N816" t="s">
        <v>35</v>
      </c>
      <c r="O816">
        <v>9</v>
      </c>
      <c r="P816" t="s">
        <v>23</v>
      </c>
      <c r="Q816">
        <v>61.7</v>
      </c>
    </row>
    <row r="817" spans="1:17" x14ac:dyDescent="0.35">
      <c r="A817" s="1">
        <v>45817</v>
      </c>
      <c r="B817" t="s">
        <v>101</v>
      </c>
      <c r="C817" t="s">
        <v>45</v>
      </c>
      <c r="D817" t="s">
        <v>102</v>
      </c>
      <c r="E817" t="s">
        <v>33</v>
      </c>
      <c r="F817">
        <v>159.08000000000001</v>
      </c>
      <c r="G817">
        <v>2055.1999999999998</v>
      </c>
      <c r="H817">
        <v>94.69</v>
      </c>
      <c r="I817">
        <v>99.02</v>
      </c>
      <c r="J817">
        <v>79.62</v>
      </c>
      <c r="K817" t="s">
        <v>88</v>
      </c>
      <c r="L817">
        <v>6.2</v>
      </c>
      <c r="M817">
        <v>3.4</v>
      </c>
      <c r="N817" t="s">
        <v>35</v>
      </c>
      <c r="O817">
        <v>8</v>
      </c>
      <c r="P817" t="s">
        <v>23</v>
      </c>
      <c r="Q817">
        <v>60.3</v>
      </c>
    </row>
    <row r="818" spans="1:17" x14ac:dyDescent="0.35">
      <c r="A818" s="1">
        <v>45817</v>
      </c>
      <c r="B818" t="s">
        <v>93</v>
      </c>
      <c r="C818" t="s">
        <v>37</v>
      </c>
      <c r="D818" t="s">
        <v>94</v>
      </c>
      <c r="E818" t="s">
        <v>33</v>
      </c>
      <c r="F818">
        <v>207.69</v>
      </c>
      <c r="G818">
        <v>117.9</v>
      </c>
      <c r="H818">
        <v>96.57</v>
      </c>
      <c r="I818">
        <v>96.69</v>
      </c>
      <c r="J818">
        <v>73.510000000000005</v>
      </c>
      <c r="K818" t="s">
        <v>47</v>
      </c>
      <c r="L818">
        <v>8.3000000000000007</v>
      </c>
      <c r="M818">
        <v>3.5</v>
      </c>
      <c r="N818" t="s">
        <v>35</v>
      </c>
      <c r="O818">
        <v>6</v>
      </c>
      <c r="P818" t="s">
        <v>23</v>
      </c>
      <c r="Q818">
        <v>61.6</v>
      </c>
    </row>
    <row r="819" spans="1:17" x14ac:dyDescent="0.35">
      <c r="A819" s="1">
        <v>45817</v>
      </c>
      <c r="B819" t="s">
        <v>40</v>
      </c>
      <c r="C819" t="s">
        <v>41</v>
      </c>
      <c r="D819" t="s">
        <v>42</v>
      </c>
      <c r="E819" t="s">
        <v>27</v>
      </c>
      <c r="F819">
        <v>203.06</v>
      </c>
      <c r="G819">
        <v>71.3</v>
      </c>
      <c r="H819">
        <v>94.43</v>
      </c>
      <c r="I819">
        <v>96.32</v>
      </c>
      <c r="J819">
        <v>77.94</v>
      </c>
      <c r="K819" t="s">
        <v>34</v>
      </c>
      <c r="L819">
        <v>8.4</v>
      </c>
      <c r="M819">
        <v>4.9000000000000004</v>
      </c>
      <c r="N819" t="s">
        <v>29</v>
      </c>
      <c r="O819">
        <v>13</v>
      </c>
      <c r="P819" t="s">
        <v>43</v>
      </c>
      <c r="Q819">
        <v>60.3</v>
      </c>
    </row>
    <row r="820" spans="1:17" x14ac:dyDescent="0.35">
      <c r="A820" s="1">
        <v>45817</v>
      </c>
      <c r="B820" t="s">
        <v>59</v>
      </c>
      <c r="C820" t="s">
        <v>60</v>
      </c>
      <c r="D820" t="s">
        <v>61</v>
      </c>
      <c r="E820" t="s">
        <v>62</v>
      </c>
      <c r="F820">
        <v>476.74</v>
      </c>
      <c r="G820">
        <v>168</v>
      </c>
      <c r="H820">
        <v>87.95</v>
      </c>
      <c r="I820">
        <v>95.25</v>
      </c>
      <c r="J820">
        <v>87.77</v>
      </c>
      <c r="K820" t="s">
        <v>34</v>
      </c>
      <c r="L820">
        <v>8.8000000000000007</v>
      </c>
      <c r="N820" t="s">
        <v>35</v>
      </c>
      <c r="O820">
        <v>6</v>
      </c>
      <c r="P820" t="s">
        <v>23</v>
      </c>
      <c r="Q820">
        <v>75.8</v>
      </c>
    </row>
    <row r="821" spans="1:17" x14ac:dyDescent="0.35">
      <c r="A821" s="1">
        <v>45817</v>
      </c>
      <c r="B821" t="s">
        <v>95</v>
      </c>
      <c r="C821" t="s">
        <v>49</v>
      </c>
      <c r="D821" t="s">
        <v>96</v>
      </c>
      <c r="E821" t="s">
        <v>33</v>
      </c>
      <c r="F821">
        <v>225.44</v>
      </c>
      <c r="G821">
        <v>213.9</v>
      </c>
      <c r="H821">
        <v>93.46</v>
      </c>
      <c r="I821">
        <v>95.36</v>
      </c>
      <c r="J821">
        <v>75.239999999999995</v>
      </c>
      <c r="K821" t="s">
        <v>34</v>
      </c>
      <c r="L821">
        <v>8.3000000000000007</v>
      </c>
      <c r="M821">
        <v>4.0999999999999996</v>
      </c>
      <c r="N821" t="s">
        <v>35</v>
      </c>
      <c r="O821">
        <v>6</v>
      </c>
      <c r="P821" t="s">
        <v>43</v>
      </c>
      <c r="Q821">
        <v>61.8</v>
      </c>
    </row>
    <row r="822" spans="1:17" x14ac:dyDescent="0.35">
      <c r="A822" s="1">
        <v>45817</v>
      </c>
      <c r="B822" t="s">
        <v>95</v>
      </c>
      <c r="C822" t="s">
        <v>49</v>
      </c>
      <c r="D822" t="s">
        <v>96</v>
      </c>
      <c r="E822" t="s">
        <v>27</v>
      </c>
      <c r="F822">
        <v>295.19</v>
      </c>
      <c r="G822">
        <v>26.2</v>
      </c>
      <c r="H822">
        <v>97.82</v>
      </c>
      <c r="I822">
        <v>93.09</v>
      </c>
      <c r="J822">
        <v>84.72</v>
      </c>
      <c r="K822" t="s">
        <v>34</v>
      </c>
      <c r="L822">
        <v>7.4</v>
      </c>
      <c r="M822">
        <v>4</v>
      </c>
      <c r="N822" t="s">
        <v>39</v>
      </c>
      <c r="O822">
        <v>11</v>
      </c>
      <c r="P822" t="s">
        <v>43</v>
      </c>
      <c r="Q822">
        <v>59.5</v>
      </c>
    </row>
    <row r="823" spans="1:17" x14ac:dyDescent="0.35">
      <c r="A823" s="1">
        <v>45817</v>
      </c>
      <c r="B823" t="s">
        <v>31</v>
      </c>
      <c r="C823" t="s">
        <v>18</v>
      </c>
      <c r="D823" t="s">
        <v>32</v>
      </c>
      <c r="E823" t="s">
        <v>27</v>
      </c>
      <c r="F823">
        <v>285.51</v>
      </c>
      <c r="G823">
        <v>69.099999999999994</v>
      </c>
      <c r="H823">
        <v>93.89</v>
      </c>
      <c r="I823">
        <v>94.27</v>
      </c>
      <c r="J823">
        <v>82.8</v>
      </c>
      <c r="K823" t="s">
        <v>34</v>
      </c>
      <c r="L823">
        <v>8.4</v>
      </c>
      <c r="M823">
        <v>2.1</v>
      </c>
      <c r="N823" t="s">
        <v>39</v>
      </c>
      <c r="O823">
        <v>10</v>
      </c>
      <c r="P823" t="s">
        <v>23</v>
      </c>
      <c r="Q823">
        <v>62.5</v>
      </c>
    </row>
    <row r="824" spans="1:17" x14ac:dyDescent="0.35">
      <c r="A824" s="1">
        <v>45817</v>
      </c>
      <c r="B824" t="s">
        <v>76</v>
      </c>
      <c r="C824" t="s">
        <v>45</v>
      </c>
      <c r="D824" t="s">
        <v>77</v>
      </c>
      <c r="E824" t="s">
        <v>27</v>
      </c>
      <c r="F824">
        <v>826.47</v>
      </c>
      <c r="G824">
        <v>269</v>
      </c>
      <c r="H824">
        <v>93.87</v>
      </c>
      <c r="I824">
        <v>98.65</v>
      </c>
      <c r="J824">
        <v>84.6</v>
      </c>
      <c r="K824" t="s">
        <v>34</v>
      </c>
      <c r="L824">
        <v>8.5</v>
      </c>
      <c r="M824">
        <v>4.5999999999999996</v>
      </c>
      <c r="N824" t="s">
        <v>39</v>
      </c>
      <c r="O824">
        <v>10</v>
      </c>
      <c r="P824" t="s">
        <v>23</v>
      </c>
      <c r="Q824">
        <v>64</v>
      </c>
    </row>
    <row r="825" spans="1:17" x14ac:dyDescent="0.35">
      <c r="A825" s="1">
        <v>45817</v>
      </c>
      <c r="B825" t="s">
        <v>93</v>
      </c>
      <c r="C825" t="s">
        <v>37</v>
      </c>
      <c r="D825" t="s">
        <v>94</v>
      </c>
      <c r="E825" t="s">
        <v>33</v>
      </c>
      <c r="F825">
        <v>486</v>
      </c>
      <c r="G825">
        <v>153.4</v>
      </c>
      <c r="H825">
        <v>93.89</v>
      </c>
      <c r="I825">
        <v>96.53</v>
      </c>
      <c r="J825">
        <v>72</v>
      </c>
      <c r="K825" t="s">
        <v>28</v>
      </c>
      <c r="L825">
        <v>8.3000000000000007</v>
      </c>
      <c r="M825">
        <v>4.7</v>
      </c>
      <c r="N825" t="s">
        <v>35</v>
      </c>
      <c r="O825">
        <v>7</v>
      </c>
      <c r="P825" t="s">
        <v>23</v>
      </c>
      <c r="Q825">
        <v>60.8</v>
      </c>
    </row>
    <row r="826" spans="1:17" x14ac:dyDescent="0.35">
      <c r="A826" s="1">
        <v>45817</v>
      </c>
      <c r="B826" t="s">
        <v>36</v>
      </c>
      <c r="C826" t="s">
        <v>37</v>
      </c>
      <c r="D826" t="s">
        <v>38</v>
      </c>
      <c r="E826" t="s">
        <v>27</v>
      </c>
      <c r="F826">
        <v>480.51</v>
      </c>
      <c r="G826">
        <v>26.1</v>
      </c>
      <c r="H826">
        <v>94.85</v>
      </c>
      <c r="I826">
        <v>95.78</v>
      </c>
      <c r="J826">
        <v>80.77</v>
      </c>
      <c r="K826" t="s">
        <v>47</v>
      </c>
      <c r="L826">
        <v>8</v>
      </c>
      <c r="M826">
        <v>3.3</v>
      </c>
      <c r="N826" t="s">
        <v>29</v>
      </c>
      <c r="O826">
        <v>15</v>
      </c>
      <c r="P826" t="s">
        <v>23</v>
      </c>
      <c r="Q826">
        <v>60.2</v>
      </c>
    </row>
    <row r="827" spans="1:17" x14ac:dyDescent="0.35">
      <c r="A827" s="1">
        <v>45817</v>
      </c>
      <c r="B827" t="s">
        <v>36</v>
      </c>
      <c r="C827" t="s">
        <v>37</v>
      </c>
      <c r="D827" t="s">
        <v>38</v>
      </c>
      <c r="E827" t="s">
        <v>27</v>
      </c>
      <c r="F827">
        <v>208.8</v>
      </c>
      <c r="G827">
        <v>60.7</v>
      </c>
      <c r="H827">
        <v>97.93</v>
      </c>
      <c r="I827">
        <v>95.6</v>
      </c>
      <c r="J827">
        <v>82.11</v>
      </c>
      <c r="K827" t="s">
        <v>47</v>
      </c>
      <c r="L827">
        <v>7.9</v>
      </c>
      <c r="M827">
        <v>2.5</v>
      </c>
      <c r="N827" t="s">
        <v>39</v>
      </c>
      <c r="O827">
        <v>8</v>
      </c>
      <c r="P827" t="s">
        <v>23</v>
      </c>
      <c r="Q827">
        <v>62</v>
      </c>
    </row>
    <row r="828" spans="1:17" x14ac:dyDescent="0.35">
      <c r="A828" s="1">
        <v>45817</v>
      </c>
      <c r="B828" t="s">
        <v>53</v>
      </c>
      <c r="C828" t="s">
        <v>41</v>
      </c>
      <c r="D828" t="s">
        <v>54</v>
      </c>
      <c r="E828" t="s">
        <v>27</v>
      </c>
      <c r="F828">
        <v>373.64</v>
      </c>
      <c r="G828">
        <v>22.5</v>
      </c>
      <c r="H828">
        <v>96.86</v>
      </c>
      <c r="I828">
        <v>96.33</v>
      </c>
      <c r="J828">
        <v>81.540000000000006</v>
      </c>
      <c r="K828" t="s">
        <v>28</v>
      </c>
      <c r="L828">
        <v>8.1</v>
      </c>
      <c r="M828">
        <v>2.1</v>
      </c>
      <c r="N828" t="s">
        <v>39</v>
      </c>
      <c r="O828">
        <v>9</v>
      </c>
      <c r="P828" t="s">
        <v>43</v>
      </c>
      <c r="Q828">
        <v>61.7</v>
      </c>
    </row>
    <row r="829" spans="1:17" x14ac:dyDescent="0.35">
      <c r="A829" s="1">
        <v>45817</v>
      </c>
      <c r="B829" t="s">
        <v>51</v>
      </c>
      <c r="C829" t="s">
        <v>45</v>
      </c>
      <c r="D829" t="s">
        <v>52</v>
      </c>
      <c r="E829" t="s">
        <v>27</v>
      </c>
      <c r="F829">
        <v>705.4</v>
      </c>
      <c r="G829">
        <v>360.2</v>
      </c>
      <c r="H829">
        <v>94.23</v>
      </c>
      <c r="I829">
        <v>99.36</v>
      </c>
      <c r="J829">
        <v>76.66</v>
      </c>
      <c r="K829" t="s">
        <v>47</v>
      </c>
      <c r="L829">
        <v>8.9</v>
      </c>
      <c r="M829">
        <v>4</v>
      </c>
      <c r="N829" t="s">
        <v>39</v>
      </c>
      <c r="O829">
        <v>14</v>
      </c>
      <c r="P829" t="s">
        <v>23</v>
      </c>
      <c r="Q829">
        <v>63.9</v>
      </c>
    </row>
    <row r="830" spans="1:17" x14ac:dyDescent="0.35">
      <c r="A830" s="1">
        <v>45817</v>
      </c>
      <c r="B830" t="s">
        <v>59</v>
      </c>
      <c r="C830" t="s">
        <v>60</v>
      </c>
      <c r="D830" t="s">
        <v>61</v>
      </c>
      <c r="E830" t="s">
        <v>62</v>
      </c>
      <c r="F830">
        <v>311.52</v>
      </c>
      <c r="G830">
        <v>182.4</v>
      </c>
      <c r="H830">
        <v>87.59</v>
      </c>
      <c r="I830">
        <v>94.7</v>
      </c>
      <c r="J830">
        <v>89.72</v>
      </c>
      <c r="K830" t="s">
        <v>63</v>
      </c>
      <c r="L830">
        <v>7.8</v>
      </c>
      <c r="N830" t="s">
        <v>35</v>
      </c>
      <c r="O830">
        <v>4</v>
      </c>
      <c r="P830" t="s">
        <v>23</v>
      </c>
      <c r="Q830">
        <v>74</v>
      </c>
    </row>
    <row r="831" spans="1:17" x14ac:dyDescent="0.35">
      <c r="A831" s="1">
        <v>45818</v>
      </c>
      <c r="B831" t="s">
        <v>40</v>
      </c>
      <c r="C831" t="s">
        <v>41</v>
      </c>
      <c r="D831" t="s">
        <v>42</v>
      </c>
      <c r="E831" t="s">
        <v>27</v>
      </c>
      <c r="F831">
        <v>354.58</v>
      </c>
      <c r="G831">
        <v>23.5</v>
      </c>
      <c r="H831">
        <v>95.77</v>
      </c>
      <c r="I831">
        <v>97.18</v>
      </c>
      <c r="J831">
        <v>81.599999999999994</v>
      </c>
      <c r="K831" t="s">
        <v>34</v>
      </c>
      <c r="L831">
        <v>8.1999999999999993</v>
      </c>
      <c r="M831">
        <v>3.4</v>
      </c>
      <c r="N831" t="s">
        <v>39</v>
      </c>
      <c r="O831">
        <v>10</v>
      </c>
      <c r="P831" t="s">
        <v>43</v>
      </c>
      <c r="Q831">
        <v>61</v>
      </c>
    </row>
    <row r="832" spans="1:17" x14ac:dyDescent="0.35">
      <c r="A832" s="1">
        <v>45818</v>
      </c>
      <c r="B832" t="s">
        <v>71</v>
      </c>
      <c r="C832" t="s">
        <v>72</v>
      </c>
      <c r="D832" t="s">
        <v>73</v>
      </c>
      <c r="E832" t="s">
        <v>33</v>
      </c>
      <c r="F832">
        <v>60.68</v>
      </c>
      <c r="G832">
        <v>89.9</v>
      </c>
      <c r="H832">
        <v>92.69</v>
      </c>
      <c r="I832">
        <v>94.32</v>
      </c>
      <c r="J832">
        <v>71.59</v>
      </c>
      <c r="K832" t="s">
        <v>34</v>
      </c>
      <c r="L832">
        <v>6.6</v>
      </c>
      <c r="M832">
        <v>3.9</v>
      </c>
      <c r="N832" t="s">
        <v>22</v>
      </c>
      <c r="O832">
        <v>8</v>
      </c>
      <c r="P832" t="s">
        <v>23</v>
      </c>
      <c r="Q832">
        <v>56.6</v>
      </c>
    </row>
    <row r="833" spans="1:17" x14ac:dyDescent="0.35">
      <c r="A833" s="1">
        <v>45818</v>
      </c>
      <c r="B833" t="s">
        <v>99</v>
      </c>
      <c r="C833" t="s">
        <v>72</v>
      </c>
      <c r="D833" t="s">
        <v>100</v>
      </c>
      <c r="E833" t="s">
        <v>27</v>
      </c>
      <c r="F833">
        <v>132.78</v>
      </c>
      <c r="G833">
        <v>65.599999999999994</v>
      </c>
      <c r="H833">
        <v>95.6</v>
      </c>
      <c r="I833">
        <v>93.72</v>
      </c>
      <c r="J833">
        <v>81.83</v>
      </c>
      <c r="K833" t="s">
        <v>28</v>
      </c>
      <c r="L833">
        <v>7.5</v>
      </c>
      <c r="M833">
        <v>1.7</v>
      </c>
      <c r="N833" t="s">
        <v>29</v>
      </c>
      <c r="O833">
        <v>11</v>
      </c>
      <c r="P833" t="s">
        <v>23</v>
      </c>
      <c r="Q833">
        <v>61.2</v>
      </c>
    </row>
    <row r="834" spans="1:17" x14ac:dyDescent="0.35">
      <c r="A834" s="1">
        <v>45818</v>
      </c>
      <c r="B834" t="s">
        <v>51</v>
      </c>
      <c r="C834" t="s">
        <v>45</v>
      </c>
      <c r="D834" t="s">
        <v>52</v>
      </c>
      <c r="E834" t="s">
        <v>27</v>
      </c>
      <c r="F834">
        <v>167.63</v>
      </c>
      <c r="G834">
        <v>521.6</v>
      </c>
      <c r="H834">
        <v>97.5</v>
      </c>
      <c r="I834">
        <v>99.16</v>
      </c>
      <c r="J834">
        <v>83.46</v>
      </c>
      <c r="K834" t="s">
        <v>47</v>
      </c>
      <c r="L834">
        <v>7.9</v>
      </c>
      <c r="M834">
        <v>2.8</v>
      </c>
      <c r="N834" t="s">
        <v>39</v>
      </c>
      <c r="O834">
        <v>14</v>
      </c>
      <c r="P834" t="s">
        <v>23</v>
      </c>
      <c r="Q834">
        <v>64.7</v>
      </c>
    </row>
    <row r="835" spans="1:17" x14ac:dyDescent="0.35">
      <c r="A835" s="1">
        <v>45818</v>
      </c>
      <c r="B835" t="s">
        <v>48</v>
      </c>
      <c r="C835" t="s">
        <v>49</v>
      </c>
      <c r="D835" t="s">
        <v>50</v>
      </c>
      <c r="E835" t="s">
        <v>33</v>
      </c>
      <c r="F835">
        <v>307.48</v>
      </c>
      <c r="G835">
        <v>216.8</v>
      </c>
      <c r="H835">
        <v>93.12</v>
      </c>
      <c r="I835">
        <v>94.05</v>
      </c>
      <c r="J835">
        <v>72.69</v>
      </c>
      <c r="K835" t="s">
        <v>28</v>
      </c>
      <c r="L835">
        <v>7.5</v>
      </c>
      <c r="M835">
        <v>2.1</v>
      </c>
      <c r="N835" t="s">
        <v>35</v>
      </c>
      <c r="O835">
        <v>8</v>
      </c>
      <c r="P835" t="s">
        <v>23</v>
      </c>
      <c r="Q835">
        <v>61.1</v>
      </c>
    </row>
    <row r="836" spans="1:17" x14ac:dyDescent="0.35">
      <c r="A836" s="1">
        <v>45818</v>
      </c>
      <c r="B836" t="s">
        <v>48</v>
      </c>
      <c r="C836" t="s">
        <v>49</v>
      </c>
      <c r="D836" t="s">
        <v>50</v>
      </c>
      <c r="E836" t="s">
        <v>27</v>
      </c>
      <c r="F836">
        <v>431.93</v>
      </c>
      <c r="G836">
        <v>40</v>
      </c>
      <c r="H836">
        <v>95.51</v>
      </c>
      <c r="I836">
        <v>93.55</v>
      </c>
      <c r="J836">
        <v>77.599999999999994</v>
      </c>
      <c r="K836" t="s">
        <v>34</v>
      </c>
      <c r="L836">
        <v>8.5</v>
      </c>
      <c r="M836">
        <v>1.9</v>
      </c>
      <c r="N836" t="s">
        <v>29</v>
      </c>
      <c r="O836">
        <v>10</v>
      </c>
      <c r="P836" t="s">
        <v>23</v>
      </c>
      <c r="Q836">
        <v>61.5</v>
      </c>
    </row>
    <row r="837" spans="1:17" x14ac:dyDescent="0.35">
      <c r="A837" s="1">
        <v>45818</v>
      </c>
      <c r="B837" t="s">
        <v>95</v>
      </c>
      <c r="C837" t="s">
        <v>49</v>
      </c>
      <c r="D837" t="s">
        <v>96</v>
      </c>
      <c r="E837" t="s">
        <v>33</v>
      </c>
      <c r="F837">
        <v>294.08</v>
      </c>
      <c r="G837">
        <v>104.8</v>
      </c>
      <c r="H837">
        <v>95.45</v>
      </c>
      <c r="I837">
        <v>96.64</v>
      </c>
      <c r="J837">
        <v>73.290000000000006</v>
      </c>
      <c r="K837" t="s">
        <v>34</v>
      </c>
      <c r="L837">
        <v>7.3</v>
      </c>
      <c r="M837">
        <v>2.6</v>
      </c>
      <c r="N837" t="s">
        <v>22</v>
      </c>
      <c r="O837">
        <v>10</v>
      </c>
      <c r="P837" t="s">
        <v>43</v>
      </c>
      <c r="Q837">
        <v>60.1</v>
      </c>
    </row>
    <row r="838" spans="1:17" x14ac:dyDescent="0.35">
      <c r="A838" s="1">
        <v>45818</v>
      </c>
      <c r="B838" t="s">
        <v>99</v>
      </c>
      <c r="C838" t="s">
        <v>72</v>
      </c>
      <c r="D838" t="s">
        <v>100</v>
      </c>
      <c r="E838" t="s">
        <v>33</v>
      </c>
      <c r="F838">
        <v>118.56</v>
      </c>
      <c r="G838">
        <v>231.8</v>
      </c>
      <c r="H838">
        <v>94.53</v>
      </c>
      <c r="I838">
        <v>96.34</v>
      </c>
      <c r="J838">
        <v>74.7</v>
      </c>
      <c r="K838" t="s">
        <v>28</v>
      </c>
      <c r="L838">
        <v>7.1</v>
      </c>
      <c r="M838">
        <v>5</v>
      </c>
      <c r="N838" t="s">
        <v>35</v>
      </c>
      <c r="O838">
        <v>10</v>
      </c>
      <c r="P838" t="s">
        <v>43</v>
      </c>
      <c r="Q838">
        <v>59.4</v>
      </c>
    </row>
    <row r="839" spans="1:17" x14ac:dyDescent="0.35">
      <c r="A839" s="1">
        <v>45818</v>
      </c>
      <c r="B839" t="s">
        <v>40</v>
      </c>
      <c r="C839" t="s">
        <v>41</v>
      </c>
      <c r="D839" t="s">
        <v>42</v>
      </c>
      <c r="E839" t="s">
        <v>27</v>
      </c>
      <c r="F839">
        <v>571.13</v>
      </c>
      <c r="G839">
        <v>54.8</v>
      </c>
      <c r="H839">
        <v>92.18</v>
      </c>
      <c r="I839">
        <v>98.33</v>
      </c>
      <c r="J839">
        <v>79.77</v>
      </c>
      <c r="K839" t="s">
        <v>47</v>
      </c>
      <c r="L839">
        <v>8.1999999999999993</v>
      </c>
      <c r="M839">
        <v>4</v>
      </c>
      <c r="N839" t="s">
        <v>29</v>
      </c>
      <c r="O839">
        <v>12</v>
      </c>
      <c r="P839" t="s">
        <v>43</v>
      </c>
      <c r="Q839">
        <v>60.5</v>
      </c>
    </row>
    <row r="840" spans="1:17" x14ac:dyDescent="0.35">
      <c r="A840" s="1">
        <v>45818</v>
      </c>
      <c r="B840" t="s">
        <v>55</v>
      </c>
      <c r="C840" t="s">
        <v>56</v>
      </c>
      <c r="D840">
        <v>4</v>
      </c>
      <c r="E840" t="s">
        <v>57</v>
      </c>
      <c r="F840">
        <v>30</v>
      </c>
      <c r="G840">
        <v>145.4</v>
      </c>
      <c r="H840">
        <v>85.45</v>
      </c>
      <c r="I840">
        <v>94.07</v>
      </c>
      <c r="J840">
        <v>71.55</v>
      </c>
      <c r="K840" t="s">
        <v>58</v>
      </c>
      <c r="L840">
        <v>6.3</v>
      </c>
      <c r="N840" t="s">
        <v>35</v>
      </c>
      <c r="O840">
        <v>5</v>
      </c>
      <c r="P840" t="s">
        <v>23</v>
      </c>
      <c r="Q840">
        <v>66.3</v>
      </c>
    </row>
    <row r="841" spans="1:17" x14ac:dyDescent="0.35">
      <c r="A841" s="1">
        <v>45818</v>
      </c>
      <c r="B841" t="s">
        <v>48</v>
      </c>
      <c r="C841" t="s">
        <v>49</v>
      </c>
      <c r="D841" t="s">
        <v>50</v>
      </c>
      <c r="E841" t="s">
        <v>33</v>
      </c>
      <c r="F841">
        <v>360.84</v>
      </c>
      <c r="G841">
        <v>188.5</v>
      </c>
      <c r="H841">
        <v>97.98</v>
      </c>
      <c r="I841">
        <v>93.67</v>
      </c>
      <c r="J841">
        <v>71.59</v>
      </c>
      <c r="K841" t="s">
        <v>28</v>
      </c>
      <c r="L841">
        <v>7.2</v>
      </c>
      <c r="M841">
        <v>3.7</v>
      </c>
      <c r="N841" t="s">
        <v>35</v>
      </c>
      <c r="O841">
        <v>10</v>
      </c>
      <c r="P841" t="s">
        <v>43</v>
      </c>
      <c r="Q841">
        <v>60.1</v>
      </c>
    </row>
    <row r="842" spans="1:17" x14ac:dyDescent="0.35">
      <c r="A842" s="1">
        <v>45818</v>
      </c>
      <c r="B842" t="s">
        <v>76</v>
      </c>
      <c r="C842" t="s">
        <v>45</v>
      </c>
      <c r="D842" t="s">
        <v>77</v>
      </c>
      <c r="E842" t="s">
        <v>27</v>
      </c>
      <c r="F842">
        <v>273.87</v>
      </c>
      <c r="G842">
        <v>536.6</v>
      </c>
      <c r="H842">
        <v>92.3</v>
      </c>
      <c r="I842">
        <v>98.17</v>
      </c>
      <c r="J842">
        <v>75.39</v>
      </c>
      <c r="K842" t="s">
        <v>28</v>
      </c>
      <c r="L842">
        <v>7.8</v>
      </c>
      <c r="M842">
        <v>3</v>
      </c>
      <c r="N842" t="s">
        <v>29</v>
      </c>
      <c r="O842">
        <v>11</v>
      </c>
      <c r="P842" t="s">
        <v>23</v>
      </c>
      <c r="Q842">
        <v>62</v>
      </c>
    </row>
    <row r="843" spans="1:17" x14ac:dyDescent="0.35">
      <c r="A843" s="1">
        <v>45818</v>
      </c>
      <c r="B843" t="s">
        <v>74</v>
      </c>
      <c r="C843" t="s">
        <v>67</v>
      </c>
      <c r="D843" t="s">
        <v>75</v>
      </c>
      <c r="E843" t="s">
        <v>27</v>
      </c>
      <c r="F843">
        <v>511.38</v>
      </c>
      <c r="G843">
        <v>58.7</v>
      </c>
      <c r="H843">
        <v>93.56</v>
      </c>
      <c r="I843">
        <v>96.24</v>
      </c>
      <c r="J843">
        <v>82.31</v>
      </c>
      <c r="K843" t="s">
        <v>34</v>
      </c>
      <c r="L843">
        <v>8.4</v>
      </c>
      <c r="M843">
        <v>3</v>
      </c>
      <c r="N843" t="s">
        <v>39</v>
      </c>
      <c r="O843">
        <v>13</v>
      </c>
      <c r="P843" t="s">
        <v>43</v>
      </c>
      <c r="Q843">
        <v>61.8</v>
      </c>
    </row>
    <row r="844" spans="1:17" x14ac:dyDescent="0.35">
      <c r="A844" s="1">
        <v>45818</v>
      </c>
      <c r="B844" t="s">
        <v>44</v>
      </c>
      <c r="C844" t="s">
        <v>45</v>
      </c>
      <c r="D844" t="s">
        <v>46</v>
      </c>
      <c r="E844" t="s">
        <v>33</v>
      </c>
      <c r="F844">
        <v>974.38</v>
      </c>
      <c r="G844">
        <v>601.4</v>
      </c>
      <c r="H844">
        <v>95.45</v>
      </c>
      <c r="I844">
        <v>98.14</v>
      </c>
      <c r="J844">
        <v>74.319999999999993</v>
      </c>
      <c r="K844" t="s">
        <v>34</v>
      </c>
      <c r="L844">
        <v>8.1999999999999993</v>
      </c>
      <c r="M844">
        <v>2.7</v>
      </c>
      <c r="N844" t="s">
        <v>35</v>
      </c>
      <c r="O844">
        <v>10</v>
      </c>
      <c r="P844" t="s">
        <v>23</v>
      </c>
      <c r="Q844">
        <v>63.2</v>
      </c>
    </row>
    <row r="845" spans="1:17" x14ac:dyDescent="0.35">
      <c r="A845" s="1">
        <v>45818</v>
      </c>
      <c r="B845" t="s">
        <v>66</v>
      </c>
      <c r="C845" t="s">
        <v>67</v>
      </c>
      <c r="D845" t="s">
        <v>68</v>
      </c>
      <c r="E845" t="s">
        <v>27</v>
      </c>
      <c r="F845">
        <v>392.66</v>
      </c>
      <c r="G845">
        <v>67.3</v>
      </c>
      <c r="H845">
        <v>94.14</v>
      </c>
      <c r="I845">
        <v>94.16</v>
      </c>
      <c r="J845">
        <v>80.3</v>
      </c>
      <c r="K845" t="s">
        <v>47</v>
      </c>
      <c r="L845">
        <v>7.8</v>
      </c>
      <c r="M845">
        <v>4.2</v>
      </c>
      <c r="N845" t="s">
        <v>29</v>
      </c>
      <c r="O845">
        <v>9</v>
      </c>
      <c r="P845" t="s">
        <v>43</v>
      </c>
      <c r="Q845">
        <v>59.6</v>
      </c>
    </row>
    <row r="846" spans="1:17" x14ac:dyDescent="0.35">
      <c r="A846" s="1">
        <v>45818</v>
      </c>
      <c r="B846" t="s">
        <v>55</v>
      </c>
      <c r="C846" t="s">
        <v>56</v>
      </c>
      <c r="D846">
        <v>4</v>
      </c>
      <c r="E846" t="s">
        <v>57</v>
      </c>
      <c r="F846">
        <v>30</v>
      </c>
      <c r="G846">
        <v>128.5</v>
      </c>
      <c r="H846">
        <v>89.86</v>
      </c>
      <c r="I846">
        <v>96.12</v>
      </c>
      <c r="J846">
        <v>77.77</v>
      </c>
      <c r="K846" t="s">
        <v>63</v>
      </c>
      <c r="L846">
        <v>6</v>
      </c>
      <c r="N846" t="s">
        <v>35</v>
      </c>
      <c r="O846">
        <v>2</v>
      </c>
      <c r="P846" t="s">
        <v>43</v>
      </c>
      <c r="Q846">
        <v>67.8</v>
      </c>
    </row>
    <row r="847" spans="1:17" x14ac:dyDescent="0.35">
      <c r="A847" s="1">
        <v>45818</v>
      </c>
      <c r="B847" t="s">
        <v>78</v>
      </c>
      <c r="C847" t="s">
        <v>41</v>
      </c>
      <c r="D847" t="s">
        <v>79</v>
      </c>
      <c r="E847" t="s">
        <v>27</v>
      </c>
      <c r="F847">
        <v>655.64</v>
      </c>
      <c r="G847">
        <v>20.3</v>
      </c>
      <c r="H847">
        <v>95.71</v>
      </c>
      <c r="I847">
        <v>96.08</v>
      </c>
      <c r="J847">
        <v>76.36</v>
      </c>
      <c r="K847" t="s">
        <v>34</v>
      </c>
      <c r="L847">
        <v>9</v>
      </c>
      <c r="M847">
        <v>4.7</v>
      </c>
      <c r="N847" t="s">
        <v>39</v>
      </c>
      <c r="O847">
        <v>11</v>
      </c>
      <c r="P847" t="s">
        <v>43</v>
      </c>
      <c r="Q847">
        <v>60.3</v>
      </c>
    </row>
    <row r="848" spans="1:17" x14ac:dyDescent="0.35">
      <c r="A848" s="1">
        <v>45818</v>
      </c>
      <c r="B848" t="s">
        <v>55</v>
      </c>
      <c r="C848" t="s">
        <v>56</v>
      </c>
      <c r="D848">
        <v>4</v>
      </c>
      <c r="E848" t="s">
        <v>57</v>
      </c>
      <c r="F848">
        <v>30</v>
      </c>
      <c r="G848">
        <v>120</v>
      </c>
      <c r="H848">
        <v>91.43</v>
      </c>
      <c r="I848">
        <v>96.57</v>
      </c>
      <c r="J848">
        <v>78.28</v>
      </c>
      <c r="K848" t="s">
        <v>58</v>
      </c>
      <c r="L848">
        <v>7.9</v>
      </c>
      <c r="N848" t="s">
        <v>35</v>
      </c>
      <c r="O848">
        <v>4</v>
      </c>
      <c r="P848" t="s">
        <v>23</v>
      </c>
      <c r="Q848">
        <v>71.900000000000006</v>
      </c>
    </row>
    <row r="849" spans="1:17" x14ac:dyDescent="0.35">
      <c r="A849" s="1">
        <v>45818</v>
      </c>
      <c r="B849" t="s">
        <v>93</v>
      </c>
      <c r="C849" t="s">
        <v>37</v>
      </c>
      <c r="D849" t="s">
        <v>94</v>
      </c>
      <c r="E849" t="s">
        <v>27</v>
      </c>
      <c r="F849">
        <v>200.11</v>
      </c>
      <c r="G849">
        <v>46.2</v>
      </c>
      <c r="H849">
        <v>96.34</v>
      </c>
      <c r="I849">
        <v>96.36</v>
      </c>
      <c r="J849">
        <v>78.2</v>
      </c>
      <c r="K849" t="s">
        <v>28</v>
      </c>
      <c r="L849">
        <v>7.8</v>
      </c>
      <c r="M849">
        <v>2.9</v>
      </c>
      <c r="N849" t="s">
        <v>39</v>
      </c>
      <c r="O849">
        <v>12</v>
      </c>
      <c r="P849" t="s">
        <v>23</v>
      </c>
      <c r="Q849">
        <v>60.5</v>
      </c>
    </row>
    <row r="850" spans="1:17" x14ac:dyDescent="0.35">
      <c r="A850" s="1">
        <v>45818</v>
      </c>
      <c r="B850" t="s">
        <v>44</v>
      </c>
      <c r="C850" t="s">
        <v>45</v>
      </c>
      <c r="D850" t="s">
        <v>46</v>
      </c>
      <c r="E850" t="s">
        <v>33</v>
      </c>
      <c r="F850">
        <v>342.29</v>
      </c>
      <c r="G850">
        <v>267.10000000000002</v>
      </c>
      <c r="H850">
        <v>96.1</v>
      </c>
      <c r="I850">
        <v>98.04</v>
      </c>
      <c r="J850">
        <v>76.430000000000007</v>
      </c>
      <c r="K850" t="s">
        <v>28</v>
      </c>
      <c r="L850">
        <v>7.3</v>
      </c>
      <c r="M850">
        <v>1.6</v>
      </c>
      <c r="N850" t="s">
        <v>35</v>
      </c>
      <c r="O850">
        <v>6</v>
      </c>
      <c r="P850" t="s">
        <v>23</v>
      </c>
      <c r="Q850">
        <v>62.9</v>
      </c>
    </row>
    <row r="851" spans="1:17" x14ac:dyDescent="0.35">
      <c r="A851" s="1">
        <v>45818</v>
      </c>
      <c r="B851" t="s">
        <v>95</v>
      </c>
      <c r="C851" t="s">
        <v>49</v>
      </c>
      <c r="D851" t="s">
        <v>96</v>
      </c>
      <c r="E851" t="s">
        <v>27</v>
      </c>
      <c r="F851">
        <v>265.39999999999998</v>
      </c>
      <c r="G851">
        <v>19</v>
      </c>
      <c r="H851">
        <v>93.95</v>
      </c>
      <c r="I851">
        <v>93.25</v>
      </c>
      <c r="J851">
        <v>77.88</v>
      </c>
      <c r="K851" t="s">
        <v>28</v>
      </c>
      <c r="L851">
        <v>7.9</v>
      </c>
      <c r="M851">
        <v>3.1</v>
      </c>
      <c r="N851" t="s">
        <v>29</v>
      </c>
      <c r="O851">
        <v>13</v>
      </c>
      <c r="P851" t="s">
        <v>23</v>
      </c>
      <c r="Q851">
        <v>59</v>
      </c>
    </row>
    <row r="852" spans="1:17" x14ac:dyDescent="0.35">
      <c r="A852" s="1">
        <v>45818</v>
      </c>
      <c r="B852" t="s">
        <v>17</v>
      </c>
      <c r="C852" t="s">
        <v>18</v>
      </c>
      <c r="D852" t="s">
        <v>19</v>
      </c>
      <c r="E852" t="s">
        <v>20</v>
      </c>
      <c r="F852">
        <v>91.81</v>
      </c>
      <c r="G852">
        <v>194.3</v>
      </c>
      <c r="H852">
        <v>88.58</v>
      </c>
      <c r="I852">
        <v>96.01</v>
      </c>
      <c r="J852">
        <v>78.430000000000007</v>
      </c>
      <c r="K852" t="s">
        <v>63</v>
      </c>
      <c r="L852">
        <v>7.8</v>
      </c>
      <c r="N852" t="s">
        <v>35</v>
      </c>
      <c r="O852">
        <v>8</v>
      </c>
      <c r="P852" t="s">
        <v>23</v>
      </c>
      <c r="Q852">
        <v>72.2</v>
      </c>
    </row>
    <row r="853" spans="1:17" x14ac:dyDescent="0.35">
      <c r="A853" s="1">
        <v>45818</v>
      </c>
      <c r="B853" t="s">
        <v>93</v>
      </c>
      <c r="C853" t="s">
        <v>37</v>
      </c>
      <c r="D853" t="s">
        <v>94</v>
      </c>
      <c r="E853" t="s">
        <v>33</v>
      </c>
      <c r="F853">
        <v>387.48</v>
      </c>
      <c r="G853">
        <v>185.5</v>
      </c>
      <c r="H853">
        <v>96.2</v>
      </c>
      <c r="I853">
        <v>95.16</v>
      </c>
      <c r="J853">
        <v>71.09</v>
      </c>
      <c r="K853" t="s">
        <v>47</v>
      </c>
      <c r="L853">
        <v>8.1</v>
      </c>
      <c r="M853">
        <v>4.9000000000000004</v>
      </c>
      <c r="N853" t="s">
        <v>35</v>
      </c>
      <c r="O853">
        <v>9</v>
      </c>
      <c r="P853" t="s">
        <v>23</v>
      </c>
      <c r="Q853">
        <v>60.6</v>
      </c>
    </row>
    <row r="854" spans="1:17" x14ac:dyDescent="0.35">
      <c r="A854" s="1">
        <v>45818</v>
      </c>
      <c r="B854" t="s">
        <v>59</v>
      </c>
      <c r="C854" t="s">
        <v>60</v>
      </c>
      <c r="D854" t="s">
        <v>61</v>
      </c>
      <c r="E854" t="s">
        <v>62</v>
      </c>
      <c r="F854">
        <v>458.43</v>
      </c>
      <c r="G854">
        <v>174.3</v>
      </c>
      <c r="H854">
        <v>89.24</v>
      </c>
      <c r="I854">
        <v>93.51</v>
      </c>
      <c r="J854">
        <v>89.85</v>
      </c>
      <c r="K854" t="s">
        <v>34</v>
      </c>
      <c r="L854">
        <v>9.3000000000000007</v>
      </c>
      <c r="N854" t="s">
        <v>35</v>
      </c>
      <c r="O854">
        <v>4</v>
      </c>
      <c r="P854" t="s">
        <v>43</v>
      </c>
      <c r="Q854">
        <v>77.099999999999994</v>
      </c>
    </row>
    <row r="855" spans="1:17" x14ac:dyDescent="0.35">
      <c r="A855" s="1">
        <v>45818</v>
      </c>
      <c r="B855" t="s">
        <v>91</v>
      </c>
      <c r="C855" t="s">
        <v>67</v>
      </c>
      <c r="D855" t="s">
        <v>92</v>
      </c>
      <c r="E855" t="s">
        <v>27</v>
      </c>
      <c r="F855">
        <v>558.51</v>
      </c>
      <c r="G855">
        <v>38.799999999999997</v>
      </c>
      <c r="H855">
        <v>93.46</v>
      </c>
      <c r="I855">
        <v>95.09</v>
      </c>
      <c r="J855">
        <v>79.08</v>
      </c>
      <c r="K855" t="s">
        <v>28</v>
      </c>
      <c r="L855">
        <v>8.6999999999999993</v>
      </c>
      <c r="M855">
        <v>3.4</v>
      </c>
      <c r="N855" t="s">
        <v>29</v>
      </c>
      <c r="O855">
        <v>13</v>
      </c>
      <c r="P855" t="s">
        <v>23</v>
      </c>
      <c r="Q855">
        <v>60.9</v>
      </c>
    </row>
    <row r="856" spans="1:17" x14ac:dyDescent="0.35">
      <c r="A856" s="1">
        <v>45818</v>
      </c>
      <c r="B856" t="s">
        <v>48</v>
      </c>
      <c r="C856" t="s">
        <v>49</v>
      </c>
      <c r="D856" t="s">
        <v>50</v>
      </c>
      <c r="E856" t="s">
        <v>33</v>
      </c>
      <c r="F856">
        <v>419.92</v>
      </c>
      <c r="G856">
        <v>209.5</v>
      </c>
      <c r="H856">
        <v>92.37</v>
      </c>
      <c r="I856">
        <v>93.44</v>
      </c>
      <c r="J856">
        <v>77.84</v>
      </c>
      <c r="K856" t="s">
        <v>47</v>
      </c>
      <c r="L856">
        <v>8.1</v>
      </c>
      <c r="M856">
        <v>4.0999999999999996</v>
      </c>
      <c r="N856" t="s">
        <v>35</v>
      </c>
      <c r="O856">
        <v>10</v>
      </c>
      <c r="P856" t="s">
        <v>43</v>
      </c>
      <c r="Q856">
        <v>61.4</v>
      </c>
    </row>
    <row r="857" spans="1:17" x14ac:dyDescent="0.35">
      <c r="A857" s="1">
        <v>45818</v>
      </c>
      <c r="B857" t="s">
        <v>53</v>
      </c>
      <c r="C857" t="s">
        <v>41</v>
      </c>
      <c r="D857" t="s">
        <v>54</v>
      </c>
      <c r="E857" t="s">
        <v>27</v>
      </c>
      <c r="F857">
        <v>280.23</v>
      </c>
      <c r="G857">
        <v>31</v>
      </c>
      <c r="H857">
        <v>97.01</v>
      </c>
      <c r="I857">
        <v>96.97</v>
      </c>
      <c r="J857">
        <v>83.97</v>
      </c>
      <c r="K857" t="s">
        <v>34</v>
      </c>
      <c r="L857">
        <v>7.6</v>
      </c>
      <c r="M857">
        <v>4.0999999999999996</v>
      </c>
      <c r="N857" t="s">
        <v>39</v>
      </c>
      <c r="O857">
        <v>9</v>
      </c>
      <c r="P857" t="s">
        <v>43</v>
      </c>
      <c r="Q857">
        <v>60.2</v>
      </c>
    </row>
    <row r="858" spans="1:17" x14ac:dyDescent="0.35">
      <c r="A858" s="1">
        <v>45818</v>
      </c>
      <c r="B858" t="s">
        <v>99</v>
      </c>
      <c r="C858" t="s">
        <v>72</v>
      </c>
      <c r="D858" t="s">
        <v>100</v>
      </c>
      <c r="E858" t="s">
        <v>27</v>
      </c>
      <c r="F858">
        <v>126.59</v>
      </c>
      <c r="G858">
        <v>45.4</v>
      </c>
      <c r="H858">
        <v>92.07</v>
      </c>
      <c r="I858">
        <v>93.41</v>
      </c>
      <c r="J858">
        <v>82.44</v>
      </c>
      <c r="K858" t="s">
        <v>28</v>
      </c>
      <c r="L858">
        <v>6.5</v>
      </c>
      <c r="M858">
        <v>1.6</v>
      </c>
      <c r="N858" t="s">
        <v>29</v>
      </c>
      <c r="O858">
        <v>13</v>
      </c>
      <c r="P858" t="s">
        <v>43</v>
      </c>
      <c r="Q858">
        <v>58.7</v>
      </c>
    </row>
    <row r="859" spans="1:17" x14ac:dyDescent="0.35">
      <c r="A859" s="1">
        <v>45818</v>
      </c>
      <c r="B859" t="s">
        <v>55</v>
      </c>
      <c r="C859" t="s">
        <v>56</v>
      </c>
      <c r="D859">
        <v>4</v>
      </c>
      <c r="E859" t="s">
        <v>57</v>
      </c>
      <c r="F859">
        <v>30</v>
      </c>
      <c r="G859">
        <v>136.30000000000001</v>
      </c>
      <c r="H859">
        <v>87.75</v>
      </c>
      <c r="I859">
        <v>96.25</v>
      </c>
      <c r="J859">
        <v>75.569999999999993</v>
      </c>
      <c r="K859" t="s">
        <v>58</v>
      </c>
      <c r="L859">
        <v>7.9</v>
      </c>
      <c r="N859" t="s">
        <v>35</v>
      </c>
      <c r="O859">
        <v>4</v>
      </c>
      <c r="P859" t="s">
        <v>23</v>
      </c>
      <c r="Q859">
        <v>71</v>
      </c>
    </row>
    <row r="860" spans="1:17" x14ac:dyDescent="0.35">
      <c r="A860" s="1">
        <v>45818</v>
      </c>
      <c r="B860" t="s">
        <v>36</v>
      </c>
      <c r="C860" t="s">
        <v>37</v>
      </c>
      <c r="D860" t="s">
        <v>38</v>
      </c>
      <c r="E860" t="s">
        <v>33</v>
      </c>
      <c r="F860">
        <v>374.93</v>
      </c>
      <c r="G860">
        <v>239.2</v>
      </c>
      <c r="H860">
        <v>94.94</v>
      </c>
      <c r="I860">
        <v>95</v>
      </c>
      <c r="J860">
        <v>78.5</v>
      </c>
      <c r="K860" t="s">
        <v>47</v>
      </c>
      <c r="L860">
        <v>7.6</v>
      </c>
      <c r="M860">
        <v>4.5999999999999996</v>
      </c>
      <c r="N860" t="s">
        <v>22</v>
      </c>
      <c r="O860">
        <v>10</v>
      </c>
      <c r="P860" t="s">
        <v>23</v>
      </c>
      <c r="Q860">
        <v>61</v>
      </c>
    </row>
    <row r="861" spans="1:17" x14ac:dyDescent="0.35">
      <c r="A861" s="1">
        <v>45818</v>
      </c>
      <c r="B861" t="s">
        <v>89</v>
      </c>
      <c r="C861" t="s">
        <v>67</v>
      </c>
      <c r="D861" t="s">
        <v>90</v>
      </c>
      <c r="E861" t="s">
        <v>27</v>
      </c>
      <c r="F861">
        <v>787.79</v>
      </c>
      <c r="G861">
        <v>41.3</v>
      </c>
      <c r="H861">
        <v>94.82</v>
      </c>
      <c r="I861">
        <v>94.97</v>
      </c>
      <c r="J861">
        <v>78.36</v>
      </c>
      <c r="K861" t="s">
        <v>34</v>
      </c>
      <c r="L861">
        <v>9.1999999999999993</v>
      </c>
      <c r="M861">
        <v>2.1</v>
      </c>
      <c r="N861" t="s">
        <v>29</v>
      </c>
      <c r="O861">
        <v>8</v>
      </c>
      <c r="P861" t="s">
        <v>23</v>
      </c>
      <c r="Q861">
        <v>62.8</v>
      </c>
    </row>
    <row r="862" spans="1:17" x14ac:dyDescent="0.35">
      <c r="A862" s="1">
        <v>45818</v>
      </c>
      <c r="B862" t="s">
        <v>97</v>
      </c>
      <c r="C862" t="s">
        <v>72</v>
      </c>
      <c r="D862" t="s">
        <v>98</v>
      </c>
      <c r="E862" t="s">
        <v>27</v>
      </c>
      <c r="F862">
        <v>205.24</v>
      </c>
      <c r="G862">
        <v>50.1</v>
      </c>
      <c r="H862">
        <v>92.4</v>
      </c>
      <c r="I862">
        <v>95.55</v>
      </c>
      <c r="J862">
        <v>83.83</v>
      </c>
      <c r="K862" t="s">
        <v>34</v>
      </c>
      <c r="L862">
        <v>7.9</v>
      </c>
      <c r="M862">
        <v>4.7</v>
      </c>
      <c r="N862" t="s">
        <v>29</v>
      </c>
      <c r="O862">
        <v>14</v>
      </c>
      <c r="P862" t="s">
        <v>23</v>
      </c>
      <c r="Q862">
        <v>59.7</v>
      </c>
    </row>
    <row r="863" spans="1:17" x14ac:dyDescent="0.35">
      <c r="A863" s="1">
        <v>45818</v>
      </c>
      <c r="B863" t="s">
        <v>24</v>
      </c>
      <c r="C863" t="s">
        <v>25</v>
      </c>
      <c r="D863" t="s">
        <v>26</v>
      </c>
      <c r="E863" t="s">
        <v>27</v>
      </c>
      <c r="F863">
        <v>453.23</v>
      </c>
      <c r="G863">
        <v>20.7</v>
      </c>
      <c r="H863">
        <v>93.83</v>
      </c>
      <c r="I863">
        <v>97.87</v>
      </c>
      <c r="J863">
        <v>82.9</v>
      </c>
      <c r="K863" t="s">
        <v>34</v>
      </c>
      <c r="L863">
        <v>8.1</v>
      </c>
      <c r="M863">
        <v>1.6</v>
      </c>
      <c r="N863" t="s">
        <v>39</v>
      </c>
      <c r="O863">
        <v>12</v>
      </c>
      <c r="P863" t="s">
        <v>30</v>
      </c>
      <c r="Q863">
        <v>61.9</v>
      </c>
    </row>
    <row r="864" spans="1:17" x14ac:dyDescent="0.35">
      <c r="A864" s="1">
        <v>45818</v>
      </c>
      <c r="B864" t="s">
        <v>59</v>
      </c>
      <c r="C864" t="s">
        <v>60</v>
      </c>
      <c r="D864" t="s">
        <v>61</v>
      </c>
      <c r="E864" t="s">
        <v>62</v>
      </c>
      <c r="F864">
        <v>517.54999999999995</v>
      </c>
      <c r="G864">
        <v>177.7</v>
      </c>
      <c r="H864">
        <v>90.53</v>
      </c>
      <c r="I864">
        <v>94.48</v>
      </c>
      <c r="J864">
        <v>88.25</v>
      </c>
      <c r="K864" t="s">
        <v>63</v>
      </c>
      <c r="L864">
        <v>9.3000000000000007</v>
      </c>
      <c r="N864" t="s">
        <v>35</v>
      </c>
      <c r="O864">
        <v>3</v>
      </c>
      <c r="P864" t="s">
        <v>23</v>
      </c>
      <c r="Q864">
        <v>77.3</v>
      </c>
    </row>
    <row r="865" spans="1:17" x14ac:dyDescent="0.35">
      <c r="A865" s="1">
        <v>45818</v>
      </c>
      <c r="B865" t="s">
        <v>44</v>
      </c>
      <c r="C865" t="s">
        <v>45</v>
      </c>
      <c r="D865" t="s">
        <v>46</v>
      </c>
      <c r="E865" t="s">
        <v>33</v>
      </c>
      <c r="F865">
        <v>587.13</v>
      </c>
      <c r="G865">
        <v>543.79999999999995</v>
      </c>
      <c r="H865">
        <v>94.01</v>
      </c>
      <c r="I865">
        <v>99.23</v>
      </c>
      <c r="J865">
        <v>77.510000000000005</v>
      </c>
      <c r="K865" t="s">
        <v>28</v>
      </c>
      <c r="L865">
        <v>8.5</v>
      </c>
      <c r="M865">
        <v>4.3</v>
      </c>
      <c r="N865" t="s">
        <v>35</v>
      </c>
      <c r="O865">
        <v>5</v>
      </c>
      <c r="P865" t="s">
        <v>23</v>
      </c>
      <c r="Q865">
        <v>63.1</v>
      </c>
    </row>
    <row r="866" spans="1:17" x14ac:dyDescent="0.35">
      <c r="A866" s="1">
        <v>45818</v>
      </c>
      <c r="B866" t="s">
        <v>82</v>
      </c>
      <c r="C866" t="s">
        <v>72</v>
      </c>
      <c r="D866" t="s">
        <v>83</v>
      </c>
      <c r="E866" t="s">
        <v>20</v>
      </c>
      <c r="F866">
        <v>92.49</v>
      </c>
      <c r="G866">
        <v>139.5</v>
      </c>
      <c r="H866">
        <v>91.27</v>
      </c>
      <c r="I866">
        <v>94.39</v>
      </c>
      <c r="J866">
        <v>72.92</v>
      </c>
      <c r="K866" t="s">
        <v>21</v>
      </c>
      <c r="L866">
        <v>7.5</v>
      </c>
      <c r="N866" t="s">
        <v>35</v>
      </c>
      <c r="O866">
        <v>9</v>
      </c>
      <c r="P866" t="s">
        <v>23</v>
      </c>
      <c r="Q866">
        <v>70</v>
      </c>
    </row>
    <row r="867" spans="1:17" x14ac:dyDescent="0.35">
      <c r="A867" s="1">
        <v>45818</v>
      </c>
      <c r="B867" t="s">
        <v>17</v>
      </c>
      <c r="C867" t="s">
        <v>18</v>
      </c>
      <c r="D867" t="s">
        <v>19</v>
      </c>
      <c r="E867" t="s">
        <v>20</v>
      </c>
      <c r="F867">
        <v>272.68</v>
      </c>
      <c r="G867">
        <v>91.2</v>
      </c>
      <c r="H867">
        <v>88.38</v>
      </c>
      <c r="I867">
        <v>95.4</v>
      </c>
      <c r="J867">
        <v>71.56</v>
      </c>
      <c r="K867" t="s">
        <v>21</v>
      </c>
      <c r="L867">
        <v>7.4</v>
      </c>
      <c r="N867" t="s">
        <v>35</v>
      </c>
      <c r="O867">
        <v>5</v>
      </c>
      <c r="P867" t="s">
        <v>23</v>
      </c>
      <c r="Q867">
        <v>68</v>
      </c>
    </row>
    <row r="868" spans="1:17" x14ac:dyDescent="0.35">
      <c r="A868" s="1">
        <v>45818</v>
      </c>
      <c r="B868" t="s">
        <v>44</v>
      </c>
      <c r="C868" t="s">
        <v>45</v>
      </c>
      <c r="D868" t="s">
        <v>46</v>
      </c>
      <c r="E868" t="s">
        <v>27</v>
      </c>
      <c r="F868">
        <v>810.66</v>
      </c>
      <c r="G868">
        <v>345</v>
      </c>
      <c r="H868">
        <v>96.82</v>
      </c>
      <c r="I868">
        <v>99.04</v>
      </c>
      <c r="J868">
        <v>79.650000000000006</v>
      </c>
      <c r="K868" t="s">
        <v>28</v>
      </c>
      <c r="L868">
        <v>8.4</v>
      </c>
      <c r="M868">
        <v>4.5</v>
      </c>
      <c r="N868" t="s">
        <v>29</v>
      </c>
      <c r="O868">
        <v>15</v>
      </c>
      <c r="P868" t="s">
        <v>23</v>
      </c>
      <c r="Q868">
        <v>63.6</v>
      </c>
    </row>
    <row r="869" spans="1:17" x14ac:dyDescent="0.35">
      <c r="A869" s="1">
        <v>45818</v>
      </c>
      <c r="B869" t="s">
        <v>55</v>
      </c>
      <c r="C869" t="s">
        <v>56</v>
      </c>
      <c r="D869">
        <v>4</v>
      </c>
      <c r="E869" t="s">
        <v>57</v>
      </c>
      <c r="F869">
        <v>30</v>
      </c>
      <c r="G869">
        <v>147</v>
      </c>
      <c r="H869">
        <v>87.26</v>
      </c>
      <c r="I869">
        <v>95.7</v>
      </c>
      <c r="J869">
        <v>74.11</v>
      </c>
      <c r="K869" t="s">
        <v>63</v>
      </c>
      <c r="L869">
        <v>6.9</v>
      </c>
      <c r="N869" t="s">
        <v>35</v>
      </c>
      <c r="O869">
        <v>4</v>
      </c>
      <c r="P869" t="s">
        <v>43</v>
      </c>
      <c r="Q869">
        <v>68.7</v>
      </c>
    </row>
    <row r="870" spans="1:17" x14ac:dyDescent="0.35">
      <c r="A870" s="1">
        <v>45818</v>
      </c>
      <c r="B870" t="s">
        <v>95</v>
      </c>
      <c r="C870" t="s">
        <v>49</v>
      </c>
      <c r="D870" t="s">
        <v>96</v>
      </c>
      <c r="E870" t="s">
        <v>33</v>
      </c>
      <c r="F870">
        <v>212.65</v>
      </c>
      <c r="G870">
        <v>130.69999999999999</v>
      </c>
      <c r="H870">
        <v>96.84</v>
      </c>
      <c r="I870">
        <v>93.85</v>
      </c>
      <c r="J870">
        <v>76.41</v>
      </c>
      <c r="K870" t="s">
        <v>28</v>
      </c>
      <c r="L870">
        <v>7.4</v>
      </c>
      <c r="M870">
        <v>4.3</v>
      </c>
      <c r="N870" t="s">
        <v>35</v>
      </c>
      <c r="O870">
        <v>9</v>
      </c>
      <c r="P870" t="s">
        <v>23</v>
      </c>
      <c r="Q870">
        <v>59.9</v>
      </c>
    </row>
    <row r="871" spans="1:17" x14ac:dyDescent="0.35">
      <c r="A871" s="1">
        <v>45818</v>
      </c>
      <c r="B871" t="s">
        <v>95</v>
      </c>
      <c r="C871" t="s">
        <v>49</v>
      </c>
      <c r="D871" t="s">
        <v>96</v>
      </c>
      <c r="E871" t="s">
        <v>33</v>
      </c>
      <c r="F871">
        <v>445.88</v>
      </c>
      <c r="G871">
        <v>227.7</v>
      </c>
      <c r="H871">
        <v>92.35</v>
      </c>
      <c r="I871">
        <v>95.44</v>
      </c>
      <c r="J871">
        <v>76.489999999999995</v>
      </c>
      <c r="K871" t="s">
        <v>34</v>
      </c>
      <c r="L871">
        <v>8</v>
      </c>
      <c r="M871">
        <v>4.7</v>
      </c>
      <c r="N871" t="s">
        <v>35</v>
      </c>
      <c r="O871">
        <v>8</v>
      </c>
      <c r="P871" t="s">
        <v>23</v>
      </c>
      <c r="Q871">
        <v>60.9</v>
      </c>
    </row>
    <row r="872" spans="1:17" x14ac:dyDescent="0.35">
      <c r="A872" s="1">
        <v>45818</v>
      </c>
      <c r="B872" t="s">
        <v>59</v>
      </c>
      <c r="C872" t="s">
        <v>60</v>
      </c>
      <c r="D872" t="s">
        <v>61</v>
      </c>
      <c r="E872" t="s">
        <v>62</v>
      </c>
      <c r="F872">
        <v>415.64</v>
      </c>
      <c r="G872">
        <v>183.8</v>
      </c>
      <c r="H872">
        <v>85.37</v>
      </c>
      <c r="I872">
        <v>95.42</v>
      </c>
      <c r="J872">
        <v>90.22</v>
      </c>
      <c r="K872" t="s">
        <v>63</v>
      </c>
      <c r="L872">
        <v>8.1999999999999993</v>
      </c>
      <c r="N872" t="s">
        <v>35</v>
      </c>
      <c r="O872">
        <v>6</v>
      </c>
      <c r="P872" t="s">
        <v>23</v>
      </c>
      <c r="Q872">
        <v>74.599999999999994</v>
      </c>
    </row>
    <row r="873" spans="1:17" x14ac:dyDescent="0.35">
      <c r="A873" s="1">
        <v>45818</v>
      </c>
      <c r="B873" t="s">
        <v>24</v>
      </c>
      <c r="C873" t="s">
        <v>25</v>
      </c>
      <c r="D873" t="s">
        <v>26</v>
      </c>
      <c r="E873" t="s">
        <v>27</v>
      </c>
      <c r="F873">
        <v>774.1</v>
      </c>
      <c r="G873">
        <v>46.3</v>
      </c>
      <c r="H873">
        <v>95.02</v>
      </c>
      <c r="I873">
        <v>96.62</v>
      </c>
      <c r="J873">
        <v>78.760000000000005</v>
      </c>
      <c r="K873" t="s">
        <v>28</v>
      </c>
      <c r="L873">
        <v>9.1999999999999993</v>
      </c>
      <c r="M873">
        <v>1.5</v>
      </c>
      <c r="N873" t="s">
        <v>29</v>
      </c>
      <c r="O873">
        <v>10</v>
      </c>
      <c r="P873" t="s">
        <v>30</v>
      </c>
      <c r="Q873">
        <v>63.7</v>
      </c>
    </row>
    <row r="874" spans="1:17" x14ac:dyDescent="0.35">
      <c r="A874" s="1">
        <v>45818</v>
      </c>
      <c r="B874" t="s">
        <v>64</v>
      </c>
      <c r="C874" t="s">
        <v>25</v>
      </c>
      <c r="D874" t="s">
        <v>65</v>
      </c>
      <c r="E874" t="s">
        <v>27</v>
      </c>
      <c r="F874">
        <v>815.33</v>
      </c>
      <c r="G874">
        <v>56.2</v>
      </c>
      <c r="H874">
        <v>93.55</v>
      </c>
      <c r="I874">
        <v>97.29</v>
      </c>
      <c r="J874">
        <v>81.150000000000006</v>
      </c>
      <c r="K874" t="s">
        <v>34</v>
      </c>
      <c r="L874">
        <v>8.6999999999999993</v>
      </c>
      <c r="M874">
        <v>3.1</v>
      </c>
      <c r="N874" t="s">
        <v>29</v>
      </c>
      <c r="O874">
        <v>15</v>
      </c>
      <c r="P874" t="s">
        <v>30</v>
      </c>
      <c r="Q874">
        <v>62.2</v>
      </c>
    </row>
    <row r="875" spans="1:17" x14ac:dyDescent="0.35">
      <c r="A875" s="1">
        <v>45818</v>
      </c>
      <c r="B875" t="s">
        <v>91</v>
      </c>
      <c r="C875" t="s">
        <v>67</v>
      </c>
      <c r="D875" t="s">
        <v>92</v>
      </c>
      <c r="E875" t="s">
        <v>27</v>
      </c>
      <c r="F875">
        <v>773.52</v>
      </c>
      <c r="G875">
        <v>70.400000000000006</v>
      </c>
      <c r="H875">
        <v>94.72</v>
      </c>
      <c r="I875">
        <v>93.53</v>
      </c>
      <c r="J875">
        <v>79.13</v>
      </c>
      <c r="K875" t="s">
        <v>28</v>
      </c>
      <c r="L875">
        <v>9.3000000000000007</v>
      </c>
      <c r="M875">
        <v>3.3</v>
      </c>
      <c r="N875" t="s">
        <v>39</v>
      </c>
      <c r="O875">
        <v>13</v>
      </c>
      <c r="P875" t="s">
        <v>43</v>
      </c>
      <c r="Q875">
        <v>62.6</v>
      </c>
    </row>
    <row r="876" spans="1:17" x14ac:dyDescent="0.35">
      <c r="A876" s="1">
        <v>45818</v>
      </c>
      <c r="B876" t="s">
        <v>17</v>
      </c>
      <c r="C876" t="s">
        <v>18</v>
      </c>
      <c r="D876" t="s">
        <v>19</v>
      </c>
      <c r="E876" t="s">
        <v>20</v>
      </c>
      <c r="F876">
        <v>320.82</v>
      </c>
      <c r="G876">
        <v>78.2</v>
      </c>
      <c r="H876">
        <v>91.45</v>
      </c>
      <c r="I876">
        <v>95.82</v>
      </c>
      <c r="J876">
        <v>76.06</v>
      </c>
      <c r="K876" t="s">
        <v>58</v>
      </c>
      <c r="L876">
        <v>7.3</v>
      </c>
      <c r="N876" t="s">
        <v>22</v>
      </c>
      <c r="O876">
        <v>8</v>
      </c>
      <c r="P876" t="s">
        <v>23</v>
      </c>
      <c r="Q876">
        <v>69.099999999999994</v>
      </c>
    </row>
    <row r="877" spans="1:17" x14ac:dyDescent="0.35">
      <c r="A877" s="1">
        <v>45818</v>
      </c>
      <c r="B877" t="s">
        <v>99</v>
      </c>
      <c r="C877" t="s">
        <v>72</v>
      </c>
      <c r="D877" t="s">
        <v>100</v>
      </c>
      <c r="E877" t="s">
        <v>33</v>
      </c>
      <c r="F877">
        <v>174.05</v>
      </c>
      <c r="G877">
        <v>124.8</v>
      </c>
      <c r="H877">
        <v>94.34</v>
      </c>
      <c r="I877">
        <v>94.42</v>
      </c>
      <c r="J877">
        <v>71.3</v>
      </c>
      <c r="K877" t="s">
        <v>28</v>
      </c>
      <c r="L877">
        <v>6.2</v>
      </c>
      <c r="M877">
        <v>2.9</v>
      </c>
      <c r="N877" t="s">
        <v>22</v>
      </c>
      <c r="O877">
        <v>5</v>
      </c>
      <c r="P877" t="s">
        <v>43</v>
      </c>
      <c r="Q877">
        <v>57.6</v>
      </c>
    </row>
    <row r="878" spans="1:17" x14ac:dyDescent="0.35">
      <c r="A878" s="1">
        <v>45818</v>
      </c>
      <c r="B878" t="s">
        <v>84</v>
      </c>
      <c r="C878" t="s">
        <v>18</v>
      </c>
      <c r="D878" t="s">
        <v>85</v>
      </c>
      <c r="E878" t="s">
        <v>27</v>
      </c>
      <c r="F878">
        <v>327.35000000000002</v>
      </c>
      <c r="G878">
        <v>45.1</v>
      </c>
      <c r="H878">
        <v>97.95</v>
      </c>
      <c r="I878">
        <v>95.43</v>
      </c>
      <c r="J878">
        <v>80.23</v>
      </c>
      <c r="K878" t="s">
        <v>34</v>
      </c>
      <c r="L878">
        <v>7.7</v>
      </c>
      <c r="M878">
        <v>2</v>
      </c>
      <c r="N878" t="s">
        <v>29</v>
      </c>
      <c r="O878">
        <v>14</v>
      </c>
      <c r="P878" t="s">
        <v>23</v>
      </c>
      <c r="Q878">
        <v>61.3</v>
      </c>
    </row>
    <row r="879" spans="1:17" x14ac:dyDescent="0.35">
      <c r="A879" s="1">
        <v>45818</v>
      </c>
      <c r="B879" t="s">
        <v>84</v>
      </c>
      <c r="C879" t="s">
        <v>18</v>
      </c>
      <c r="D879" t="s">
        <v>85</v>
      </c>
      <c r="E879" t="s">
        <v>33</v>
      </c>
      <c r="F879">
        <v>127.03</v>
      </c>
      <c r="G879">
        <v>144</v>
      </c>
      <c r="H879">
        <v>92.17</v>
      </c>
      <c r="I879">
        <v>95.77</v>
      </c>
      <c r="J879">
        <v>71.209999999999994</v>
      </c>
      <c r="K879" t="s">
        <v>28</v>
      </c>
      <c r="L879">
        <v>6.5</v>
      </c>
      <c r="M879">
        <v>2.5</v>
      </c>
      <c r="N879" t="s">
        <v>35</v>
      </c>
      <c r="O879">
        <v>6</v>
      </c>
      <c r="P879" t="s">
        <v>23</v>
      </c>
      <c r="Q879">
        <v>58.5</v>
      </c>
    </row>
    <row r="880" spans="1:17" x14ac:dyDescent="0.35">
      <c r="A880" s="1">
        <v>45818</v>
      </c>
      <c r="B880" t="s">
        <v>55</v>
      </c>
      <c r="C880" t="s">
        <v>56</v>
      </c>
      <c r="D880">
        <v>4</v>
      </c>
      <c r="E880" t="s">
        <v>57</v>
      </c>
      <c r="F880">
        <v>30</v>
      </c>
      <c r="G880">
        <v>167.8</v>
      </c>
      <c r="H880">
        <v>85.94</v>
      </c>
      <c r="I880">
        <v>93.96</v>
      </c>
      <c r="J880">
        <v>70.38</v>
      </c>
      <c r="K880" t="s">
        <v>21</v>
      </c>
      <c r="L880">
        <v>7.3</v>
      </c>
      <c r="N880" t="s">
        <v>35</v>
      </c>
      <c r="O880">
        <v>3</v>
      </c>
      <c r="P880" t="s">
        <v>43</v>
      </c>
      <c r="Q880">
        <v>68.7</v>
      </c>
    </row>
    <row r="881" spans="1:17" x14ac:dyDescent="0.35">
      <c r="A881" s="1">
        <v>45818</v>
      </c>
      <c r="B881" t="s">
        <v>82</v>
      </c>
      <c r="C881" t="s">
        <v>72</v>
      </c>
      <c r="D881" t="s">
        <v>83</v>
      </c>
      <c r="E881" t="s">
        <v>20</v>
      </c>
      <c r="F881">
        <v>166.12</v>
      </c>
      <c r="G881">
        <v>161.9</v>
      </c>
      <c r="H881">
        <v>93.73</v>
      </c>
      <c r="I881">
        <v>93.44</v>
      </c>
      <c r="J881">
        <v>71.8</v>
      </c>
      <c r="K881" t="s">
        <v>58</v>
      </c>
      <c r="L881">
        <v>7.8</v>
      </c>
      <c r="N881" t="s">
        <v>22</v>
      </c>
      <c r="O881">
        <v>8</v>
      </c>
      <c r="P881" t="s">
        <v>43</v>
      </c>
      <c r="Q881">
        <v>71.2</v>
      </c>
    </row>
    <row r="882" spans="1:17" x14ac:dyDescent="0.35">
      <c r="A882" s="1">
        <v>45818</v>
      </c>
      <c r="B882" t="s">
        <v>80</v>
      </c>
      <c r="C882" t="s">
        <v>45</v>
      </c>
      <c r="D882" t="s">
        <v>81</v>
      </c>
      <c r="E882" t="s">
        <v>27</v>
      </c>
      <c r="F882">
        <v>180.01</v>
      </c>
      <c r="G882">
        <v>597.9</v>
      </c>
      <c r="H882">
        <v>93.13</v>
      </c>
      <c r="I882">
        <v>99.04</v>
      </c>
      <c r="J882">
        <v>82.74</v>
      </c>
      <c r="K882" t="s">
        <v>28</v>
      </c>
      <c r="L882">
        <v>6.8</v>
      </c>
      <c r="M882">
        <v>2.7</v>
      </c>
      <c r="N882" t="s">
        <v>39</v>
      </c>
      <c r="O882">
        <v>8</v>
      </c>
      <c r="P882" t="s">
        <v>23</v>
      </c>
      <c r="Q882">
        <v>62</v>
      </c>
    </row>
    <row r="883" spans="1:17" x14ac:dyDescent="0.35">
      <c r="A883" s="1">
        <v>45818</v>
      </c>
      <c r="B883" t="s">
        <v>59</v>
      </c>
      <c r="C883" t="s">
        <v>60</v>
      </c>
      <c r="D883" t="s">
        <v>61</v>
      </c>
      <c r="E883" t="s">
        <v>62</v>
      </c>
      <c r="F883">
        <v>449.83</v>
      </c>
      <c r="G883">
        <v>175</v>
      </c>
      <c r="H883">
        <v>91.79</v>
      </c>
      <c r="I883">
        <v>95.07</v>
      </c>
      <c r="J883">
        <v>89.6</v>
      </c>
      <c r="K883" t="s">
        <v>63</v>
      </c>
      <c r="L883">
        <v>8.1</v>
      </c>
      <c r="N883" t="s">
        <v>35</v>
      </c>
      <c r="O883">
        <v>3</v>
      </c>
      <c r="P883" t="s">
        <v>23</v>
      </c>
      <c r="Q883">
        <v>75.5</v>
      </c>
    </row>
    <row r="884" spans="1:17" x14ac:dyDescent="0.35">
      <c r="A884" s="1">
        <v>45818</v>
      </c>
      <c r="B884" t="s">
        <v>44</v>
      </c>
      <c r="C884" t="s">
        <v>45</v>
      </c>
      <c r="D884" t="s">
        <v>46</v>
      </c>
      <c r="E884" t="s">
        <v>33</v>
      </c>
      <c r="F884">
        <v>797</v>
      </c>
      <c r="G884">
        <v>322.5</v>
      </c>
      <c r="H884">
        <v>97.8</v>
      </c>
      <c r="I884">
        <v>98.57</v>
      </c>
      <c r="J884">
        <v>75.42</v>
      </c>
      <c r="K884" t="s">
        <v>47</v>
      </c>
      <c r="L884">
        <v>9.4</v>
      </c>
      <c r="M884">
        <v>1.8</v>
      </c>
      <c r="N884" t="s">
        <v>22</v>
      </c>
      <c r="O884">
        <v>7</v>
      </c>
      <c r="P884" t="s">
        <v>23</v>
      </c>
      <c r="Q884">
        <v>66.400000000000006</v>
      </c>
    </row>
    <row r="885" spans="1:17" x14ac:dyDescent="0.35">
      <c r="A885" s="1">
        <v>45818</v>
      </c>
      <c r="B885" t="s">
        <v>78</v>
      </c>
      <c r="C885" t="s">
        <v>41</v>
      </c>
      <c r="D885" t="s">
        <v>79</v>
      </c>
      <c r="E885" t="s">
        <v>27</v>
      </c>
      <c r="F885">
        <v>685.57</v>
      </c>
      <c r="G885">
        <v>50.9</v>
      </c>
      <c r="H885">
        <v>93.44</v>
      </c>
      <c r="I885">
        <v>96.4</v>
      </c>
      <c r="J885">
        <v>80.510000000000005</v>
      </c>
      <c r="K885" t="s">
        <v>28</v>
      </c>
      <c r="L885">
        <v>8.6</v>
      </c>
      <c r="M885">
        <v>2.2999999999999998</v>
      </c>
      <c r="N885" t="s">
        <v>39</v>
      </c>
      <c r="O885">
        <v>9</v>
      </c>
      <c r="P885" t="s">
        <v>43</v>
      </c>
      <c r="Q885">
        <v>62.2</v>
      </c>
    </row>
    <row r="886" spans="1:17" x14ac:dyDescent="0.35">
      <c r="A886" s="1">
        <v>45818</v>
      </c>
      <c r="B886" t="s">
        <v>93</v>
      </c>
      <c r="C886" t="s">
        <v>37</v>
      </c>
      <c r="D886" t="s">
        <v>94</v>
      </c>
      <c r="E886" t="s">
        <v>27</v>
      </c>
      <c r="F886">
        <v>459.06</v>
      </c>
      <c r="G886">
        <v>24.2</v>
      </c>
      <c r="H886">
        <v>93.3</v>
      </c>
      <c r="I886">
        <v>94.31</v>
      </c>
      <c r="J886">
        <v>77.2</v>
      </c>
      <c r="K886" t="s">
        <v>28</v>
      </c>
      <c r="L886">
        <v>9</v>
      </c>
      <c r="M886">
        <v>1.9</v>
      </c>
      <c r="N886" t="s">
        <v>29</v>
      </c>
      <c r="O886">
        <v>11</v>
      </c>
      <c r="P886" t="s">
        <v>23</v>
      </c>
      <c r="Q886">
        <v>61.7</v>
      </c>
    </row>
    <row r="887" spans="1:17" x14ac:dyDescent="0.35">
      <c r="A887" s="1">
        <v>45818</v>
      </c>
      <c r="B887" t="s">
        <v>55</v>
      </c>
      <c r="C887" t="s">
        <v>56</v>
      </c>
      <c r="D887">
        <v>4</v>
      </c>
      <c r="E887" t="s">
        <v>57</v>
      </c>
      <c r="F887">
        <v>30</v>
      </c>
      <c r="G887">
        <v>148</v>
      </c>
      <c r="H887">
        <v>90.37</v>
      </c>
      <c r="I887">
        <v>94.25</v>
      </c>
      <c r="J887">
        <v>77.94</v>
      </c>
      <c r="K887" t="s">
        <v>21</v>
      </c>
      <c r="L887">
        <v>7</v>
      </c>
      <c r="N887" t="s">
        <v>35</v>
      </c>
      <c r="O887">
        <v>5</v>
      </c>
      <c r="P887" t="s">
        <v>23</v>
      </c>
      <c r="Q887">
        <v>70</v>
      </c>
    </row>
    <row r="888" spans="1:17" x14ac:dyDescent="0.35">
      <c r="A888" s="1">
        <v>45818</v>
      </c>
      <c r="B888" t="s">
        <v>51</v>
      </c>
      <c r="C888" t="s">
        <v>45</v>
      </c>
      <c r="D888" t="s">
        <v>52</v>
      </c>
      <c r="E888" t="s">
        <v>33</v>
      </c>
      <c r="F888">
        <v>353.31</v>
      </c>
      <c r="G888">
        <v>305.39999999999998</v>
      </c>
      <c r="H888">
        <v>94.52</v>
      </c>
      <c r="I888">
        <v>98.58</v>
      </c>
      <c r="J888">
        <v>79.34</v>
      </c>
      <c r="K888" t="s">
        <v>47</v>
      </c>
      <c r="L888">
        <v>7</v>
      </c>
      <c r="M888">
        <v>1.7</v>
      </c>
      <c r="N888" t="s">
        <v>22</v>
      </c>
      <c r="O888">
        <v>9</v>
      </c>
      <c r="P888" t="s">
        <v>23</v>
      </c>
      <c r="Q888">
        <v>62.6</v>
      </c>
    </row>
    <row r="889" spans="1:17" x14ac:dyDescent="0.35">
      <c r="A889" s="1">
        <v>45818</v>
      </c>
      <c r="B889" t="s">
        <v>53</v>
      </c>
      <c r="C889" t="s">
        <v>41</v>
      </c>
      <c r="D889" t="s">
        <v>54</v>
      </c>
      <c r="E889" t="s">
        <v>27</v>
      </c>
      <c r="F889">
        <v>363.63</v>
      </c>
      <c r="G889">
        <v>52.1</v>
      </c>
      <c r="H889">
        <v>96.09</v>
      </c>
      <c r="I889">
        <v>97.92</v>
      </c>
      <c r="J889">
        <v>79.400000000000006</v>
      </c>
      <c r="K889" t="s">
        <v>47</v>
      </c>
      <c r="L889">
        <v>7.5</v>
      </c>
      <c r="M889">
        <v>3.8</v>
      </c>
      <c r="N889" t="s">
        <v>39</v>
      </c>
      <c r="O889">
        <v>11</v>
      </c>
      <c r="P889" t="s">
        <v>43</v>
      </c>
      <c r="Q889">
        <v>59.9</v>
      </c>
    </row>
    <row r="890" spans="1:17" x14ac:dyDescent="0.35">
      <c r="A890" s="1">
        <v>45818</v>
      </c>
      <c r="B890" t="s">
        <v>53</v>
      </c>
      <c r="C890" t="s">
        <v>41</v>
      </c>
      <c r="D890" t="s">
        <v>54</v>
      </c>
      <c r="E890" t="s">
        <v>27</v>
      </c>
      <c r="F890">
        <v>560.63</v>
      </c>
      <c r="G890">
        <v>32.799999999999997</v>
      </c>
      <c r="H890">
        <v>96.52</v>
      </c>
      <c r="I890">
        <v>97</v>
      </c>
      <c r="J890">
        <v>80.56</v>
      </c>
      <c r="K890" t="s">
        <v>34</v>
      </c>
      <c r="L890">
        <v>8.6999999999999993</v>
      </c>
      <c r="M890">
        <v>1.7</v>
      </c>
      <c r="N890" t="s">
        <v>29</v>
      </c>
      <c r="O890">
        <v>15</v>
      </c>
      <c r="P890" t="s">
        <v>43</v>
      </c>
      <c r="Q890">
        <v>63</v>
      </c>
    </row>
    <row r="891" spans="1:17" x14ac:dyDescent="0.35">
      <c r="A891" s="1">
        <v>45818</v>
      </c>
      <c r="B891" t="s">
        <v>74</v>
      </c>
      <c r="C891" t="s">
        <v>67</v>
      </c>
      <c r="D891" t="s">
        <v>75</v>
      </c>
      <c r="E891" t="s">
        <v>27</v>
      </c>
      <c r="F891">
        <v>279.83</v>
      </c>
      <c r="G891">
        <v>42.5</v>
      </c>
      <c r="H891">
        <v>93.62</v>
      </c>
      <c r="I891">
        <v>93.92</v>
      </c>
      <c r="J891">
        <v>78.66</v>
      </c>
      <c r="K891" t="s">
        <v>47</v>
      </c>
      <c r="L891">
        <v>7.5</v>
      </c>
      <c r="M891">
        <v>2</v>
      </c>
      <c r="N891" t="s">
        <v>29</v>
      </c>
      <c r="O891">
        <v>12</v>
      </c>
      <c r="P891" t="s">
        <v>43</v>
      </c>
      <c r="Q891">
        <v>59.7</v>
      </c>
    </row>
    <row r="892" spans="1:17" x14ac:dyDescent="0.35">
      <c r="A892" s="1">
        <v>45818</v>
      </c>
      <c r="B892" t="s">
        <v>24</v>
      </c>
      <c r="C892" t="s">
        <v>25</v>
      </c>
      <c r="D892" t="s">
        <v>26</v>
      </c>
      <c r="E892" t="s">
        <v>27</v>
      </c>
      <c r="F892">
        <v>587.41</v>
      </c>
      <c r="G892">
        <v>36.5</v>
      </c>
      <c r="H892">
        <v>94.25</v>
      </c>
      <c r="I892">
        <v>96.76</v>
      </c>
      <c r="J892">
        <v>81.19</v>
      </c>
      <c r="K892" t="s">
        <v>34</v>
      </c>
      <c r="L892">
        <v>9</v>
      </c>
      <c r="M892">
        <v>3.6</v>
      </c>
      <c r="N892" t="s">
        <v>39</v>
      </c>
      <c r="O892">
        <v>8</v>
      </c>
      <c r="P892" t="s">
        <v>30</v>
      </c>
      <c r="Q892">
        <v>62</v>
      </c>
    </row>
    <row r="893" spans="1:17" x14ac:dyDescent="0.35">
      <c r="A893" s="1">
        <v>45818</v>
      </c>
      <c r="B893" t="s">
        <v>64</v>
      </c>
      <c r="C893" t="s">
        <v>25</v>
      </c>
      <c r="D893" t="s">
        <v>65</v>
      </c>
      <c r="E893" t="s">
        <v>27</v>
      </c>
      <c r="F893">
        <v>782.88</v>
      </c>
      <c r="G893">
        <v>28.4</v>
      </c>
      <c r="H893">
        <v>95.08</v>
      </c>
      <c r="I893">
        <v>98.37</v>
      </c>
      <c r="J893">
        <v>76.67</v>
      </c>
      <c r="K893" t="s">
        <v>28</v>
      </c>
      <c r="L893">
        <v>8.8000000000000007</v>
      </c>
      <c r="M893">
        <v>3.7</v>
      </c>
      <c r="N893" t="s">
        <v>29</v>
      </c>
      <c r="O893">
        <v>11</v>
      </c>
      <c r="P893" t="s">
        <v>30</v>
      </c>
      <c r="Q893">
        <v>61.1</v>
      </c>
    </row>
    <row r="894" spans="1:17" x14ac:dyDescent="0.35">
      <c r="A894" s="1">
        <v>45818</v>
      </c>
      <c r="B894" t="s">
        <v>55</v>
      </c>
      <c r="C894" t="s">
        <v>56</v>
      </c>
      <c r="D894">
        <v>4</v>
      </c>
      <c r="E894" t="s">
        <v>57</v>
      </c>
      <c r="F894">
        <v>30</v>
      </c>
      <c r="G894">
        <v>133.9</v>
      </c>
      <c r="H894">
        <v>91.78</v>
      </c>
      <c r="I894">
        <v>93.88</v>
      </c>
      <c r="J894">
        <v>70.78</v>
      </c>
      <c r="K894" t="s">
        <v>58</v>
      </c>
      <c r="L894">
        <v>6.4</v>
      </c>
      <c r="N894" t="s">
        <v>35</v>
      </c>
      <c r="O894">
        <v>2</v>
      </c>
      <c r="P894" t="s">
        <v>43</v>
      </c>
      <c r="Q894">
        <v>67.3</v>
      </c>
    </row>
    <row r="895" spans="1:17" x14ac:dyDescent="0.35">
      <c r="A895" s="1">
        <v>45818</v>
      </c>
      <c r="B895" t="s">
        <v>48</v>
      </c>
      <c r="C895" t="s">
        <v>49</v>
      </c>
      <c r="D895" t="s">
        <v>50</v>
      </c>
      <c r="E895" t="s">
        <v>33</v>
      </c>
      <c r="F895">
        <v>369.82</v>
      </c>
      <c r="G895">
        <v>173.4</v>
      </c>
      <c r="H895">
        <v>93.47</v>
      </c>
      <c r="I895">
        <v>95.43</v>
      </c>
      <c r="J895">
        <v>78.34</v>
      </c>
      <c r="K895" t="s">
        <v>34</v>
      </c>
      <c r="L895">
        <v>7.4</v>
      </c>
      <c r="M895">
        <v>3.1</v>
      </c>
      <c r="N895" t="s">
        <v>35</v>
      </c>
      <c r="O895">
        <v>7</v>
      </c>
      <c r="P895" t="s">
        <v>23</v>
      </c>
      <c r="Q895">
        <v>61.5</v>
      </c>
    </row>
    <row r="896" spans="1:17" x14ac:dyDescent="0.35">
      <c r="A896" s="1">
        <v>45818</v>
      </c>
      <c r="B896" t="s">
        <v>31</v>
      </c>
      <c r="C896" t="s">
        <v>18</v>
      </c>
      <c r="D896" t="s">
        <v>32</v>
      </c>
      <c r="E896" t="s">
        <v>33</v>
      </c>
      <c r="F896">
        <v>277.68</v>
      </c>
      <c r="G896">
        <v>214.2</v>
      </c>
      <c r="H896">
        <v>96.25</v>
      </c>
      <c r="I896">
        <v>94.56</v>
      </c>
      <c r="J896">
        <v>77.27</v>
      </c>
      <c r="K896" t="s">
        <v>34</v>
      </c>
      <c r="L896">
        <v>8.1</v>
      </c>
      <c r="M896">
        <v>3.5</v>
      </c>
      <c r="N896" t="s">
        <v>35</v>
      </c>
      <c r="O896">
        <v>10</v>
      </c>
      <c r="P896" t="s">
        <v>23</v>
      </c>
      <c r="Q896">
        <v>62.5</v>
      </c>
    </row>
    <row r="897" spans="1:17" x14ac:dyDescent="0.35">
      <c r="A897" s="1">
        <v>45818</v>
      </c>
      <c r="B897" t="s">
        <v>53</v>
      </c>
      <c r="C897" t="s">
        <v>41</v>
      </c>
      <c r="D897" t="s">
        <v>54</v>
      </c>
      <c r="E897" t="s">
        <v>27</v>
      </c>
      <c r="F897">
        <v>688.74</v>
      </c>
      <c r="G897">
        <v>30</v>
      </c>
      <c r="H897">
        <v>97.71</v>
      </c>
      <c r="I897">
        <v>97.96</v>
      </c>
      <c r="J897">
        <v>76.239999999999995</v>
      </c>
      <c r="K897" t="s">
        <v>28</v>
      </c>
      <c r="L897">
        <v>9.1</v>
      </c>
      <c r="M897">
        <v>2.6</v>
      </c>
      <c r="N897" t="s">
        <v>39</v>
      </c>
      <c r="O897">
        <v>15</v>
      </c>
      <c r="P897" t="s">
        <v>43</v>
      </c>
      <c r="Q897">
        <v>62.7</v>
      </c>
    </row>
    <row r="898" spans="1:17" x14ac:dyDescent="0.35">
      <c r="A898" s="1">
        <v>45818</v>
      </c>
      <c r="B898" t="s">
        <v>59</v>
      </c>
      <c r="C898" t="s">
        <v>60</v>
      </c>
      <c r="D898" t="s">
        <v>61</v>
      </c>
      <c r="E898" t="s">
        <v>62</v>
      </c>
      <c r="F898">
        <v>463.61</v>
      </c>
      <c r="G898">
        <v>190.9</v>
      </c>
      <c r="H898">
        <v>85.94</v>
      </c>
      <c r="I898">
        <v>95</v>
      </c>
      <c r="J898">
        <v>88.71</v>
      </c>
      <c r="K898" t="s">
        <v>63</v>
      </c>
      <c r="L898">
        <v>8.8000000000000007</v>
      </c>
      <c r="N898" t="s">
        <v>35</v>
      </c>
      <c r="O898">
        <v>6</v>
      </c>
      <c r="P898" t="s">
        <v>23</v>
      </c>
      <c r="Q898">
        <v>75.5</v>
      </c>
    </row>
    <row r="899" spans="1:17" x14ac:dyDescent="0.35">
      <c r="A899" s="1">
        <v>45818</v>
      </c>
      <c r="B899" t="s">
        <v>91</v>
      </c>
      <c r="C899" t="s">
        <v>67</v>
      </c>
      <c r="D899" t="s">
        <v>92</v>
      </c>
      <c r="E899" t="s">
        <v>27</v>
      </c>
      <c r="F899">
        <v>609.97</v>
      </c>
      <c r="G899">
        <v>63.7</v>
      </c>
      <c r="H899">
        <v>92.35</v>
      </c>
      <c r="I899">
        <v>93.34</v>
      </c>
      <c r="J899">
        <v>79.34</v>
      </c>
      <c r="K899" t="s">
        <v>34</v>
      </c>
      <c r="L899">
        <v>8.9</v>
      </c>
      <c r="M899">
        <v>1.7</v>
      </c>
      <c r="N899" t="s">
        <v>39</v>
      </c>
      <c r="O899">
        <v>10</v>
      </c>
      <c r="P899" t="s">
        <v>43</v>
      </c>
      <c r="Q899">
        <v>62.5</v>
      </c>
    </row>
    <row r="900" spans="1:17" x14ac:dyDescent="0.35">
      <c r="A900" s="1">
        <v>45818</v>
      </c>
      <c r="B900" t="s">
        <v>40</v>
      </c>
      <c r="C900" t="s">
        <v>41</v>
      </c>
      <c r="D900" t="s">
        <v>42</v>
      </c>
      <c r="E900" t="s">
        <v>27</v>
      </c>
      <c r="F900">
        <v>485.31</v>
      </c>
      <c r="G900">
        <v>61.1</v>
      </c>
      <c r="H900">
        <v>96.89</v>
      </c>
      <c r="I900">
        <v>96.67</v>
      </c>
      <c r="J900">
        <v>77.099999999999994</v>
      </c>
      <c r="K900" t="s">
        <v>28</v>
      </c>
      <c r="L900">
        <v>8.6</v>
      </c>
      <c r="M900">
        <v>2.6</v>
      </c>
      <c r="N900" t="s">
        <v>39</v>
      </c>
      <c r="O900">
        <v>15</v>
      </c>
      <c r="P900" t="s">
        <v>43</v>
      </c>
      <c r="Q900">
        <v>62.3</v>
      </c>
    </row>
    <row r="901" spans="1:17" x14ac:dyDescent="0.35">
      <c r="A901" s="1">
        <v>45818</v>
      </c>
      <c r="B901" t="s">
        <v>55</v>
      </c>
      <c r="C901" t="s">
        <v>56</v>
      </c>
      <c r="D901">
        <v>4</v>
      </c>
      <c r="E901" t="s">
        <v>57</v>
      </c>
      <c r="F901">
        <v>30</v>
      </c>
      <c r="G901">
        <v>141</v>
      </c>
      <c r="H901">
        <v>86</v>
      </c>
      <c r="I901">
        <v>95.39</v>
      </c>
      <c r="J901">
        <v>70.41</v>
      </c>
      <c r="K901" t="s">
        <v>21</v>
      </c>
      <c r="L901">
        <v>7.5</v>
      </c>
      <c r="N901" t="s">
        <v>35</v>
      </c>
      <c r="O901">
        <v>3</v>
      </c>
      <c r="P901" t="s">
        <v>43</v>
      </c>
      <c r="Q901">
        <v>68.7</v>
      </c>
    </row>
    <row r="902" spans="1:17" x14ac:dyDescent="0.35">
      <c r="A902" s="1">
        <v>45818</v>
      </c>
      <c r="B902" t="s">
        <v>82</v>
      </c>
      <c r="C902" t="s">
        <v>72</v>
      </c>
      <c r="D902" t="s">
        <v>83</v>
      </c>
      <c r="E902" t="s">
        <v>20</v>
      </c>
      <c r="F902">
        <v>221.8</v>
      </c>
      <c r="G902">
        <v>211.2</v>
      </c>
      <c r="H902">
        <v>93.47</v>
      </c>
      <c r="I902">
        <v>93.89</v>
      </c>
      <c r="J902">
        <v>73.540000000000006</v>
      </c>
      <c r="K902" t="s">
        <v>58</v>
      </c>
      <c r="L902">
        <v>7.3</v>
      </c>
      <c r="N902" t="s">
        <v>35</v>
      </c>
      <c r="O902">
        <v>9</v>
      </c>
      <c r="P902" t="s">
        <v>23</v>
      </c>
      <c r="Q902">
        <v>70.8</v>
      </c>
    </row>
    <row r="903" spans="1:17" x14ac:dyDescent="0.35">
      <c r="A903" s="1">
        <v>45818</v>
      </c>
      <c r="B903" t="s">
        <v>31</v>
      </c>
      <c r="C903" t="s">
        <v>18</v>
      </c>
      <c r="D903" t="s">
        <v>32</v>
      </c>
      <c r="E903" t="s">
        <v>27</v>
      </c>
      <c r="F903">
        <v>273.04000000000002</v>
      </c>
      <c r="G903">
        <v>70.099999999999994</v>
      </c>
      <c r="H903">
        <v>93.77</v>
      </c>
      <c r="I903">
        <v>93.71</v>
      </c>
      <c r="J903">
        <v>81.83</v>
      </c>
      <c r="K903" t="s">
        <v>47</v>
      </c>
      <c r="L903">
        <v>8.4</v>
      </c>
      <c r="M903">
        <v>4.0999999999999996</v>
      </c>
      <c r="N903" t="s">
        <v>29</v>
      </c>
      <c r="O903">
        <v>8</v>
      </c>
      <c r="P903" t="s">
        <v>23</v>
      </c>
      <c r="Q903">
        <v>60.9</v>
      </c>
    </row>
    <row r="904" spans="1:17" x14ac:dyDescent="0.35">
      <c r="A904" s="1">
        <v>45818</v>
      </c>
      <c r="B904" t="s">
        <v>93</v>
      </c>
      <c r="C904" t="s">
        <v>37</v>
      </c>
      <c r="D904" t="s">
        <v>94</v>
      </c>
      <c r="E904" t="s">
        <v>33</v>
      </c>
      <c r="F904">
        <v>334.47</v>
      </c>
      <c r="G904">
        <v>110.4</v>
      </c>
      <c r="H904">
        <v>94.03</v>
      </c>
      <c r="I904">
        <v>94.81</v>
      </c>
      <c r="J904">
        <v>74.16</v>
      </c>
      <c r="K904" t="s">
        <v>47</v>
      </c>
      <c r="L904">
        <v>7.5</v>
      </c>
      <c r="M904">
        <v>2.6</v>
      </c>
      <c r="N904" t="s">
        <v>35</v>
      </c>
      <c r="O904">
        <v>6</v>
      </c>
      <c r="P904" t="s">
        <v>23</v>
      </c>
      <c r="Q904">
        <v>60.1</v>
      </c>
    </row>
    <row r="905" spans="1:17" x14ac:dyDescent="0.35">
      <c r="A905" s="1">
        <v>45818</v>
      </c>
      <c r="B905" t="s">
        <v>59</v>
      </c>
      <c r="C905" t="s">
        <v>60</v>
      </c>
      <c r="D905" t="s">
        <v>61</v>
      </c>
      <c r="E905" t="s">
        <v>62</v>
      </c>
      <c r="F905">
        <v>386.87</v>
      </c>
      <c r="G905">
        <v>174.1</v>
      </c>
      <c r="H905">
        <v>88.32</v>
      </c>
      <c r="I905">
        <v>96.19</v>
      </c>
      <c r="J905">
        <v>90.27</v>
      </c>
      <c r="K905" t="s">
        <v>63</v>
      </c>
      <c r="L905">
        <v>7.6</v>
      </c>
      <c r="N905" t="s">
        <v>35</v>
      </c>
      <c r="O905">
        <v>5</v>
      </c>
      <c r="P905" t="s">
        <v>23</v>
      </c>
      <c r="Q905">
        <v>74.2</v>
      </c>
    </row>
    <row r="906" spans="1:17" x14ac:dyDescent="0.35">
      <c r="A906" s="1">
        <v>45818</v>
      </c>
      <c r="B906" t="s">
        <v>91</v>
      </c>
      <c r="C906" t="s">
        <v>67</v>
      </c>
      <c r="D906" t="s">
        <v>92</v>
      </c>
      <c r="E906" t="s">
        <v>27</v>
      </c>
      <c r="F906">
        <v>135.69</v>
      </c>
      <c r="G906">
        <v>18.3</v>
      </c>
      <c r="H906">
        <v>96.63</v>
      </c>
      <c r="I906">
        <v>96.07</v>
      </c>
      <c r="J906">
        <v>84.29</v>
      </c>
      <c r="K906" t="s">
        <v>34</v>
      </c>
      <c r="L906">
        <v>7.8</v>
      </c>
      <c r="M906">
        <v>2.2000000000000002</v>
      </c>
      <c r="N906" t="s">
        <v>29</v>
      </c>
      <c r="O906">
        <v>8</v>
      </c>
      <c r="P906" t="s">
        <v>43</v>
      </c>
      <c r="Q906">
        <v>61.4</v>
      </c>
    </row>
    <row r="907" spans="1:17" x14ac:dyDescent="0.35">
      <c r="A907" s="1">
        <v>45818</v>
      </c>
      <c r="B907" t="s">
        <v>101</v>
      </c>
      <c r="C907" t="s">
        <v>45</v>
      </c>
      <c r="D907" t="s">
        <v>102</v>
      </c>
      <c r="E907" t="s">
        <v>33</v>
      </c>
      <c r="F907">
        <v>560.1</v>
      </c>
      <c r="G907">
        <v>1696.6</v>
      </c>
      <c r="H907">
        <v>92.64</v>
      </c>
      <c r="I907">
        <v>98.02</v>
      </c>
      <c r="J907">
        <v>71.47</v>
      </c>
      <c r="K907" t="s">
        <v>88</v>
      </c>
      <c r="L907">
        <v>9.4</v>
      </c>
      <c r="M907">
        <v>4.8</v>
      </c>
      <c r="N907" t="s">
        <v>35</v>
      </c>
      <c r="O907">
        <v>8</v>
      </c>
      <c r="P907" t="s">
        <v>23</v>
      </c>
      <c r="Q907">
        <v>62.8</v>
      </c>
    </row>
    <row r="908" spans="1:17" x14ac:dyDescent="0.35">
      <c r="A908" s="1">
        <v>45818</v>
      </c>
      <c r="B908" t="s">
        <v>40</v>
      </c>
      <c r="C908" t="s">
        <v>41</v>
      </c>
      <c r="D908" t="s">
        <v>42</v>
      </c>
      <c r="E908" t="s">
        <v>27</v>
      </c>
      <c r="F908">
        <v>416.67</v>
      </c>
      <c r="G908">
        <v>25</v>
      </c>
      <c r="H908">
        <v>93.78</v>
      </c>
      <c r="I908">
        <v>96.45</v>
      </c>
      <c r="J908">
        <v>81.11</v>
      </c>
      <c r="K908" t="s">
        <v>28</v>
      </c>
      <c r="L908">
        <v>9.4</v>
      </c>
      <c r="M908">
        <v>4.3</v>
      </c>
      <c r="N908" t="s">
        <v>29</v>
      </c>
      <c r="O908">
        <v>11</v>
      </c>
      <c r="P908" t="s">
        <v>43</v>
      </c>
      <c r="Q908">
        <v>61.9</v>
      </c>
    </row>
    <row r="909" spans="1:17" x14ac:dyDescent="0.35">
      <c r="A909" s="1">
        <v>45818</v>
      </c>
      <c r="B909" t="s">
        <v>93</v>
      </c>
      <c r="C909" t="s">
        <v>37</v>
      </c>
      <c r="D909" t="s">
        <v>94</v>
      </c>
      <c r="E909" t="s">
        <v>27</v>
      </c>
      <c r="F909">
        <v>286.38</v>
      </c>
      <c r="G909">
        <v>18.100000000000001</v>
      </c>
      <c r="H909">
        <v>94.12</v>
      </c>
      <c r="I909">
        <v>95.28</v>
      </c>
      <c r="J909">
        <v>76.87</v>
      </c>
      <c r="K909" t="s">
        <v>28</v>
      </c>
      <c r="L909">
        <v>7.1</v>
      </c>
      <c r="M909">
        <v>4.9000000000000004</v>
      </c>
      <c r="N909" t="s">
        <v>29</v>
      </c>
      <c r="O909">
        <v>8</v>
      </c>
      <c r="P909" t="s">
        <v>23</v>
      </c>
      <c r="Q909">
        <v>56.6</v>
      </c>
    </row>
    <row r="910" spans="1:17" x14ac:dyDescent="0.35">
      <c r="A910" s="1">
        <v>45818</v>
      </c>
      <c r="B910" t="s">
        <v>64</v>
      </c>
      <c r="C910" t="s">
        <v>25</v>
      </c>
      <c r="D910" t="s">
        <v>65</v>
      </c>
      <c r="E910" t="s">
        <v>27</v>
      </c>
      <c r="F910">
        <v>692.48</v>
      </c>
      <c r="G910">
        <v>53.6</v>
      </c>
      <c r="H910">
        <v>95.85</v>
      </c>
      <c r="I910">
        <v>98.26</v>
      </c>
      <c r="J910">
        <v>75.58</v>
      </c>
      <c r="K910" t="s">
        <v>28</v>
      </c>
      <c r="L910">
        <v>9.5</v>
      </c>
      <c r="M910">
        <v>4.3</v>
      </c>
      <c r="N910" t="s">
        <v>39</v>
      </c>
      <c r="O910">
        <v>12</v>
      </c>
      <c r="P910" t="s">
        <v>30</v>
      </c>
      <c r="Q910">
        <v>62.3</v>
      </c>
    </row>
    <row r="911" spans="1:17" x14ac:dyDescent="0.35">
      <c r="A911" s="1">
        <v>45818</v>
      </c>
      <c r="B911" t="s">
        <v>31</v>
      </c>
      <c r="C911" t="s">
        <v>18</v>
      </c>
      <c r="D911" t="s">
        <v>32</v>
      </c>
      <c r="E911" t="s">
        <v>33</v>
      </c>
      <c r="F911">
        <v>221.09</v>
      </c>
      <c r="G911">
        <v>107.1</v>
      </c>
      <c r="H911">
        <v>93.45</v>
      </c>
      <c r="I911">
        <v>95.47</v>
      </c>
      <c r="J911">
        <v>77.040000000000006</v>
      </c>
      <c r="K911" t="s">
        <v>28</v>
      </c>
      <c r="L911">
        <v>7.5</v>
      </c>
      <c r="M911">
        <v>2.6</v>
      </c>
      <c r="N911" t="s">
        <v>22</v>
      </c>
      <c r="O911">
        <v>8</v>
      </c>
      <c r="P911" t="s">
        <v>23</v>
      </c>
      <c r="Q911">
        <v>60.6</v>
      </c>
    </row>
    <row r="912" spans="1:17" x14ac:dyDescent="0.35">
      <c r="A912" s="1">
        <v>45818</v>
      </c>
      <c r="B912" t="s">
        <v>101</v>
      </c>
      <c r="C912" t="s">
        <v>45</v>
      </c>
      <c r="D912" t="s">
        <v>102</v>
      </c>
      <c r="E912" t="s">
        <v>33</v>
      </c>
      <c r="F912">
        <v>931.88</v>
      </c>
      <c r="G912">
        <v>2113.1999999999998</v>
      </c>
      <c r="H912">
        <v>93.33</v>
      </c>
      <c r="I912">
        <v>98.85</v>
      </c>
      <c r="J912">
        <v>79.37</v>
      </c>
      <c r="K912" t="s">
        <v>88</v>
      </c>
      <c r="L912">
        <v>8.5</v>
      </c>
      <c r="M912">
        <v>1.8</v>
      </c>
      <c r="N912" t="s">
        <v>35</v>
      </c>
      <c r="O912">
        <v>7</v>
      </c>
      <c r="P912" t="s">
        <v>23</v>
      </c>
      <c r="Q912">
        <v>64.900000000000006</v>
      </c>
    </row>
    <row r="913" spans="1:17" x14ac:dyDescent="0.35">
      <c r="A913" s="1">
        <v>45818</v>
      </c>
      <c r="B913" t="s">
        <v>59</v>
      </c>
      <c r="C913" t="s">
        <v>60</v>
      </c>
      <c r="D913" t="s">
        <v>61</v>
      </c>
      <c r="E913" t="s">
        <v>62</v>
      </c>
      <c r="F913">
        <v>304.2</v>
      </c>
      <c r="G913">
        <v>174.9</v>
      </c>
      <c r="H913">
        <v>86.35</v>
      </c>
      <c r="I913">
        <v>94.38</v>
      </c>
      <c r="J913">
        <v>86.62</v>
      </c>
      <c r="K913" t="s">
        <v>63</v>
      </c>
      <c r="L913">
        <v>7.9</v>
      </c>
      <c r="N913" t="s">
        <v>35</v>
      </c>
      <c r="O913">
        <v>5</v>
      </c>
      <c r="P913" t="s">
        <v>23</v>
      </c>
      <c r="Q913">
        <v>73.3</v>
      </c>
    </row>
    <row r="914" spans="1:17" x14ac:dyDescent="0.35">
      <c r="A914" s="1">
        <v>45818</v>
      </c>
      <c r="B914" t="s">
        <v>59</v>
      </c>
      <c r="C914" t="s">
        <v>60</v>
      </c>
      <c r="D914" t="s">
        <v>61</v>
      </c>
      <c r="E914" t="s">
        <v>62</v>
      </c>
      <c r="F914">
        <v>531.26</v>
      </c>
      <c r="G914">
        <v>189.9</v>
      </c>
      <c r="H914">
        <v>89.26</v>
      </c>
      <c r="I914">
        <v>93.92</v>
      </c>
      <c r="J914">
        <v>87.21</v>
      </c>
      <c r="K914" t="s">
        <v>63</v>
      </c>
      <c r="L914">
        <v>8.6999999999999993</v>
      </c>
      <c r="N914" t="s">
        <v>35</v>
      </c>
      <c r="O914">
        <v>5</v>
      </c>
      <c r="P914" t="s">
        <v>43</v>
      </c>
      <c r="Q914">
        <v>75.5</v>
      </c>
    </row>
    <row r="915" spans="1:17" x14ac:dyDescent="0.35">
      <c r="A915" s="1">
        <v>45818</v>
      </c>
      <c r="B915" t="s">
        <v>93</v>
      </c>
      <c r="C915" t="s">
        <v>37</v>
      </c>
      <c r="D915" t="s">
        <v>94</v>
      </c>
      <c r="E915" t="s">
        <v>27</v>
      </c>
      <c r="F915">
        <v>490.15</v>
      </c>
      <c r="G915">
        <v>68.099999999999994</v>
      </c>
      <c r="H915">
        <v>97.36</v>
      </c>
      <c r="I915">
        <v>94.22</v>
      </c>
      <c r="J915">
        <v>76.38</v>
      </c>
      <c r="K915" t="s">
        <v>47</v>
      </c>
      <c r="L915">
        <v>8.6999999999999993</v>
      </c>
      <c r="M915">
        <v>4.5999999999999996</v>
      </c>
      <c r="N915" t="s">
        <v>29</v>
      </c>
      <c r="O915">
        <v>11</v>
      </c>
      <c r="P915" t="s">
        <v>23</v>
      </c>
      <c r="Q915">
        <v>60.8</v>
      </c>
    </row>
    <row r="916" spans="1:17" x14ac:dyDescent="0.35">
      <c r="A916" s="1">
        <v>45818</v>
      </c>
      <c r="B916" t="s">
        <v>93</v>
      </c>
      <c r="C916" t="s">
        <v>37</v>
      </c>
      <c r="D916" t="s">
        <v>94</v>
      </c>
      <c r="E916" t="s">
        <v>27</v>
      </c>
      <c r="F916">
        <v>488.14</v>
      </c>
      <c r="G916">
        <v>44.2</v>
      </c>
      <c r="H916">
        <v>92.12</v>
      </c>
      <c r="I916">
        <v>96.44</v>
      </c>
      <c r="J916">
        <v>75.84</v>
      </c>
      <c r="K916" t="s">
        <v>28</v>
      </c>
      <c r="L916">
        <v>8.4</v>
      </c>
      <c r="M916">
        <v>1.7</v>
      </c>
      <c r="N916" t="s">
        <v>39</v>
      </c>
      <c r="O916">
        <v>13</v>
      </c>
      <c r="P916" t="s">
        <v>23</v>
      </c>
      <c r="Q916">
        <v>61.1</v>
      </c>
    </row>
    <row r="917" spans="1:17" x14ac:dyDescent="0.35">
      <c r="A917" s="1">
        <v>45818</v>
      </c>
      <c r="B917" t="s">
        <v>82</v>
      </c>
      <c r="C917" t="s">
        <v>72</v>
      </c>
      <c r="D917" t="s">
        <v>83</v>
      </c>
      <c r="E917" t="s">
        <v>20</v>
      </c>
      <c r="F917">
        <v>155.47999999999999</v>
      </c>
      <c r="G917">
        <v>144.19999999999999</v>
      </c>
      <c r="H917">
        <v>89.78</v>
      </c>
      <c r="I917">
        <v>93.12</v>
      </c>
      <c r="J917">
        <v>71.2</v>
      </c>
      <c r="K917" t="s">
        <v>58</v>
      </c>
      <c r="L917">
        <v>6.7</v>
      </c>
      <c r="N917" t="s">
        <v>22</v>
      </c>
      <c r="O917">
        <v>6</v>
      </c>
      <c r="P917" t="s">
        <v>23</v>
      </c>
      <c r="Q917">
        <v>67.7</v>
      </c>
    </row>
    <row r="918" spans="1:17" x14ac:dyDescent="0.35">
      <c r="A918" s="1">
        <v>45818</v>
      </c>
      <c r="B918" t="s">
        <v>78</v>
      </c>
      <c r="C918" t="s">
        <v>41</v>
      </c>
      <c r="D918" t="s">
        <v>79</v>
      </c>
      <c r="E918" t="s">
        <v>27</v>
      </c>
      <c r="F918">
        <v>674.65</v>
      </c>
      <c r="G918">
        <v>51.9</v>
      </c>
      <c r="H918">
        <v>94.78</v>
      </c>
      <c r="I918">
        <v>97.41</v>
      </c>
      <c r="J918">
        <v>80.790000000000006</v>
      </c>
      <c r="K918" t="s">
        <v>28</v>
      </c>
      <c r="L918">
        <v>9.4</v>
      </c>
      <c r="M918">
        <v>3.5</v>
      </c>
      <c r="N918" t="s">
        <v>39</v>
      </c>
      <c r="O918">
        <v>13</v>
      </c>
      <c r="P918" t="s">
        <v>43</v>
      </c>
      <c r="Q918">
        <v>63.2</v>
      </c>
    </row>
    <row r="919" spans="1:17" x14ac:dyDescent="0.35">
      <c r="A919" s="1">
        <v>45818</v>
      </c>
      <c r="B919" t="s">
        <v>17</v>
      </c>
      <c r="C919" t="s">
        <v>18</v>
      </c>
      <c r="D919" t="s">
        <v>19</v>
      </c>
      <c r="E919" t="s">
        <v>20</v>
      </c>
      <c r="F919">
        <v>199.12</v>
      </c>
      <c r="G919">
        <v>120.6</v>
      </c>
      <c r="H919">
        <v>88.7</v>
      </c>
      <c r="I919">
        <v>95.36</v>
      </c>
      <c r="J919">
        <v>73.67</v>
      </c>
      <c r="K919" t="s">
        <v>63</v>
      </c>
      <c r="L919">
        <v>6.8</v>
      </c>
      <c r="N919" t="s">
        <v>35</v>
      </c>
      <c r="O919">
        <v>5</v>
      </c>
      <c r="P919" t="s">
        <v>23</v>
      </c>
      <c r="Q919">
        <v>68</v>
      </c>
    </row>
    <row r="920" spans="1:17" x14ac:dyDescent="0.35">
      <c r="A920" s="1">
        <v>45818</v>
      </c>
      <c r="B920" t="s">
        <v>59</v>
      </c>
      <c r="C920" t="s">
        <v>60</v>
      </c>
      <c r="D920" t="s">
        <v>61</v>
      </c>
      <c r="E920" t="s">
        <v>62</v>
      </c>
      <c r="F920">
        <v>323.22000000000003</v>
      </c>
      <c r="G920">
        <v>169.9</v>
      </c>
      <c r="H920">
        <v>86.9</v>
      </c>
      <c r="I920">
        <v>95.07</v>
      </c>
      <c r="J920">
        <v>91.97</v>
      </c>
      <c r="K920" t="s">
        <v>63</v>
      </c>
      <c r="L920">
        <v>8.3000000000000007</v>
      </c>
      <c r="N920" t="s">
        <v>35</v>
      </c>
      <c r="O920">
        <v>4</v>
      </c>
      <c r="P920" t="s">
        <v>23</v>
      </c>
      <c r="Q920">
        <v>75.400000000000006</v>
      </c>
    </row>
    <row r="921" spans="1:17" x14ac:dyDescent="0.35">
      <c r="A921" s="1">
        <v>45818</v>
      </c>
      <c r="B921" t="s">
        <v>86</v>
      </c>
      <c r="C921" t="s">
        <v>25</v>
      </c>
      <c r="D921" t="s">
        <v>87</v>
      </c>
      <c r="E921" t="s">
        <v>27</v>
      </c>
      <c r="F921">
        <v>283.42</v>
      </c>
      <c r="G921">
        <v>58.5</v>
      </c>
      <c r="H921">
        <v>93.55</v>
      </c>
      <c r="I921">
        <v>97.64</v>
      </c>
      <c r="J921">
        <v>81.72</v>
      </c>
      <c r="K921" t="s">
        <v>34</v>
      </c>
      <c r="L921">
        <v>7.2</v>
      </c>
      <c r="M921">
        <v>3</v>
      </c>
      <c r="N921" t="s">
        <v>39</v>
      </c>
      <c r="O921">
        <v>13</v>
      </c>
      <c r="P921" t="s">
        <v>30</v>
      </c>
      <c r="Q921">
        <v>60</v>
      </c>
    </row>
    <row r="922" spans="1:17" x14ac:dyDescent="0.35">
      <c r="A922" s="1">
        <v>45818</v>
      </c>
      <c r="B922" t="s">
        <v>95</v>
      </c>
      <c r="C922" t="s">
        <v>49</v>
      </c>
      <c r="D922" t="s">
        <v>96</v>
      </c>
      <c r="E922" t="s">
        <v>33</v>
      </c>
      <c r="F922">
        <v>440.39</v>
      </c>
      <c r="G922">
        <v>86.7</v>
      </c>
      <c r="H922">
        <v>92.81</v>
      </c>
      <c r="I922">
        <v>93.76</v>
      </c>
      <c r="J922">
        <v>78.16</v>
      </c>
      <c r="K922" t="s">
        <v>28</v>
      </c>
      <c r="L922">
        <v>9.5</v>
      </c>
      <c r="M922">
        <v>4.5</v>
      </c>
      <c r="N922" t="s">
        <v>35</v>
      </c>
      <c r="O922">
        <v>10</v>
      </c>
      <c r="P922" t="s">
        <v>43</v>
      </c>
      <c r="Q922">
        <v>62</v>
      </c>
    </row>
    <row r="923" spans="1:17" x14ac:dyDescent="0.35">
      <c r="A923" s="1">
        <v>45818</v>
      </c>
      <c r="B923" t="s">
        <v>95</v>
      </c>
      <c r="C923" t="s">
        <v>49</v>
      </c>
      <c r="D923" t="s">
        <v>96</v>
      </c>
      <c r="E923" t="s">
        <v>33</v>
      </c>
      <c r="F923">
        <v>477.96</v>
      </c>
      <c r="G923">
        <v>173.6</v>
      </c>
      <c r="H923">
        <v>95.71</v>
      </c>
      <c r="I923">
        <v>94.16</v>
      </c>
      <c r="J923">
        <v>71.400000000000006</v>
      </c>
      <c r="K923" t="s">
        <v>28</v>
      </c>
      <c r="L923">
        <v>8.9</v>
      </c>
      <c r="M923">
        <v>1.9</v>
      </c>
      <c r="N923" t="s">
        <v>35</v>
      </c>
      <c r="O923">
        <v>10</v>
      </c>
      <c r="P923" t="s">
        <v>23</v>
      </c>
      <c r="Q923">
        <v>63.8</v>
      </c>
    </row>
    <row r="924" spans="1:17" x14ac:dyDescent="0.35">
      <c r="A924" s="1">
        <v>45818</v>
      </c>
      <c r="B924" t="s">
        <v>59</v>
      </c>
      <c r="C924" t="s">
        <v>60</v>
      </c>
      <c r="D924" t="s">
        <v>61</v>
      </c>
      <c r="E924" t="s">
        <v>62</v>
      </c>
      <c r="F924">
        <v>321.41000000000003</v>
      </c>
      <c r="G924">
        <v>185</v>
      </c>
      <c r="H924">
        <v>88.03</v>
      </c>
      <c r="I924">
        <v>94.04</v>
      </c>
      <c r="J924">
        <v>87.19</v>
      </c>
      <c r="K924" t="s">
        <v>63</v>
      </c>
      <c r="L924">
        <v>7.7</v>
      </c>
      <c r="N924" t="s">
        <v>35</v>
      </c>
      <c r="O924">
        <v>5</v>
      </c>
      <c r="P924" t="s">
        <v>23</v>
      </c>
      <c r="Q924">
        <v>73.3</v>
      </c>
    </row>
    <row r="925" spans="1:17" x14ac:dyDescent="0.35">
      <c r="A925" s="1">
        <v>45819</v>
      </c>
      <c r="B925" t="s">
        <v>36</v>
      </c>
      <c r="C925" t="s">
        <v>37</v>
      </c>
      <c r="D925" t="s">
        <v>38</v>
      </c>
      <c r="E925" t="s">
        <v>27</v>
      </c>
      <c r="F925">
        <v>250.52</v>
      </c>
      <c r="G925">
        <v>37.200000000000003</v>
      </c>
      <c r="H925">
        <v>92.59</v>
      </c>
      <c r="I925">
        <v>93.61</v>
      </c>
      <c r="J925">
        <v>82.13</v>
      </c>
      <c r="K925" t="s">
        <v>34</v>
      </c>
      <c r="L925">
        <v>8.4</v>
      </c>
      <c r="M925">
        <v>4.8</v>
      </c>
      <c r="N925" t="s">
        <v>29</v>
      </c>
      <c r="O925">
        <v>9</v>
      </c>
      <c r="P925" t="s">
        <v>23</v>
      </c>
      <c r="Q925">
        <v>59.6</v>
      </c>
    </row>
    <row r="926" spans="1:17" x14ac:dyDescent="0.35">
      <c r="A926" s="1">
        <v>45819</v>
      </c>
      <c r="B926" t="s">
        <v>24</v>
      </c>
      <c r="C926" t="s">
        <v>25</v>
      </c>
      <c r="D926" t="s">
        <v>26</v>
      </c>
      <c r="E926" t="s">
        <v>27</v>
      </c>
      <c r="F926">
        <v>267.37</v>
      </c>
      <c r="G926">
        <v>59.6</v>
      </c>
      <c r="H926">
        <v>97.05</v>
      </c>
      <c r="I926">
        <v>97.83</v>
      </c>
      <c r="J926">
        <v>84.05</v>
      </c>
      <c r="K926" t="s">
        <v>28</v>
      </c>
      <c r="L926">
        <v>7.8</v>
      </c>
      <c r="M926">
        <v>3</v>
      </c>
      <c r="N926" t="s">
        <v>39</v>
      </c>
      <c r="O926">
        <v>13</v>
      </c>
      <c r="P926" t="s">
        <v>30</v>
      </c>
      <c r="Q926">
        <v>62</v>
      </c>
    </row>
    <row r="927" spans="1:17" x14ac:dyDescent="0.35">
      <c r="A927" s="1">
        <v>45819</v>
      </c>
      <c r="B927" t="s">
        <v>55</v>
      </c>
      <c r="C927" t="s">
        <v>56</v>
      </c>
      <c r="D927">
        <v>4</v>
      </c>
      <c r="E927" t="s">
        <v>57</v>
      </c>
      <c r="F927">
        <v>30</v>
      </c>
      <c r="G927">
        <v>152.6</v>
      </c>
      <c r="H927">
        <v>87.08</v>
      </c>
      <c r="I927">
        <v>93.28</v>
      </c>
      <c r="J927">
        <v>77.11</v>
      </c>
      <c r="K927" t="s">
        <v>58</v>
      </c>
      <c r="L927">
        <v>6.5</v>
      </c>
      <c r="N927" t="s">
        <v>35</v>
      </c>
      <c r="O927">
        <v>5</v>
      </c>
      <c r="P927" t="s">
        <v>43</v>
      </c>
      <c r="Q927">
        <v>68.099999999999994</v>
      </c>
    </row>
    <row r="928" spans="1:17" x14ac:dyDescent="0.35">
      <c r="A928" s="1">
        <v>45819</v>
      </c>
      <c r="B928" t="s">
        <v>55</v>
      </c>
      <c r="C928" t="s">
        <v>56</v>
      </c>
      <c r="D928">
        <v>4</v>
      </c>
      <c r="E928" t="s">
        <v>57</v>
      </c>
      <c r="F928">
        <v>30</v>
      </c>
      <c r="G928">
        <v>155.6</v>
      </c>
      <c r="H928">
        <v>85.08</v>
      </c>
      <c r="I928">
        <v>94.74</v>
      </c>
      <c r="J928">
        <v>77.239999999999995</v>
      </c>
      <c r="K928" t="s">
        <v>21</v>
      </c>
      <c r="L928">
        <v>7.2</v>
      </c>
      <c r="N928" t="s">
        <v>35</v>
      </c>
      <c r="O928">
        <v>5</v>
      </c>
      <c r="P928" t="s">
        <v>43</v>
      </c>
      <c r="Q928">
        <v>69.5</v>
      </c>
    </row>
    <row r="929" spans="1:17" x14ac:dyDescent="0.35">
      <c r="A929" s="1">
        <v>45819</v>
      </c>
      <c r="B929" t="s">
        <v>95</v>
      </c>
      <c r="C929" t="s">
        <v>49</v>
      </c>
      <c r="D929" t="s">
        <v>96</v>
      </c>
      <c r="E929" t="s">
        <v>27</v>
      </c>
      <c r="F929">
        <v>212.48</v>
      </c>
      <c r="G929">
        <v>64</v>
      </c>
      <c r="H929">
        <v>92.96</v>
      </c>
      <c r="I929">
        <v>93.39</v>
      </c>
      <c r="J929">
        <v>76.06</v>
      </c>
      <c r="K929" t="s">
        <v>28</v>
      </c>
      <c r="L929">
        <v>7.7</v>
      </c>
      <c r="M929">
        <v>4.2</v>
      </c>
      <c r="N929" t="s">
        <v>39</v>
      </c>
      <c r="O929">
        <v>11</v>
      </c>
      <c r="P929" t="s">
        <v>43</v>
      </c>
      <c r="Q929">
        <v>58.4</v>
      </c>
    </row>
    <row r="930" spans="1:17" x14ac:dyDescent="0.35">
      <c r="A930" s="1">
        <v>45819</v>
      </c>
      <c r="B930" t="s">
        <v>53</v>
      </c>
      <c r="C930" t="s">
        <v>41</v>
      </c>
      <c r="D930" t="s">
        <v>54</v>
      </c>
      <c r="E930" t="s">
        <v>27</v>
      </c>
      <c r="F930">
        <v>353.75</v>
      </c>
      <c r="G930">
        <v>47.3</v>
      </c>
      <c r="H930">
        <v>95.29</v>
      </c>
      <c r="I930">
        <v>96.17</v>
      </c>
      <c r="J930">
        <v>84.83</v>
      </c>
      <c r="K930" t="s">
        <v>47</v>
      </c>
      <c r="L930">
        <v>8.3000000000000007</v>
      </c>
      <c r="M930">
        <v>1.5</v>
      </c>
      <c r="N930" t="s">
        <v>29</v>
      </c>
      <c r="O930">
        <v>12</v>
      </c>
      <c r="P930" t="s">
        <v>43</v>
      </c>
      <c r="Q930">
        <v>63.2</v>
      </c>
    </row>
    <row r="931" spans="1:17" x14ac:dyDescent="0.35">
      <c r="A931" s="1">
        <v>45819</v>
      </c>
      <c r="B931" t="s">
        <v>76</v>
      </c>
      <c r="C931" t="s">
        <v>45</v>
      </c>
      <c r="D931" t="s">
        <v>77</v>
      </c>
      <c r="E931" t="s">
        <v>33</v>
      </c>
      <c r="F931">
        <v>827.74</v>
      </c>
      <c r="G931">
        <v>292.8</v>
      </c>
      <c r="H931">
        <v>97.2</v>
      </c>
      <c r="I931">
        <v>98.2</v>
      </c>
      <c r="J931">
        <v>73.58</v>
      </c>
      <c r="K931" t="s">
        <v>47</v>
      </c>
      <c r="L931">
        <v>8.9</v>
      </c>
      <c r="M931">
        <v>1.6</v>
      </c>
      <c r="N931" t="s">
        <v>35</v>
      </c>
      <c r="O931">
        <v>6</v>
      </c>
      <c r="P931" t="s">
        <v>23</v>
      </c>
      <c r="Q931">
        <v>65.3</v>
      </c>
    </row>
    <row r="932" spans="1:17" x14ac:dyDescent="0.35">
      <c r="A932" s="1">
        <v>45819</v>
      </c>
      <c r="B932" t="s">
        <v>55</v>
      </c>
      <c r="C932" t="s">
        <v>56</v>
      </c>
      <c r="D932">
        <v>4</v>
      </c>
      <c r="E932" t="s">
        <v>57</v>
      </c>
      <c r="F932">
        <v>30</v>
      </c>
      <c r="G932">
        <v>162.5</v>
      </c>
      <c r="H932">
        <v>91.77</v>
      </c>
      <c r="I932">
        <v>94.58</v>
      </c>
      <c r="J932">
        <v>70.22</v>
      </c>
      <c r="K932" t="s">
        <v>58</v>
      </c>
      <c r="L932">
        <v>6.4</v>
      </c>
      <c r="N932" t="s">
        <v>35</v>
      </c>
      <c r="O932">
        <v>4</v>
      </c>
      <c r="P932" t="s">
        <v>43</v>
      </c>
      <c r="Q932">
        <v>68</v>
      </c>
    </row>
    <row r="933" spans="1:17" x14ac:dyDescent="0.35">
      <c r="A933" s="1">
        <v>45819</v>
      </c>
      <c r="B933" t="s">
        <v>53</v>
      </c>
      <c r="C933" t="s">
        <v>41</v>
      </c>
      <c r="D933" t="s">
        <v>54</v>
      </c>
      <c r="E933" t="s">
        <v>27</v>
      </c>
      <c r="F933">
        <v>444.7</v>
      </c>
      <c r="G933">
        <v>33.799999999999997</v>
      </c>
      <c r="H933">
        <v>95.38</v>
      </c>
      <c r="I933">
        <v>97.81</v>
      </c>
      <c r="J933">
        <v>76.81</v>
      </c>
      <c r="K933" t="s">
        <v>34</v>
      </c>
      <c r="L933">
        <v>9</v>
      </c>
      <c r="M933">
        <v>4.9000000000000004</v>
      </c>
      <c r="N933" t="s">
        <v>29</v>
      </c>
      <c r="O933">
        <v>14</v>
      </c>
      <c r="P933" t="s">
        <v>43</v>
      </c>
      <c r="Q933">
        <v>60.7</v>
      </c>
    </row>
    <row r="934" spans="1:17" x14ac:dyDescent="0.35">
      <c r="A934" s="1">
        <v>45819</v>
      </c>
      <c r="B934" t="s">
        <v>48</v>
      </c>
      <c r="C934" t="s">
        <v>49</v>
      </c>
      <c r="D934" t="s">
        <v>50</v>
      </c>
      <c r="E934" t="s">
        <v>33</v>
      </c>
      <c r="F934">
        <v>498.61</v>
      </c>
      <c r="G934">
        <v>195.2</v>
      </c>
      <c r="H934">
        <v>94.14</v>
      </c>
      <c r="I934">
        <v>93.12</v>
      </c>
      <c r="J934">
        <v>77.28</v>
      </c>
      <c r="K934" t="s">
        <v>34</v>
      </c>
      <c r="L934">
        <v>9.1999999999999993</v>
      </c>
      <c r="M934">
        <v>3</v>
      </c>
      <c r="N934" t="s">
        <v>35</v>
      </c>
      <c r="O934">
        <v>5</v>
      </c>
      <c r="P934" t="s">
        <v>23</v>
      </c>
      <c r="Q934">
        <v>64.099999999999994</v>
      </c>
    </row>
    <row r="935" spans="1:17" x14ac:dyDescent="0.35">
      <c r="A935" s="1">
        <v>45819</v>
      </c>
      <c r="B935" t="s">
        <v>59</v>
      </c>
      <c r="C935" t="s">
        <v>60</v>
      </c>
      <c r="D935" t="s">
        <v>61</v>
      </c>
      <c r="E935" t="s">
        <v>62</v>
      </c>
      <c r="F935">
        <v>505.15</v>
      </c>
      <c r="G935">
        <v>182.5</v>
      </c>
      <c r="H935">
        <v>86.73</v>
      </c>
      <c r="I935">
        <v>94.32</v>
      </c>
      <c r="J935">
        <v>88.98</v>
      </c>
      <c r="K935" t="s">
        <v>34</v>
      </c>
      <c r="L935">
        <v>8.6999999999999993</v>
      </c>
      <c r="N935" t="s">
        <v>35</v>
      </c>
      <c r="O935">
        <v>3</v>
      </c>
      <c r="P935" t="s">
        <v>43</v>
      </c>
      <c r="Q935">
        <v>75.400000000000006</v>
      </c>
    </row>
    <row r="936" spans="1:17" x14ac:dyDescent="0.35">
      <c r="A936" s="1">
        <v>45819</v>
      </c>
      <c r="B936" t="s">
        <v>74</v>
      </c>
      <c r="C936" t="s">
        <v>67</v>
      </c>
      <c r="D936" t="s">
        <v>75</v>
      </c>
      <c r="E936" t="s">
        <v>27</v>
      </c>
      <c r="F936">
        <v>347.19</v>
      </c>
      <c r="G936">
        <v>29.7</v>
      </c>
      <c r="H936">
        <v>92.53</v>
      </c>
      <c r="I936">
        <v>94.55</v>
      </c>
      <c r="J936">
        <v>75.319999999999993</v>
      </c>
      <c r="K936" t="s">
        <v>34</v>
      </c>
      <c r="L936">
        <v>7.5</v>
      </c>
      <c r="M936">
        <v>4.5</v>
      </c>
      <c r="N936" t="s">
        <v>29</v>
      </c>
      <c r="O936">
        <v>9</v>
      </c>
      <c r="P936" t="s">
        <v>23</v>
      </c>
      <c r="Q936">
        <v>57.2</v>
      </c>
    </row>
    <row r="937" spans="1:17" x14ac:dyDescent="0.35">
      <c r="A937" s="1">
        <v>45819</v>
      </c>
      <c r="B937" t="s">
        <v>71</v>
      </c>
      <c r="C937" t="s">
        <v>72</v>
      </c>
      <c r="D937" t="s">
        <v>73</v>
      </c>
      <c r="E937" t="s">
        <v>33</v>
      </c>
      <c r="F937">
        <v>179.83</v>
      </c>
      <c r="G937">
        <v>135.5</v>
      </c>
      <c r="H937">
        <v>97.56</v>
      </c>
      <c r="I937">
        <v>95.59</v>
      </c>
      <c r="J937">
        <v>78.709999999999994</v>
      </c>
      <c r="K937" t="s">
        <v>34</v>
      </c>
      <c r="L937">
        <v>6.4</v>
      </c>
      <c r="M937">
        <v>4.5999999999999996</v>
      </c>
      <c r="N937" t="s">
        <v>35</v>
      </c>
      <c r="O937">
        <v>5</v>
      </c>
      <c r="P937" t="s">
        <v>23</v>
      </c>
      <c r="Q937">
        <v>58.9</v>
      </c>
    </row>
    <row r="938" spans="1:17" x14ac:dyDescent="0.35">
      <c r="A938" s="1">
        <v>45819</v>
      </c>
      <c r="B938" t="s">
        <v>64</v>
      </c>
      <c r="C938" t="s">
        <v>25</v>
      </c>
      <c r="D938" t="s">
        <v>65</v>
      </c>
      <c r="E938" t="s">
        <v>27</v>
      </c>
      <c r="F938">
        <v>807.56</v>
      </c>
      <c r="G938">
        <v>58.4</v>
      </c>
      <c r="H938">
        <v>95.24</v>
      </c>
      <c r="I938">
        <v>96.48</v>
      </c>
      <c r="J938">
        <v>78.959999999999994</v>
      </c>
      <c r="K938" t="s">
        <v>47</v>
      </c>
      <c r="L938">
        <v>8</v>
      </c>
      <c r="M938">
        <v>3.7</v>
      </c>
      <c r="N938" t="s">
        <v>29</v>
      </c>
      <c r="O938">
        <v>10</v>
      </c>
      <c r="P938" t="s">
        <v>30</v>
      </c>
      <c r="Q938">
        <v>60.5</v>
      </c>
    </row>
    <row r="939" spans="1:17" x14ac:dyDescent="0.35">
      <c r="A939" s="1">
        <v>45819</v>
      </c>
      <c r="B939" t="s">
        <v>36</v>
      </c>
      <c r="C939" t="s">
        <v>37</v>
      </c>
      <c r="D939" t="s">
        <v>38</v>
      </c>
      <c r="E939" t="s">
        <v>33</v>
      </c>
      <c r="F939">
        <v>237.36</v>
      </c>
      <c r="G939">
        <v>185.2</v>
      </c>
      <c r="H939">
        <v>93.31</v>
      </c>
      <c r="I939">
        <v>93.25</v>
      </c>
      <c r="J939">
        <v>76.650000000000006</v>
      </c>
      <c r="K939" t="s">
        <v>28</v>
      </c>
      <c r="L939">
        <v>7.2</v>
      </c>
      <c r="M939">
        <v>3.9</v>
      </c>
      <c r="N939" t="s">
        <v>22</v>
      </c>
      <c r="O939">
        <v>8</v>
      </c>
      <c r="P939" t="s">
        <v>23</v>
      </c>
      <c r="Q939">
        <v>59.9</v>
      </c>
    </row>
    <row r="940" spans="1:17" x14ac:dyDescent="0.35">
      <c r="A940" s="1">
        <v>45819</v>
      </c>
      <c r="B940" t="s">
        <v>44</v>
      </c>
      <c r="C940" t="s">
        <v>45</v>
      </c>
      <c r="D940" t="s">
        <v>46</v>
      </c>
      <c r="E940" t="s">
        <v>27</v>
      </c>
      <c r="F940">
        <v>602.73</v>
      </c>
      <c r="G940">
        <v>476.6</v>
      </c>
      <c r="H940">
        <v>97.92</v>
      </c>
      <c r="I940">
        <v>99.43</v>
      </c>
      <c r="J940">
        <v>81.180000000000007</v>
      </c>
      <c r="K940" t="s">
        <v>28</v>
      </c>
      <c r="L940">
        <v>8.9</v>
      </c>
      <c r="M940">
        <v>2.9</v>
      </c>
      <c r="N940" t="s">
        <v>39</v>
      </c>
      <c r="O940">
        <v>12</v>
      </c>
      <c r="P940" t="s">
        <v>23</v>
      </c>
      <c r="Q940">
        <v>66</v>
      </c>
    </row>
    <row r="941" spans="1:17" x14ac:dyDescent="0.35">
      <c r="A941" s="1">
        <v>45819</v>
      </c>
      <c r="B941" t="s">
        <v>84</v>
      </c>
      <c r="C941" t="s">
        <v>18</v>
      </c>
      <c r="D941" t="s">
        <v>85</v>
      </c>
      <c r="E941" t="s">
        <v>27</v>
      </c>
      <c r="F941">
        <v>152.4</v>
      </c>
      <c r="G941">
        <v>28.4</v>
      </c>
      <c r="H941">
        <v>94.28</v>
      </c>
      <c r="I941">
        <v>93.83</v>
      </c>
      <c r="J941">
        <v>75.13</v>
      </c>
      <c r="K941" t="s">
        <v>47</v>
      </c>
      <c r="L941">
        <v>6.9</v>
      </c>
      <c r="M941">
        <v>4.5999999999999996</v>
      </c>
      <c r="N941" t="s">
        <v>39</v>
      </c>
      <c r="O941">
        <v>9</v>
      </c>
      <c r="P941" t="s">
        <v>23</v>
      </c>
      <c r="Q941">
        <v>56.2</v>
      </c>
    </row>
    <row r="942" spans="1:17" x14ac:dyDescent="0.35">
      <c r="A942" s="1">
        <v>45819</v>
      </c>
      <c r="B942" t="s">
        <v>84</v>
      </c>
      <c r="C942" t="s">
        <v>18</v>
      </c>
      <c r="D942" t="s">
        <v>85</v>
      </c>
      <c r="E942" t="s">
        <v>27</v>
      </c>
      <c r="F942">
        <v>176.25</v>
      </c>
      <c r="G942">
        <v>61.3</v>
      </c>
      <c r="H942">
        <v>96.15</v>
      </c>
      <c r="I942">
        <v>94.69</v>
      </c>
      <c r="J942">
        <v>76.209999999999994</v>
      </c>
      <c r="K942" t="s">
        <v>47</v>
      </c>
      <c r="L942">
        <v>6.2</v>
      </c>
      <c r="M942">
        <v>3.6</v>
      </c>
      <c r="N942" t="s">
        <v>39</v>
      </c>
      <c r="O942">
        <v>12</v>
      </c>
      <c r="P942" t="s">
        <v>23</v>
      </c>
      <c r="Q942">
        <v>57</v>
      </c>
    </row>
    <row r="943" spans="1:17" x14ac:dyDescent="0.35">
      <c r="A943" s="1">
        <v>45819</v>
      </c>
      <c r="B943" t="s">
        <v>95</v>
      </c>
      <c r="C943" t="s">
        <v>49</v>
      </c>
      <c r="D943" t="s">
        <v>96</v>
      </c>
      <c r="E943" t="s">
        <v>33</v>
      </c>
      <c r="F943">
        <v>429.68</v>
      </c>
      <c r="G943">
        <v>200.9</v>
      </c>
      <c r="H943">
        <v>96.43</v>
      </c>
      <c r="I943">
        <v>93.16</v>
      </c>
      <c r="J943">
        <v>75.14</v>
      </c>
      <c r="K943" t="s">
        <v>28</v>
      </c>
      <c r="L943">
        <v>8.8000000000000007</v>
      </c>
      <c r="M943">
        <v>3.9</v>
      </c>
      <c r="N943" t="s">
        <v>35</v>
      </c>
      <c r="O943">
        <v>10</v>
      </c>
      <c r="P943" t="s">
        <v>43</v>
      </c>
      <c r="Q943">
        <v>62.9</v>
      </c>
    </row>
    <row r="944" spans="1:17" x14ac:dyDescent="0.35">
      <c r="A944" s="1">
        <v>45819</v>
      </c>
      <c r="B944" t="s">
        <v>91</v>
      </c>
      <c r="C944" t="s">
        <v>67</v>
      </c>
      <c r="D944" t="s">
        <v>92</v>
      </c>
      <c r="E944" t="s">
        <v>27</v>
      </c>
      <c r="F944">
        <v>318.24</v>
      </c>
      <c r="G944">
        <v>47.1</v>
      </c>
      <c r="H944">
        <v>95.39</v>
      </c>
      <c r="I944">
        <v>95.37</v>
      </c>
      <c r="J944">
        <v>84.02</v>
      </c>
      <c r="K944" t="s">
        <v>47</v>
      </c>
      <c r="L944">
        <v>7.3</v>
      </c>
      <c r="M944">
        <v>3.4</v>
      </c>
      <c r="N944" t="s">
        <v>39</v>
      </c>
      <c r="O944">
        <v>11</v>
      </c>
      <c r="P944" t="s">
        <v>43</v>
      </c>
      <c r="Q944">
        <v>60</v>
      </c>
    </row>
    <row r="945" spans="1:17" x14ac:dyDescent="0.35">
      <c r="A945" s="1">
        <v>45819</v>
      </c>
      <c r="B945" t="s">
        <v>91</v>
      </c>
      <c r="C945" t="s">
        <v>67</v>
      </c>
      <c r="D945" t="s">
        <v>92</v>
      </c>
      <c r="E945" t="s">
        <v>27</v>
      </c>
      <c r="F945">
        <v>611.91</v>
      </c>
      <c r="G945">
        <v>63.9</v>
      </c>
      <c r="H945">
        <v>96.4</v>
      </c>
      <c r="I945">
        <v>95.4</v>
      </c>
      <c r="J945">
        <v>79.86</v>
      </c>
      <c r="K945" t="s">
        <v>28</v>
      </c>
      <c r="L945">
        <v>8.8000000000000007</v>
      </c>
      <c r="M945">
        <v>3.5</v>
      </c>
      <c r="N945" t="s">
        <v>39</v>
      </c>
      <c r="O945">
        <v>11</v>
      </c>
      <c r="P945" t="s">
        <v>43</v>
      </c>
      <c r="Q945">
        <v>62.2</v>
      </c>
    </row>
    <row r="946" spans="1:17" x14ac:dyDescent="0.35">
      <c r="A946" s="1">
        <v>45819</v>
      </c>
      <c r="B946" t="s">
        <v>51</v>
      </c>
      <c r="C946" t="s">
        <v>45</v>
      </c>
      <c r="D946" t="s">
        <v>52</v>
      </c>
      <c r="E946" t="s">
        <v>27</v>
      </c>
      <c r="F946">
        <v>795.15</v>
      </c>
      <c r="G946">
        <v>557.29999999999995</v>
      </c>
      <c r="H946">
        <v>95.12</v>
      </c>
      <c r="I946">
        <v>98.74</v>
      </c>
      <c r="J946">
        <v>79.66</v>
      </c>
      <c r="K946" t="s">
        <v>47</v>
      </c>
      <c r="L946">
        <v>9</v>
      </c>
      <c r="M946">
        <v>3.2</v>
      </c>
      <c r="N946" t="s">
        <v>29</v>
      </c>
      <c r="O946">
        <v>13</v>
      </c>
      <c r="P946" t="s">
        <v>23</v>
      </c>
      <c r="Q946">
        <v>65.099999999999994</v>
      </c>
    </row>
    <row r="947" spans="1:17" x14ac:dyDescent="0.35">
      <c r="A947" s="1">
        <v>45819</v>
      </c>
      <c r="B947" t="s">
        <v>93</v>
      </c>
      <c r="C947" t="s">
        <v>37</v>
      </c>
      <c r="D947" t="s">
        <v>94</v>
      </c>
      <c r="E947" t="s">
        <v>33</v>
      </c>
      <c r="F947">
        <v>445.01</v>
      </c>
      <c r="G947">
        <v>220.8</v>
      </c>
      <c r="H947">
        <v>95.07</v>
      </c>
      <c r="I947">
        <v>93.57</v>
      </c>
      <c r="J947">
        <v>76.81</v>
      </c>
      <c r="K947" t="s">
        <v>47</v>
      </c>
      <c r="L947">
        <v>8.3000000000000007</v>
      </c>
      <c r="M947">
        <v>4.0999999999999996</v>
      </c>
      <c r="N947" t="s">
        <v>35</v>
      </c>
      <c r="O947">
        <v>6</v>
      </c>
      <c r="P947" t="s">
        <v>23</v>
      </c>
      <c r="Q947">
        <v>62</v>
      </c>
    </row>
    <row r="948" spans="1:17" x14ac:dyDescent="0.35">
      <c r="A948" s="1">
        <v>45819</v>
      </c>
      <c r="B948" t="s">
        <v>84</v>
      </c>
      <c r="C948" t="s">
        <v>18</v>
      </c>
      <c r="D948" t="s">
        <v>85</v>
      </c>
      <c r="E948" t="s">
        <v>33</v>
      </c>
      <c r="F948">
        <v>104.75</v>
      </c>
      <c r="G948">
        <v>82.7</v>
      </c>
      <c r="H948">
        <v>97.27</v>
      </c>
      <c r="I948">
        <v>95.19</v>
      </c>
      <c r="J948">
        <v>70.260000000000005</v>
      </c>
      <c r="K948" t="s">
        <v>34</v>
      </c>
      <c r="L948">
        <v>7</v>
      </c>
      <c r="M948">
        <v>5</v>
      </c>
      <c r="N948" t="s">
        <v>35</v>
      </c>
      <c r="O948">
        <v>9</v>
      </c>
      <c r="P948" t="s">
        <v>23</v>
      </c>
      <c r="Q948">
        <v>57.1</v>
      </c>
    </row>
    <row r="949" spans="1:17" x14ac:dyDescent="0.35">
      <c r="A949" s="1">
        <v>45819</v>
      </c>
      <c r="B949" t="s">
        <v>36</v>
      </c>
      <c r="C949" t="s">
        <v>37</v>
      </c>
      <c r="D949" t="s">
        <v>38</v>
      </c>
      <c r="E949" t="s">
        <v>33</v>
      </c>
      <c r="F949">
        <v>297.33</v>
      </c>
      <c r="G949">
        <v>199.5</v>
      </c>
      <c r="H949">
        <v>97.33</v>
      </c>
      <c r="I949">
        <v>94.41</v>
      </c>
      <c r="J949">
        <v>79.91</v>
      </c>
      <c r="K949" t="s">
        <v>47</v>
      </c>
      <c r="L949">
        <v>7.4</v>
      </c>
      <c r="M949">
        <v>3</v>
      </c>
      <c r="N949" t="s">
        <v>35</v>
      </c>
      <c r="O949">
        <v>5</v>
      </c>
      <c r="P949" t="s">
        <v>23</v>
      </c>
      <c r="Q949">
        <v>62.3</v>
      </c>
    </row>
    <row r="950" spans="1:17" x14ac:dyDescent="0.35">
      <c r="A950" s="1">
        <v>45819</v>
      </c>
      <c r="B950" t="s">
        <v>95</v>
      </c>
      <c r="C950" t="s">
        <v>49</v>
      </c>
      <c r="D950" t="s">
        <v>96</v>
      </c>
      <c r="E950" t="s">
        <v>27</v>
      </c>
      <c r="F950">
        <v>430.71</v>
      </c>
      <c r="G950">
        <v>60</v>
      </c>
      <c r="H950">
        <v>97.72</v>
      </c>
      <c r="I950">
        <v>96.42</v>
      </c>
      <c r="J950">
        <v>80.260000000000005</v>
      </c>
      <c r="K950" t="s">
        <v>47</v>
      </c>
      <c r="L950">
        <v>8.1</v>
      </c>
      <c r="M950">
        <v>2.4</v>
      </c>
      <c r="N950" t="s">
        <v>29</v>
      </c>
      <c r="O950">
        <v>9</v>
      </c>
      <c r="P950" t="s">
        <v>23</v>
      </c>
      <c r="Q950">
        <v>62.2</v>
      </c>
    </row>
    <row r="951" spans="1:17" x14ac:dyDescent="0.35">
      <c r="A951" s="1">
        <v>45819</v>
      </c>
      <c r="B951" t="s">
        <v>31</v>
      </c>
      <c r="C951" t="s">
        <v>18</v>
      </c>
      <c r="D951" t="s">
        <v>32</v>
      </c>
      <c r="E951" t="s">
        <v>27</v>
      </c>
      <c r="F951">
        <v>231.28</v>
      </c>
      <c r="G951">
        <v>27.2</v>
      </c>
      <c r="H951">
        <v>96.37</v>
      </c>
      <c r="I951">
        <v>93.65</v>
      </c>
      <c r="J951">
        <v>78.790000000000006</v>
      </c>
      <c r="K951" t="s">
        <v>28</v>
      </c>
      <c r="L951">
        <v>8</v>
      </c>
      <c r="M951">
        <v>2.2999999999999998</v>
      </c>
      <c r="N951" t="s">
        <v>29</v>
      </c>
      <c r="O951">
        <v>8</v>
      </c>
      <c r="P951" t="s">
        <v>23</v>
      </c>
      <c r="Q951">
        <v>60.5</v>
      </c>
    </row>
    <row r="952" spans="1:17" x14ac:dyDescent="0.35">
      <c r="A952" s="1">
        <v>45819</v>
      </c>
      <c r="B952" t="s">
        <v>48</v>
      </c>
      <c r="C952" t="s">
        <v>49</v>
      </c>
      <c r="D952" t="s">
        <v>50</v>
      </c>
      <c r="E952" t="s">
        <v>27</v>
      </c>
      <c r="F952">
        <v>330.35</v>
      </c>
      <c r="G952">
        <v>39</v>
      </c>
      <c r="H952">
        <v>96.59</v>
      </c>
      <c r="I952">
        <v>94.84</v>
      </c>
      <c r="J952">
        <v>78.39</v>
      </c>
      <c r="K952" t="s">
        <v>28</v>
      </c>
      <c r="L952">
        <v>8.4</v>
      </c>
      <c r="M952">
        <v>3.4</v>
      </c>
      <c r="N952" t="s">
        <v>29</v>
      </c>
      <c r="O952">
        <v>14</v>
      </c>
      <c r="P952" t="s">
        <v>23</v>
      </c>
      <c r="Q952">
        <v>60.8</v>
      </c>
    </row>
    <row r="953" spans="1:17" x14ac:dyDescent="0.35">
      <c r="A953" s="1">
        <v>45819</v>
      </c>
      <c r="B953" t="s">
        <v>86</v>
      </c>
      <c r="C953" t="s">
        <v>25</v>
      </c>
      <c r="D953" t="s">
        <v>87</v>
      </c>
      <c r="E953" t="s">
        <v>27</v>
      </c>
      <c r="F953">
        <v>835.95</v>
      </c>
      <c r="G953">
        <v>45.3</v>
      </c>
      <c r="H953">
        <v>94.18</v>
      </c>
      <c r="I953">
        <v>97.36</v>
      </c>
      <c r="J953">
        <v>79.23</v>
      </c>
      <c r="K953" t="s">
        <v>28</v>
      </c>
      <c r="L953">
        <v>8</v>
      </c>
      <c r="M953">
        <v>2.6</v>
      </c>
      <c r="N953" t="s">
        <v>39</v>
      </c>
      <c r="O953">
        <v>12</v>
      </c>
      <c r="P953" t="s">
        <v>30</v>
      </c>
      <c r="Q953">
        <v>61</v>
      </c>
    </row>
    <row r="954" spans="1:17" x14ac:dyDescent="0.35">
      <c r="A954" s="1">
        <v>45819</v>
      </c>
      <c r="B954" t="s">
        <v>95</v>
      </c>
      <c r="C954" t="s">
        <v>49</v>
      </c>
      <c r="D954" t="s">
        <v>96</v>
      </c>
      <c r="E954" t="s">
        <v>27</v>
      </c>
      <c r="F954">
        <v>363.95</v>
      </c>
      <c r="G954">
        <v>32.1</v>
      </c>
      <c r="H954">
        <v>95.9</v>
      </c>
      <c r="I954">
        <v>93.65</v>
      </c>
      <c r="J954">
        <v>79.56</v>
      </c>
      <c r="K954" t="s">
        <v>34</v>
      </c>
      <c r="L954">
        <v>8</v>
      </c>
      <c r="M954">
        <v>4.8</v>
      </c>
      <c r="N954" t="s">
        <v>29</v>
      </c>
      <c r="O954">
        <v>11</v>
      </c>
      <c r="P954" t="s">
        <v>43</v>
      </c>
      <c r="Q954">
        <v>59</v>
      </c>
    </row>
    <row r="955" spans="1:17" x14ac:dyDescent="0.35">
      <c r="A955" s="1">
        <v>45819</v>
      </c>
      <c r="B955" t="s">
        <v>80</v>
      </c>
      <c r="C955" t="s">
        <v>45</v>
      </c>
      <c r="D955" t="s">
        <v>81</v>
      </c>
      <c r="E955" t="s">
        <v>27</v>
      </c>
      <c r="F955">
        <v>535.76</v>
      </c>
      <c r="G955">
        <v>614.1</v>
      </c>
      <c r="H955">
        <v>95.5</v>
      </c>
      <c r="I955">
        <v>99.41</v>
      </c>
      <c r="J955">
        <v>83.18</v>
      </c>
      <c r="K955" t="s">
        <v>28</v>
      </c>
      <c r="L955">
        <v>9.3000000000000007</v>
      </c>
      <c r="M955">
        <v>4.3</v>
      </c>
      <c r="N955" t="s">
        <v>29</v>
      </c>
      <c r="O955">
        <v>9</v>
      </c>
      <c r="P955" t="s">
        <v>23</v>
      </c>
      <c r="Q955">
        <v>65.599999999999994</v>
      </c>
    </row>
    <row r="956" spans="1:17" x14ac:dyDescent="0.35">
      <c r="A956" s="1">
        <v>45819</v>
      </c>
      <c r="B956" t="s">
        <v>64</v>
      </c>
      <c r="C956" t="s">
        <v>25</v>
      </c>
      <c r="D956" t="s">
        <v>65</v>
      </c>
      <c r="E956" t="s">
        <v>27</v>
      </c>
      <c r="F956">
        <v>331.65</v>
      </c>
      <c r="G956">
        <v>39.799999999999997</v>
      </c>
      <c r="H956">
        <v>94.24</v>
      </c>
      <c r="I956">
        <v>98.1</v>
      </c>
      <c r="J956">
        <v>81.22</v>
      </c>
      <c r="K956" t="s">
        <v>47</v>
      </c>
      <c r="L956">
        <v>8.1999999999999993</v>
      </c>
      <c r="M956">
        <v>2.7</v>
      </c>
      <c r="N956" t="s">
        <v>39</v>
      </c>
      <c r="O956">
        <v>8</v>
      </c>
      <c r="P956" t="s">
        <v>30</v>
      </c>
      <c r="Q956">
        <v>61.6</v>
      </c>
    </row>
    <row r="957" spans="1:17" x14ac:dyDescent="0.35">
      <c r="A957" s="1">
        <v>45819</v>
      </c>
      <c r="B957" t="s">
        <v>55</v>
      </c>
      <c r="C957" t="s">
        <v>56</v>
      </c>
      <c r="D957">
        <v>4</v>
      </c>
      <c r="E957" t="s">
        <v>57</v>
      </c>
      <c r="F957">
        <v>30</v>
      </c>
      <c r="G957">
        <v>140.6</v>
      </c>
      <c r="H957">
        <v>87.72</v>
      </c>
      <c r="I957">
        <v>93.49</v>
      </c>
      <c r="J957">
        <v>72.349999999999994</v>
      </c>
      <c r="K957" t="s">
        <v>63</v>
      </c>
      <c r="L957">
        <v>7.4</v>
      </c>
      <c r="N957" t="s">
        <v>35</v>
      </c>
      <c r="O957">
        <v>5</v>
      </c>
      <c r="P957" t="s">
        <v>23</v>
      </c>
      <c r="Q957">
        <v>68.900000000000006</v>
      </c>
    </row>
    <row r="958" spans="1:17" x14ac:dyDescent="0.35">
      <c r="A958" s="1">
        <v>45819</v>
      </c>
      <c r="B958" t="s">
        <v>82</v>
      </c>
      <c r="C958" t="s">
        <v>72</v>
      </c>
      <c r="D958" t="s">
        <v>83</v>
      </c>
      <c r="E958" t="s">
        <v>20</v>
      </c>
      <c r="F958">
        <v>198.91</v>
      </c>
      <c r="G958">
        <v>204.8</v>
      </c>
      <c r="H958">
        <v>91.18</v>
      </c>
      <c r="I958">
        <v>94.07</v>
      </c>
      <c r="J958">
        <v>72.22</v>
      </c>
      <c r="K958" t="s">
        <v>63</v>
      </c>
      <c r="L958">
        <v>6.5</v>
      </c>
      <c r="N958" t="s">
        <v>35</v>
      </c>
      <c r="O958">
        <v>9</v>
      </c>
      <c r="P958" t="s">
        <v>23</v>
      </c>
      <c r="Q958">
        <v>68.5</v>
      </c>
    </row>
    <row r="959" spans="1:17" x14ac:dyDescent="0.35">
      <c r="A959" s="1">
        <v>45819</v>
      </c>
      <c r="B959" t="s">
        <v>101</v>
      </c>
      <c r="C959" t="s">
        <v>45</v>
      </c>
      <c r="D959" t="s">
        <v>102</v>
      </c>
      <c r="E959" t="s">
        <v>33</v>
      </c>
      <c r="F959">
        <v>457.83</v>
      </c>
      <c r="G959">
        <v>1347.8</v>
      </c>
      <c r="H959">
        <v>94.98</v>
      </c>
      <c r="I959">
        <v>99.27</v>
      </c>
      <c r="J959">
        <v>77.87</v>
      </c>
      <c r="K959" t="s">
        <v>88</v>
      </c>
      <c r="L959">
        <v>8.4</v>
      </c>
      <c r="M959">
        <v>1.7</v>
      </c>
      <c r="N959" t="s">
        <v>22</v>
      </c>
      <c r="O959">
        <v>8</v>
      </c>
      <c r="P959" t="s">
        <v>23</v>
      </c>
      <c r="Q959">
        <v>64.900000000000006</v>
      </c>
    </row>
    <row r="960" spans="1:17" x14ac:dyDescent="0.35">
      <c r="A960" s="1">
        <v>45819</v>
      </c>
      <c r="B960" t="s">
        <v>59</v>
      </c>
      <c r="C960" t="s">
        <v>60</v>
      </c>
      <c r="D960" t="s">
        <v>61</v>
      </c>
      <c r="E960" t="s">
        <v>62</v>
      </c>
      <c r="F960">
        <v>365.22</v>
      </c>
      <c r="G960">
        <v>173.9</v>
      </c>
      <c r="H960">
        <v>88.93</v>
      </c>
      <c r="I960">
        <v>94.05</v>
      </c>
      <c r="J960">
        <v>89.09</v>
      </c>
      <c r="K960" t="s">
        <v>34</v>
      </c>
      <c r="L960">
        <v>7.5</v>
      </c>
      <c r="N960" t="s">
        <v>35</v>
      </c>
      <c r="O960">
        <v>4</v>
      </c>
      <c r="P960" t="s">
        <v>23</v>
      </c>
      <c r="Q960">
        <v>73.400000000000006</v>
      </c>
    </row>
    <row r="961" spans="1:17" x14ac:dyDescent="0.35">
      <c r="A961" s="1">
        <v>45819</v>
      </c>
      <c r="B961" t="s">
        <v>78</v>
      </c>
      <c r="C961" t="s">
        <v>41</v>
      </c>
      <c r="D961" t="s">
        <v>79</v>
      </c>
      <c r="E961" t="s">
        <v>27</v>
      </c>
      <c r="F961">
        <v>658.07</v>
      </c>
      <c r="G961">
        <v>51</v>
      </c>
      <c r="H961">
        <v>95.03</v>
      </c>
      <c r="I961">
        <v>97.9</v>
      </c>
      <c r="J961">
        <v>78.27</v>
      </c>
      <c r="K961" t="s">
        <v>34</v>
      </c>
      <c r="L961">
        <v>8.1</v>
      </c>
      <c r="M961">
        <v>4.9000000000000004</v>
      </c>
      <c r="N961" t="s">
        <v>39</v>
      </c>
      <c r="O961">
        <v>8</v>
      </c>
      <c r="P961" t="s">
        <v>43</v>
      </c>
      <c r="Q961">
        <v>59.8</v>
      </c>
    </row>
    <row r="962" spans="1:17" x14ac:dyDescent="0.35">
      <c r="A962" s="1">
        <v>45819</v>
      </c>
      <c r="B962" t="s">
        <v>64</v>
      </c>
      <c r="C962" t="s">
        <v>25</v>
      </c>
      <c r="D962" t="s">
        <v>65</v>
      </c>
      <c r="E962" t="s">
        <v>27</v>
      </c>
      <c r="F962">
        <v>293.45999999999998</v>
      </c>
      <c r="G962">
        <v>54.2</v>
      </c>
      <c r="H962">
        <v>93.2</v>
      </c>
      <c r="I962">
        <v>97.88</v>
      </c>
      <c r="J962">
        <v>76.61</v>
      </c>
      <c r="K962" t="s">
        <v>34</v>
      </c>
      <c r="L962">
        <v>8</v>
      </c>
      <c r="M962">
        <v>2</v>
      </c>
      <c r="N962" t="s">
        <v>29</v>
      </c>
      <c r="O962">
        <v>12</v>
      </c>
      <c r="P962" t="s">
        <v>30</v>
      </c>
      <c r="Q962">
        <v>61</v>
      </c>
    </row>
    <row r="963" spans="1:17" x14ac:dyDescent="0.35">
      <c r="A963" s="1">
        <v>45819</v>
      </c>
      <c r="B963" t="s">
        <v>95</v>
      </c>
      <c r="C963" t="s">
        <v>49</v>
      </c>
      <c r="D963" t="s">
        <v>96</v>
      </c>
      <c r="E963" t="s">
        <v>33</v>
      </c>
      <c r="F963">
        <v>488.72</v>
      </c>
      <c r="G963">
        <v>144.30000000000001</v>
      </c>
      <c r="H963">
        <v>92.06</v>
      </c>
      <c r="I963">
        <v>94.03</v>
      </c>
      <c r="J963">
        <v>75.11</v>
      </c>
      <c r="K963" t="s">
        <v>28</v>
      </c>
      <c r="L963">
        <v>8.8000000000000007</v>
      </c>
      <c r="M963">
        <v>3.9</v>
      </c>
      <c r="N963" t="s">
        <v>35</v>
      </c>
      <c r="O963">
        <v>7</v>
      </c>
      <c r="P963" t="s">
        <v>23</v>
      </c>
      <c r="Q963">
        <v>61.8</v>
      </c>
    </row>
    <row r="964" spans="1:17" x14ac:dyDescent="0.35">
      <c r="A964" s="1">
        <v>45819</v>
      </c>
      <c r="B964" t="s">
        <v>59</v>
      </c>
      <c r="C964" t="s">
        <v>60</v>
      </c>
      <c r="D964" t="s">
        <v>61</v>
      </c>
      <c r="E964" t="s">
        <v>62</v>
      </c>
      <c r="F964">
        <v>391.14</v>
      </c>
      <c r="G964">
        <v>189.4</v>
      </c>
      <c r="H964">
        <v>87.16</v>
      </c>
      <c r="I964">
        <v>93.26</v>
      </c>
      <c r="J964">
        <v>88.1</v>
      </c>
      <c r="K964" t="s">
        <v>34</v>
      </c>
      <c r="L964">
        <v>7.6</v>
      </c>
      <c r="N964" t="s">
        <v>35</v>
      </c>
      <c r="O964">
        <v>6</v>
      </c>
      <c r="P964" t="s">
        <v>43</v>
      </c>
      <c r="Q964">
        <v>72.900000000000006</v>
      </c>
    </row>
    <row r="965" spans="1:17" x14ac:dyDescent="0.35">
      <c r="A965" s="1">
        <v>45819</v>
      </c>
      <c r="B965" t="s">
        <v>95</v>
      </c>
      <c r="C965" t="s">
        <v>49</v>
      </c>
      <c r="D965" t="s">
        <v>96</v>
      </c>
      <c r="E965" t="s">
        <v>27</v>
      </c>
      <c r="F965">
        <v>424.57</v>
      </c>
      <c r="G965">
        <v>59.4</v>
      </c>
      <c r="H965">
        <v>94.59</v>
      </c>
      <c r="I965">
        <v>94.11</v>
      </c>
      <c r="J965">
        <v>79.510000000000005</v>
      </c>
      <c r="K965" t="s">
        <v>28</v>
      </c>
      <c r="L965">
        <v>8.1999999999999993</v>
      </c>
      <c r="M965">
        <v>2.7</v>
      </c>
      <c r="N965" t="s">
        <v>29</v>
      </c>
      <c r="O965">
        <v>13</v>
      </c>
      <c r="P965" t="s">
        <v>23</v>
      </c>
      <c r="Q965">
        <v>61.1</v>
      </c>
    </row>
    <row r="966" spans="1:17" x14ac:dyDescent="0.35">
      <c r="A966" s="1">
        <v>45819</v>
      </c>
      <c r="B966" t="s">
        <v>36</v>
      </c>
      <c r="C966" t="s">
        <v>37</v>
      </c>
      <c r="D966" t="s">
        <v>38</v>
      </c>
      <c r="E966" t="s">
        <v>33</v>
      </c>
      <c r="F966">
        <v>348.58</v>
      </c>
      <c r="G966">
        <v>150</v>
      </c>
      <c r="H966">
        <v>93.93</v>
      </c>
      <c r="I966">
        <v>94.5</v>
      </c>
      <c r="J966">
        <v>76.95</v>
      </c>
      <c r="K966" t="s">
        <v>28</v>
      </c>
      <c r="L966">
        <v>8.4</v>
      </c>
      <c r="M966">
        <v>3.2</v>
      </c>
      <c r="N966" t="s">
        <v>35</v>
      </c>
      <c r="O966">
        <v>10</v>
      </c>
      <c r="P966" t="s">
        <v>23</v>
      </c>
      <c r="Q966">
        <v>62.4</v>
      </c>
    </row>
    <row r="967" spans="1:17" x14ac:dyDescent="0.35">
      <c r="A967" s="1">
        <v>45819</v>
      </c>
      <c r="B967" t="s">
        <v>59</v>
      </c>
      <c r="C967" t="s">
        <v>60</v>
      </c>
      <c r="D967" t="s">
        <v>61</v>
      </c>
      <c r="E967" t="s">
        <v>62</v>
      </c>
      <c r="F967">
        <v>326.76</v>
      </c>
      <c r="G967">
        <v>171.2</v>
      </c>
      <c r="H967">
        <v>90.25</v>
      </c>
      <c r="I967">
        <v>94.3</v>
      </c>
      <c r="J967">
        <v>90.43</v>
      </c>
      <c r="K967" t="s">
        <v>34</v>
      </c>
      <c r="L967">
        <v>8.1999999999999993</v>
      </c>
      <c r="N967" t="s">
        <v>35</v>
      </c>
      <c r="O967">
        <v>4</v>
      </c>
      <c r="P967" t="s">
        <v>23</v>
      </c>
      <c r="Q967">
        <v>75.400000000000006</v>
      </c>
    </row>
    <row r="968" spans="1:17" x14ac:dyDescent="0.35">
      <c r="A968" s="1">
        <v>45819</v>
      </c>
      <c r="B968" t="s">
        <v>89</v>
      </c>
      <c r="C968" t="s">
        <v>67</v>
      </c>
      <c r="D968" t="s">
        <v>90</v>
      </c>
      <c r="E968" t="s">
        <v>27</v>
      </c>
      <c r="F968">
        <v>530.47</v>
      </c>
      <c r="G968">
        <v>66</v>
      </c>
      <c r="H968">
        <v>96.24</v>
      </c>
      <c r="I968">
        <v>94.02</v>
      </c>
      <c r="J968">
        <v>81.05</v>
      </c>
      <c r="K968" t="s">
        <v>47</v>
      </c>
      <c r="L968">
        <v>9.5</v>
      </c>
      <c r="M968">
        <v>2.9</v>
      </c>
      <c r="N968" t="s">
        <v>29</v>
      </c>
      <c r="O968">
        <v>12</v>
      </c>
      <c r="P968" t="s">
        <v>43</v>
      </c>
      <c r="Q968">
        <v>63.8</v>
      </c>
    </row>
    <row r="969" spans="1:17" x14ac:dyDescent="0.35">
      <c r="A969" s="1">
        <v>45819</v>
      </c>
      <c r="B969" t="s">
        <v>91</v>
      </c>
      <c r="C969" t="s">
        <v>67</v>
      </c>
      <c r="D969" t="s">
        <v>92</v>
      </c>
      <c r="E969" t="s">
        <v>27</v>
      </c>
      <c r="F969">
        <v>798.05</v>
      </c>
      <c r="G969">
        <v>54.9</v>
      </c>
      <c r="H969">
        <v>93.64</v>
      </c>
      <c r="I969">
        <v>96.61</v>
      </c>
      <c r="J969">
        <v>83.62</v>
      </c>
      <c r="K969" t="s">
        <v>28</v>
      </c>
      <c r="L969">
        <v>8.6999999999999993</v>
      </c>
      <c r="M969">
        <v>3.2</v>
      </c>
      <c r="N969" t="s">
        <v>29</v>
      </c>
      <c r="O969">
        <v>14</v>
      </c>
      <c r="P969" t="s">
        <v>23</v>
      </c>
      <c r="Q969">
        <v>62.4</v>
      </c>
    </row>
    <row r="970" spans="1:17" x14ac:dyDescent="0.35">
      <c r="A970" s="1">
        <v>45819</v>
      </c>
      <c r="B970" t="s">
        <v>24</v>
      </c>
      <c r="C970" t="s">
        <v>25</v>
      </c>
      <c r="D970" t="s">
        <v>26</v>
      </c>
      <c r="E970" t="s">
        <v>27</v>
      </c>
      <c r="F970">
        <v>838.83</v>
      </c>
      <c r="G970">
        <v>21.1</v>
      </c>
      <c r="H970">
        <v>96.29</v>
      </c>
      <c r="I970">
        <v>97.49</v>
      </c>
      <c r="J970">
        <v>84.35</v>
      </c>
      <c r="K970" t="s">
        <v>34</v>
      </c>
      <c r="L970">
        <v>8.6999999999999993</v>
      </c>
      <c r="M970">
        <v>2.7</v>
      </c>
      <c r="N970" t="s">
        <v>39</v>
      </c>
      <c r="O970">
        <v>9</v>
      </c>
      <c r="P970" t="s">
        <v>30</v>
      </c>
      <c r="Q970">
        <v>62.8</v>
      </c>
    </row>
    <row r="971" spans="1:17" x14ac:dyDescent="0.35">
      <c r="A971" s="1">
        <v>45819</v>
      </c>
      <c r="B971" t="s">
        <v>59</v>
      </c>
      <c r="C971" t="s">
        <v>60</v>
      </c>
      <c r="D971" t="s">
        <v>61</v>
      </c>
      <c r="E971" t="s">
        <v>62</v>
      </c>
      <c r="F971">
        <v>527.58000000000004</v>
      </c>
      <c r="G971">
        <v>176.9</v>
      </c>
      <c r="H971">
        <v>87.9</v>
      </c>
      <c r="I971">
        <v>95.25</v>
      </c>
      <c r="J971">
        <v>86.55</v>
      </c>
      <c r="K971" t="s">
        <v>63</v>
      </c>
      <c r="L971">
        <v>8</v>
      </c>
      <c r="N971" t="s">
        <v>35</v>
      </c>
      <c r="O971">
        <v>6</v>
      </c>
      <c r="P971" t="s">
        <v>23</v>
      </c>
      <c r="Q971">
        <v>73.900000000000006</v>
      </c>
    </row>
    <row r="972" spans="1:17" x14ac:dyDescent="0.35">
      <c r="A972" s="1">
        <v>45819</v>
      </c>
      <c r="B972" t="s">
        <v>93</v>
      </c>
      <c r="C972" t="s">
        <v>37</v>
      </c>
      <c r="D972" t="s">
        <v>94</v>
      </c>
      <c r="E972" t="s">
        <v>27</v>
      </c>
      <c r="F972">
        <v>469.51</v>
      </c>
      <c r="G972">
        <v>57.2</v>
      </c>
      <c r="H972">
        <v>92.42</v>
      </c>
      <c r="I972">
        <v>94.03</v>
      </c>
      <c r="J972">
        <v>75.45</v>
      </c>
      <c r="K972" t="s">
        <v>34</v>
      </c>
      <c r="L972">
        <v>9.1999999999999993</v>
      </c>
      <c r="M972">
        <v>3.8</v>
      </c>
      <c r="N972" t="s">
        <v>29</v>
      </c>
      <c r="O972">
        <v>10</v>
      </c>
      <c r="P972" t="s">
        <v>23</v>
      </c>
      <c r="Q972">
        <v>60.9</v>
      </c>
    </row>
    <row r="973" spans="1:17" x14ac:dyDescent="0.35">
      <c r="A973" s="1">
        <v>45819</v>
      </c>
      <c r="B973" t="s">
        <v>17</v>
      </c>
      <c r="C973" t="s">
        <v>18</v>
      </c>
      <c r="D973" t="s">
        <v>19</v>
      </c>
      <c r="E973" t="s">
        <v>20</v>
      </c>
      <c r="F973">
        <v>300.87</v>
      </c>
      <c r="G973">
        <v>88.8</v>
      </c>
      <c r="H973">
        <v>91.53</v>
      </c>
      <c r="I973">
        <v>93.92</v>
      </c>
      <c r="J973">
        <v>75.760000000000005</v>
      </c>
      <c r="K973" t="s">
        <v>58</v>
      </c>
      <c r="L973">
        <v>7.6</v>
      </c>
      <c r="N973" t="s">
        <v>35</v>
      </c>
      <c r="O973">
        <v>7</v>
      </c>
      <c r="P973" t="s">
        <v>23</v>
      </c>
      <c r="Q973">
        <v>69.599999999999994</v>
      </c>
    </row>
    <row r="974" spans="1:17" x14ac:dyDescent="0.35">
      <c r="A974" s="1">
        <v>45819</v>
      </c>
      <c r="B974" t="s">
        <v>24</v>
      </c>
      <c r="C974" t="s">
        <v>25</v>
      </c>
      <c r="D974" t="s">
        <v>26</v>
      </c>
      <c r="E974" t="s">
        <v>27</v>
      </c>
      <c r="F974">
        <v>768.29</v>
      </c>
      <c r="G974">
        <v>29.1</v>
      </c>
      <c r="H974">
        <v>95.64</v>
      </c>
      <c r="I974">
        <v>96.47</v>
      </c>
      <c r="J974">
        <v>78.92</v>
      </c>
      <c r="K974" t="s">
        <v>28</v>
      </c>
      <c r="L974">
        <v>8.1</v>
      </c>
      <c r="M974">
        <v>4.5999999999999996</v>
      </c>
      <c r="N974" t="s">
        <v>39</v>
      </c>
      <c r="O974">
        <v>15</v>
      </c>
      <c r="P974" t="s">
        <v>30</v>
      </c>
      <c r="Q974">
        <v>59.5</v>
      </c>
    </row>
    <row r="975" spans="1:17" x14ac:dyDescent="0.35">
      <c r="A975" s="1">
        <v>45819</v>
      </c>
      <c r="B975" t="s">
        <v>48</v>
      </c>
      <c r="C975" t="s">
        <v>49</v>
      </c>
      <c r="D975" t="s">
        <v>50</v>
      </c>
      <c r="E975" t="s">
        <v>27</v>
      </c>
      <c r="F975">
        <v>492.67</v>
      </c>
      <c r="G975">
        <v>51</v>
      </c>
      <c r="H975">
        <v>97.91</v>
      </c>
      <c r="I975">
        <v>94.09</v>
      </c>
      <c r="J975">
        <v>83.01</v>
      </c>
      <c r="K975" t="s">
        <v>47</v>
      </c>
      <c r="L975">
        <v>8.1999999999999993</v>
      </c>
      <c r="M975">
        <v>3.4</v>
      </c>
      <c r="N975" t="s">
        <v>29</v>
      </c>
      <c r="O975">
        <v>13</v>
      </c>
      <c r="P975" t="s">
        <v>23</v>
      </c>
      <c r="Q975">
        <v>61.6</v>
      </c>
    </row>
    <row r="976" spans="1:17" x14ac:dyDescent="0.35">
      <c r="A976" s="1">
        <v>45819</v>
      </c>
      <c r="B976" t="s">
        <v>55</v>
      </c>
      <c r="C976" t="s">
        <v>56</v>
      </c>
      <c r="D976">
        <v>4</v>
      </c>
      <c r="E976" t="s">
        <v>57</v>
      </c>
      <c r="F976">
        <v>30</v>
      </c>
      <c r="G976">
        <v>137.5</v>
      </c>
      <c r="H976">
        <v>89.78</v>
      </c>
      <c r="I976">
        <v>96.05</v>
      </c>
      <c r="J976">
        <v>79.540000000000006</v>
      </c>
      <c r="K976" t="s">
        <v>58</v>
      </c>
      <c r="L976">
        <v>6</v>
      </c>
      <c r="N976" t="s">
        <v>35</v>
      </c>
      <c r="O976">
        <v>2</v>
      </c>
      <c r="P976" t="s">
        <v>43</v>
      </c>
      <c r="Q976">
        <v>68.3</v>
      </c>
    </row>
    <row r="977" spans="1:17" x14ac:dyDescent="0.35">
      <c r="A977" s="1">
        <v>45819</v>
      </c>
      <c r="B977" t="s">
        <v>78</v>
      </c>
      <c r="C977" t="s">
        <v>41</v>
      </c>
      <c r="D977" t="s">
        <v>79</v>
      </c>
      <c r="E977" t="s">
        <v>27</v>
      </c>
      <c r="F977">
        <v>658.01</v>
      </c>
      <c r="G977">
        <v>27.9</v>
      </c>
      <c r="H977">
        <v>92.52</v>
      </c>
      <c r="I977">
        <v>96.79</v>
      </c>
      <c r="J977">
        <v>81.27</v>
      </c>
      <c r="K977" t="s">
        <v>47</v>
      </c>
      <c r="L977">
        <v>9.1999999999999993</v>
      </c>
      <c r="M977">
        <v>4.3</v>
      </c>
      <c r="N977" t="s">
        <v>29</v>
      </c>
      <c r="O977">
        <v>13</v>
      </c>
      <c r="P977" t="s">
        <v>43</v>
      </c>
      <c r="Q977">
        <v>61.5</v>
      </c>
    </row>
    <row r="978" spans="1:17" x14ac:dyDescent="0.35">
      <c r="A978" s="1">
        <v>45819</v>
      </c>
      <c r="B978" t="s">
        <v>69</v>
      </c>
      <c r="C978" t="s">
        <v>18</v>
      </c>
      <c r="D978" t="s">
        <v>70</v>
      </c>
      <c r="E978" t="s">
        <v>20</v>
      </c>
      <c r="F978">
        <v>172.07</v>
      </c>
      <c r="G978">
        <v>116.2</v>
      </c>
      <c r="H978">
        <v>92.95</v>
      </c>
      <c r="I978">
        <v>93.78</v>
      </c>
      <c r="J978">
        <v>74.040000000000006</v>
      </c>
      <c r="K978" t="s">
        <v>58</v>
      </c>
      <c r="L978">
        <v>6.4</v>
      </c>
      <c r="N978" t="s">
        <v>35</v>
      </c>
      <c r="O978">
        <v>9</v>
      </c>
      <c r="P978" t="s">
        <v>23</v>
      </c>
      <c r="Q978">
        <v>67.7</v>
      </c>
    </row>
    <row r="979" spans="1:17" x14ac:dyDescent="0.35">
      <c r="A979" s="1">
        <v>45819</v>
      </c>
      <c r="B979" t="s">
        <v>69</v>
      </c>
      <c r="C979" t="s">
        <v>18</v>
      </c>
      <c r="D979" t="s">
        <v>70</v>
      </c>
      <c r="E979" t="s">
        <v>20</v>
      </c>
      <c r="F979">
        <v>127.54</v>
      </c>
      <c r="G979">
        <v>177.5</v>
      </c>
      <c r="H979">
        <v>88.84</v>
      </c>
      <c r="I979">
        <v>95.7</v>
      </c>
      <c r="J979">
        <v>75.12</v>
      </c>
      <c r="K979" t="s">
        <v>21</v>
      </c>
      <c r="L979">
        <v>6.1</v>
      </c>
      <c r="N979" t="s">
        <v>22</v>
      </c>
      <c r="O979">
        <v>8</v>
      </c>
      <c r="P979" t="s">
        <v>23</v>
      </c>
      <c r="Q979">
        <v>68.099999999999994</v>
      </c>
    </row>
    <row r="980" spans="1:17" x14ac:dyDescent="0.35">
      <c r="A980" s="1">
        <v>45819</v>
      </c>
      <c r="B980" t="s">
        <v>93</v>
      </c>
      <c r="C980" t="s">
        <v>37</v>
      </c>
      <c r="D980" t="s">
        <v>94</v>
      </c>
      <c r="E980" t="s">
        <v>33</v>
      </c>
      <c r="F980">
        <v>238.97</v>
      </c>
      <c r="G980">
        <v>116.4</v>
      </c>
      <c r="H980">
        <v>93</v>
      </c>
      <c r="I980">
        <v>93.16</v>
      </c>
      <c r="J980">
        <v>72.62</v>
      </c>
      <c r="K980" t="s">
        <v>28</v>
      </c>
      <c r="L980">
        <v>8.3000000000000007</v>
      </c>
      <c r="M980">
        <v>4.5</v>
      </c>
      <c r="N980" t="s">
        <v>35</v>
      </c>
      <c r="O980">
        <v>5</v>
      </c>
      <c r="P980" t="s">
        <v>23</v>
      </c>
      <c r="Q980">
        <v>59.6</v>
      </c>
    </row>
    <row r="981" spans="1:17" x14ac:dyDescent="0.35">
      <c r="A981" s="1">
        <v>45819</v>
      </c>
      <c r="B981" t="s">
        <v>51</v>
      </c>
      <c r="C981" t="s">
        <v>45</v>
      </c>
      <c r="D981" t="s">
        <v>52</v>
      </c>
      <c r="E981" t="s">
        <v>27</v>
      </c>
      <c r="F981">
        <v>576.19000000000005</v>
      </c>
      <c r="G981">
        <v>320.89999999999998</v>
      </c>
      <c r="H981">
        <v>97.65</v>
      </c>
      <c r="I981">
        <v>98.23</v>
      </c>
      <c r="J981">
        <v>81.59</v>
      </c>
      <c r="K981" t="s">
        <v>47</v>
      </c>
      <c r="L981">
        <v>9.3000000000000007</v>
      </c>
      <c r="M981">
        <v>3.5</v>
      </c>
      <c r="N981" t="s">
        <v>39</v>
      </c>
      <c r="O981">
        <v>8</v>
      </c>
      <c r="P981" t="s">
        <v>23</v>
      </c>
      <c r="Q981">
        <v>66.099999999999994</v>
      </c>
    </row>
    <row r="982" spans="1:17" x14ac:dyDescent="0.35">
      <c r="A982" s="1">
        <v>45819</v>
      </c>
      <c r="B982" t="s">
        <v>64</v>
      </c>
      <c r="C982" t="s">
        <v>25</v>
      </c>
      <c r="D982" t="s">
        <v>65</v>
      </c>
      <c r="E982" t="s">
        <v>27</v>
      </c>
      <c r="F982">
        <v>723.16</v>
      </c>
      <c r="G982">
        <v>43.6</v>
      </c>
      <c r="H982">
        <v>94.28</v>
      </c>
      <c r="I982">
        <v>97.18</v>
      </c>
      <c r="J982">
        <v>76.66</v>
      </c>
      <c r="K982" t="s">
        <v>47</v>
      </c>
      <c r="L982">
        <v>9.4</v>
      </c>
      <c r="M982">
        <v>2.5</v>
      </c>
      <c r="N982" t="s">
        <v>39</v>
      </c>
      <c r="O982">
        <v>15</v>
      </c>
      <c r="P982" t="s">
        <v>30</v>
      </c>
      <c r="Q982">
        <v>62.9</v>
      </c>
    </row>
    <row r="983" spans="1:17" x14ac:dyDescent="0.35">
      <c r="A983" s="1">
        <v>45819</v>
      </c>
      <c r="B983" t="s">
        <v>69</v>
      </c>
      <c r="C983" t="s">
        <v>18</v>
      </c>
      <c r="D983" t="s">
        <v>70</v>
      </c>
      <c r="E983" t="s">
        <v>20</v>
      </c>
      <c r="F983">
        <v>241.26</v>
      </c>
      <c r="G983">
        <v>195.9</v>
      </c>
      <c r="H983">
        <v>93.27</v>
      </c>
      <c r="I983">
        <v>96.48</v>
      </c>
      <c r="J983">
        <v>77.03</v>
      </c>
      <c r="K983" t="s">
        <v>21</v>
      </c>
      <c r="L983">
        <v>8.1</v>
      </c>
      <c r="N983" t="s">
        <v>35</v>
      </c>
      <c r="O983">
        <v>7</v>
      </c>
      <c r="P983" t="s">
        <v>23</v>
      </c>
      <c r="Q983">
        <v>73.599999999999994</v>
      </c>
    </row>
    <row r="984" spans="1:17" x14ac:dyDescent="0.35">
      <c r="A984" s="1">
        <v>45819</v>
      </c>
      <c r="B984" t="s">
        <v>36</v>
      </c>
      <c r="C984" t="s">
        <v>37</v>
      </c>
      <c r="D984" t="s">
        <v>38</v>
      </c>
      <c r="E984" t="s">
        <v>27</v>
      </c>
      <c r="F984">
        <v>201.89</v>
      </c>
      <c r="G984">
        <v>62.7</v>
      </c>
      <c r="H984">
        <v>94.61</v>
      </c>
      <c r="I984">
        <v>94.26</v>
      </c>
      <c r="J984">
        <v>75.63</v>
      </c>
      <c r="K984" t="s">
        <v>47</v>
      </c>
      <c r="L984">
        <v>7.2</v>
      </c>
      <c r="M984">
        <v>3.9</v>
      </c>
      <c r="N984" t="s">
        <v>29</v>
      </c>
      <c r="O984">
        <v>11</v>
      </c>
      <c r="P984" t="s">
        <v>23</v>
      </c>
      <c r="Q984">
        <v>58.1</v>
      </c>
    </row>
    <row r="985" spans="1:17" x14ac:dyDescent="0.35">
      <c r="A985" s="1">
        <v>45819</v>
      </c>
      <c r="B985" t="s">
        <v>36</v>
      </c>
      <c r="C985" t="s">
        <v>37</v>
      </c>
      <c r="D985" t="s">
        <v>38</v>
      </c>
      <c r="E985" t="s">
        <v>27</v>
      </c>
      <c r="F985">
        <v>497.96</v>
      </c>
      <c r="G985">
        <v>28.3</v>
      </c>
      <c r="H985">
        <v>94.13</v>
      </c>
      <c r="I985">
        <v>94.78</v>
      </c>
      <c r="J985">
        <v>83</v>
      </c>
      <c r="K985" t="s">
        <v>34</v>
      </c>
      <c r="L985">
        <v>8.4</v>
      </c>
      <c r="M985">
        <v>1.9</v>
      </c>
      <c r="N985" t="s">
        <v>29</v>
      </c>
      <c r="O985">
        <v>11</v>
      </c>
      <c r="P985" t="s">
        <v>23</v>
      </c>
      <c r="Q985">
        <v>61.9</v>
      </c>
    </row>
    <row r="986" spans="1:17" x14ac:dyDescent="0.35">
      <c r="A986" s="1">
        <v>45819</v>
      </c>
      <c r="B986" t="s">
        <v>59</v>
      </c>
      <c r="C986" t="s">
        <v>60</v>
      </c>
      <c r="D986" t="s">
        <v>61</v>
      </c>
      <c r="E986" t="s">
        <v>62</v>
      </c>
      <c r="F986">
        <v>541.01</v>
      </c>
      <c r="G986">
        <v>180.3</v>
      </c>
      <c r="H986">
        <v>88.7</v>
      </c>
      <c r="I986">
        <v>95.78</v>
      </c>
      <c r="J986">
        <v>88.19</v>
      </c>
      <c r="K986" t="s">
        <v>63</v>
      </c>
      <c r="L986">
        <v>9.1</v>
      </c>
      <c r="N986" t="s">
        <v>35</v>
      </c>
      <c r="O986">
        <v>5</v>
      </c>
      <c r="P986" t="s">
        <v>43</v>
      </c>
      <c r="Q986">
        <v>76.7</v>
      </c>
    </row>
    <row r="987" spans="1:17" x14ac:dyDescent="0.35">
      <c r="A987" s="1">
        <v>45819</v>
      </c>
      <c r="B987" t="s">
        <v>86</v>
      </c>
      <c r="C987" t="s">
        <v>25</v>
      </c>
      <c r="D987" t="s">
        <v>87</v>
      </c>
      <c r="E987" t="s">
        <v>27</v>
      </c>
      <c r="F987">
        <v>720.05</v>
      </c>
      <c r="G987">
        <v>38.1</v>
      </c>
      <c r="H987">
        <v>93.38</v>
      </c>
      <c r="I987">
        <v>97.62</v>
      </c>
      <c r="J987">
        <v>77.319999999999993</v>
      </c>
      <c r="K987" t="s">
        <v>47</v>
      </c>
      <c r="L987">
        <v>8.1999999999999993</v>
      </c>
      <c r="M987">
        <v>4.5999999999999996</v>
      </c>
      <c r="N987" t="s">
        <v>39</v>
      </c>
      <c r="O987">
        <v>9</v>
      </c>
      <c r="P987" t="s">
        <v>30</v>
      </c>
      <c r="Q987">
        <v>59.4</v>
      </c>
    </row>
    <row r="988" spans="1:17" x14ac:dyDescent="0.35">
      <c r="A988" s="1">
        <v>45819</v>
      </c>
      <c r="B988" t="s">
        <v>36</v>
      </c>
      <c r="C988" t="s">
        <v>37</v>
      </c>
      <c r="D988" t="s">
        <v>38</v>
      </c>
      <c r="E988" t="s">
        <v>27</v>
      </c>
      <c r="F988">
        <v>258.72000000000003</v>
      </c>
      <c r="G988">
        <v>45.5</v>
      </c>
      <c r="H988">
        <v>95</v>
      </c>
      <c r="I988">
        <v>93.18</v>
      </c>
      <c r="J988">
        <v>76.37</v>
      </c>
      <c r="K988" t="s">
        <v>34</v>
      </c>
      <c r="L988">
        <v>8.1999999999999993</v>
      </c>
      <c r="M988">
        <v>3.3</v>
      </c>
      <c r="N988" t="s">
        <v>29</v>
      </c>
      <c r="O988">
        <v>10</v>
      </c>
      <c r="P988" t="s">
        <v>23</v>
      </c>
      <c r="Q988">
        <v>59.8</v>
      </c>
    </row>
    <row r="989" spans="1:17" x14ac:dyDescent="0.35">
      <c r="A989" s="1">
        <v>45819</v>
      </c>
      <c r="B989" t="s">
        <v>40</v>
      </c>
      <c r="C989" t="s">
        <v>41</v>
      </c>
      <c r="D989" t="s">
        <v>42</v>
      </c>
      <c r="E989" t="s">
        <v>27</v>
      </c>
      <c r="F989">
        <v>428.84</v>
      </c>
      <c r="G989">
        <v>48.3</v>
      </c>
      <c r="H989">
        <v>96.73</v>
      </c>
      <c r="I989">
        <v>98.42</v>
      </c>
      <c r="J989">
        <v>82.47</v>
      </c>
      <c r="K989" t="s">
        <v>28</v>
      </c>
      <c r="L989">
        <v>8.8000000000000007</v>
      </c>
      <c r="M989">
        <v>2</v>
      </c>
      <c r="N989" t="s">
        <v>29</v>
      </c>
      <c r="O989">
        <v>11</v>
      </c>
      <c r="P989" t="s">
        <v>43</v>
      </c>
      <c r="Q989">
        <v>63.9</v>
      </c>
    </row>
    <row r="990" spans="1:17" x14ac:dyDescent="0.35">
      <c r="A990" s="1">
        <v>45819</v>
      </c>
      <c r="B990" t="s">
        <v>101</v>
      </c>
      <c r="C990" t="s">
        <v>45</v>
      </c>
      <c r="D990" t="s">
        <v>102</v>
      </c>
      <c r="E990" t="s">
        <v>33</v>
      </c>
      <c r="F990">
        <v>690.37</v>
      </c>
      <c r="G990">
        <v>1682.3</v>
      </c>
      <c r="H990">
        <v>95.13</v>
      </c>
      <c r="I990">
        <v>98.36</v>
      </c>
      <c r="J990">
        <v>74.78</v>
      </c>
      <c r="K990" t="s">
        <v>47</v>
      </c>
      <c r="L990">
        <v>9.5</v>
      </c>
      <c r="M990">
        <v>2.6</v>
      </c>
      <c r="N990" t="s">
        <v>22</v>
      </c>
      <c r="O990">
        <v>6</v>
      </c>
      <c r="P990" t="s">
        <v>23</v>
      </c>
      <c r="Q990">
        <v>65.5</v>
      </c>
    </row>
    <row r="991" spans="1:17" x14ac:dyDescent="0.35">
      <c r="A991" s="1">
        <v>45819</v>
      </c>
      <c r="B991" t="s">
        <v>40</v>
      </c>
      <c r="C991" t="s">
        <v>41</v>
      </c>
      <c r="D991" t="s">
        <v>42</v>
      </c>
      <c r="E991" t="s">
        <v>27</v>
      </c>
      <c r="F991">
        <v>649.02</v>
      </c>
      <c r="G991">
        <v>45.4</v>
      </c>
      <c r="H991">
        <v>96</v>
      </c>
      <c r="I991">
        <v>96.82</v>
      </c>
      <c r="J991">
        <v>81.97</v>
      </c>
      <c r="K991" t="s">
        <v>28</v>
      </c>
      <c r="L991">
        <v>8.1999999999999993</v>
      </c>
      <c r="M991">
        <v>3</v>
      </c>
      <c r="N991" t="s">
        <v>39</v>
      </c>
      <c r="O991">
        <v>10</v>
      </c>
      <c r="P991" t="s">
        <v>43</v>
      </c>
      <c r="Q991">
        <v>61.7</v>
      </c>
    </row>
    <row r="992" spans="1:17" x14ac:dyDescent="0.35">
      <c r="A992" s="1">
        <v>45819</v>
      </c>
      <c r="B992" t="s">
        <v>59</v>
      </c>
      <c r="C992" t="s">
        <v>60</v>
      </c>
      <c r="D992" t="s">
        <v>61</v>
      </c>
      <c r="E992" t="s">
        <v>62</v>
      </c>
      <c r="F992">
        <v>390.02</v>
      </c>
      <c r="G992">
        <v>176.9</v>
      </c>
      <c r="H992">
        <v>89.14</v>
      </c>
      <c r="I992">
        <v>93.72</v>
      </c>
      <c r="J992">
        <v>88.17</v>
      </c>
      <c r="K992" t="s">
        <v>63</v>
      </c>
      <c r="L992">
        <v>7.9</v>
      </c>
      <c r="N992" t="s">
        <v>35</v>
      </c>
      <c r="O992">
        <v>6</v>
      </c>
      <c r="P992" t="s">
        <v>43</v>
      </c>
      <c r="Q992">
        <v>74</v>
      </c>
    </row>
    <row r="993" spans="1:17" x14ac:dyDescent="0.35">
      <c r="A993" s="1">
        <v>45819</v>
      </c>
      <c r="B993" t="s">
        <v>82</v>
      </c>
      <c r="C993" t="s">
        <v>72</v>
      </c>
      <c r="D993" t="s">
        <v>83</v>
      </c>
      <c r="E993" t="s">
        <v>20</v>
      </c>
      <c r="F993">
        <v>193.87</v>
      </c>
      <c r="G993">
        <v>221.8</v>
      </c>
      <c r="H993">
        <v>92.14</v>
      </c>
      <c r="I993">
        <v>93.6</v>
      </c>
      <c r="J993">
        <v>75.739999999999995</v>
      </c>
      <c r="K993" t="s">
        <v>58</v>
      </c>
      <c r="L993">
        <v>6.8</v>
      </c>
      <c r="N993" t="s">
        <v>35</v>
      </c>
      <c r="O993">
        <v>8</v>
      </c>
      <c r="P993" t="s">
        <v>43</v>
      </c>
      <c r="Q993">
        <v>69.900000000000006</v>
      </c>
    </row>
    <row r="994" spans="1:17" x14ac:dyDescent="0.35">
      <c r="A994" s="1">
        <v>45819</v>
      </c>
      <c r="B994" t="s">
        <v>59</v>
      </c>
      <c r="C994" t="s">
        <v>60</v>
      </c>
      <c r="D994" t="s">
        <v>61</v>
      </c>
      <c r="E994" t="s">
        <v>62</v>
      </c>
      <c r="F994">
        <v>526.52</v>
      </c>
      <c r="G994">
        <v>170</v>
      </c>
      <c r="H994">
        <v>89.19</v>
      </c>
      <c r="I994">
        <v>95.17</v>
      </c>
      <c r="J994">
        <v>86.8</v>
      </c>
      <c r="K994" t="s">
        <v>63</v>
      </c>
      <c r="L994">
        <v>9.1</v>
      </c>
      <c r="N994" t="s">
        <v>35</v>
      </c>
      <c r="O994">
        <v>3</v>
      </c>
      <c r="P994" t="s">
        <v>43</v>
      </c>
      <c r="Q994">
        <v>76.400000000000006</v>
      </c>
    </row>
    <row r="995" spans="1:17" x14ac:dyDescent="0.35">
      <c r="A995" s="1">
        <v>45819</v>
      </c>
      <c r="B995" t="s">
        <v>36</v>
      </c>
      <c r="C995" t="s">
        <v>37</v>
      </c>
      <c r="D995" t="s">
        <v>38</v>
      </c>
      <c r="E995" t="s">
        <v>27</v>
      </c>
      <c r="F995">
        <v>363.51</v>
      </c>
      <c r="G995">
        <v>41.9</v>
      </c>
      <c r="H995">
        <v>96.48</v>
      </c>
      <c r="I995">
        <v>96.85</v>
      </c>
      <c r="J995">
        <v>77.22</v>
      </c>
      <c r="K995" t="s">
        <v>47</v>
      </c>
      <c r="L995">
        <v>7.3</v>
      </c>
      <c r="M995">
        <v>2.5</v>
      </c>
      <c r="N995" t="s">
        <v>29</v>
      </c>
      <c r="O995">
        <v>8</v>
      </c>
      <c r="P995" t="s">
        <v>23</v>
      </c>
      <c r="Q995">
        <v>59.8</v>
      </c>
    </row>
    <row r="996" spans="1:17" x14ac:dyDescent="0.35">
      <c r="A996" s="1">
        <v>45819</v>
      </c>
      <c r="B996" t="s">
        <v>48</v>
      </c>
      <c r="C996" t="s">
        <v>49</v>
      </c>
      <c r="D996" t="s">
        <v>50</v>
      </c>
      <c r="E996" t="s">
        <v>33</v>
      </c>
      <c r="F996">
        <v>357.45</v>
      </c>
      <c r="G996">
        <v>132.80000000000001</v>
      </c>
      <c r="H996">
        <v>97.5</v>
      </c>
      <c r="I996">
        <v>93.45</v>
      </c>
      <c r="J996">
        <v>78.290000000000006</v>
      </c>
      <c r="K996" t="s">
        <v>28</v>
      </c>
      <c r="L996">
        <v>7.3</v>
      </c>
      <c r="M996">
        <v>3.4</v>
      </c>
      <c r="N996" t="s">
        <v>35</v>
      </c>
      <c r="O996">
        <v>9</v>
      </c>
      <c r="P996" t="s">
        <v>23</v>
      </c>
      <c r="Q996">
        <v>60.7</v>
      </c>
    </row>
    <row r="997" spans="1:17" x14ac:dyDescent="0.35">
      <c r="A997" s="1">
        <v>45819</v>
      </c>
      <c r="B997" t="s">
        <v>40</v>
      </c>
      <c r="C997" t="s">
        <v>41</v>
      </c>
      <c r="D997" t="s">
        <v>42</v>
      </c>
      <c r="E997" t="s">
        <v>27</v>
      </c>
      <c r="F997">
        <v>409.14</v>
      </c>
      <c r="G997">
        <v>31.2</v>
      </c>
      <c r="H997">
        <v>96.6</v>
      </c>
      <c r="I997">
        <v>96.42</v>
      </c>
      <c r="J997">
        <v>83.92</v>
      </c>
      <c r="K997" t="s">
        <v>47</v>
      </c>
      <c r="L997">
        <v>9.1</v>
      </c>
      <c r="M997">
        <v>2.8</v>
      </c>
      <c r="N997" t="s">
        <v>39</v>
      </c>
      <c r="O997">
        <v>12</v>
      </c>
      <c r="P997" t="s">
        <v>43</v>
      </c>
      <c r="Q997">
        <v>63.4</v>
      </c>
    </row>
    <row r="998" spans="1:17" x14ac:dyDescent="0.35">
      <c r="A998" s="1">
        <v>45819</v>
      </c>
      <c r="B998" t="s">
        <v>69</v>
      </c>
      <c r="C998" t="s">
        <v>18</v>
      </c>
      <c r="D998" t="s">
        <v>70</v>
      </c>
      <c r="E998" t="s">
        <v>20</v>
      </c>
      <c r="F998">
        <v>272.49</v>
      </c>
      <c r="G998">
        <v>171.1</v>
      </c>
      <c r="H998">
        <v>88.13</v>
      </c>
      <c r="I998">
        <v>93.41</v>
      </c>
      <c r="J998">
        <v>78.77</v>
      </c>
      <c r="K998" t="s">
        <v>63</v>
      </c>
      <c r="L998">
        <v>8</v>
      </c>
      <c r="N998" t="s">
        <v>35</v>
      </c>
      <c r="O998">
        <v>9</v>
      </c>
      <c r="P998" t="s">
        <v>23</v>
      </c>
      <c r="Q998">
        <v>72.099999999999994</v>
      </c>
    </row>
    <row r="999" spans="1:17" x14ac:dyDescent="0.35">
      <c r="A999" s="1">
        <v>45819</v>
      </c>
      <c r="B999" t="s">
        <v>55</v>
      </c>
      <c r="C999" t="s">
        <v>56</v>
      </c>
      <c r="D999">
        <v>4</v>
      </c>
      <c r="E999" t="s">
        <v>57</v>
      </c>
      <c r="F999">
        <v>30</v>
      </c>
      <c r="G999">
        <v>164.4</v>
      </c>
      <c r="H999">
        <v>91.05</v>
      </c>
      <c r="I999">
        <v>94.92</v>
      </c>
      <c r="J999">
        <v>70.959999999999994</v>
      </c>
      <c r="K999" t="s">
        <v>58</v>
      </c>
      <c r="L999">
        <v>7.9</v>
      </c>
      <c r="N999" t="s">
        <v>35</v>
      </c>
      <c r="O999">
        <v>4</v>
      </c>
      <c r="P999" t="s">
        <v>43</v>
      </c>
      <c r="Q999">
        <v>71.099999999999994</v>
      </c>
    </row>
    <row r="1000" spans="1:17" x14ac:dyDescent="0.35">
      <c r="A1000" s="1">
        <v>45819</v>
      </c>
      <c r="B1000" t="s">
        <v>17</v>
      </c>
      <c r="C1000" t="s">
        <v>18</v>
      </c>
      <c r="D1000" t="s">
        <v>19</v>
      </c>
      <c r="E1000" t="s">
        <v>20</v>
      </c>
      <c r="F1000">
        <v>250.58</v>
      </c>
      <c r="G1000">
        <v>196.7</v>
      </c>
      <c r="H1000">
        <v>94.06</v>
      </c>
      <c r="I1000">
        <v>94.44</v>
      </c>
      <c r="J1000">
        <v>73.290000000000006</v>
      </c>
      <c r="K1000" t="s">
        <v>58</v>
      </c>
      <c r="L1000">
        <v>8.1</v>
      </c>
      <c r="N1000" t="s">
        <v>35</v>
      </c>
      <c r="O1000">
        <v>5</v>
      </c>
      <c r="P1000" t="s">
        <v>23</v>
      </c>
      <c r="Q1000">
        <v>72.599999999999994</v>
      </c>
    </row>
    <row r="1001" spans="1:17" x14ac:dyDescent="0.35">
      <c r="A1001" s="1">
        <v>45819</v>
      </c>
      <c r="B1001" t="s">
        <v>86</v>
      </c>
      <c r="C1001" t="s">
        <v>25</v>
      </c>
      <c r="D1001" t="s">
        <v>87</v>
      </c>
      <c r="E1001" t="s">
        <v>27</v>
      </c>
      <c r="F1001">
        <v>714.73</v>
      </c>
      <c r="G1001">
        <v>63.3</v>
      </c>
      <c r="H1001">
        <v>92.8</v>
      </c>
      <c r="I1001">
        <v>97.75</v>
      </c>
      <c r="J1001">
        <v>77.2</v>
      </c>
      <c r="K1001" t="s">
        <v>28</v>
      </c>
      <c r="L1001">
        <v>8.9</v>
      </c>
      <c r="M1001">
        <v>1.6</v>
      </c>
      <c r="N1001" t="s">
        <v>39</v>
      </c>
      <c r="O1001">
        <v>11</v>
      </c>
      <c r="P1001" t="s">
        <v>30</v>
      </c>
      <c r="Q1001">
        <v>63</v>
      </c>
    </row>
    <row r="1002" spans="1:17" x14ac:dyDescent="0.35">
      <c r="A1002" s="1">
        <v>45819</v>
      </c>
      <c r="B1002" t="s">
        <v>82</v>
      </c>
      <c r="C1002" t="s">
        <v>72</v>
      </c>
      <c r="D1002" t="s">
        <v>83</v>
      </c>
      <c r="E1002" t="s">
        <v>20</v>
      </c>
      <c r="F1002">
        <v>125.28</v>
      </c>
      <c r="G1002">
        <v>208.9</v>
      </c>
      <c r="H1002">
        <v>91.86</v>
      </c>
      <c r="I1002">
        <v>95.48</v>
      </c>
      <c r="J1002">
        <v>77.37</v>
      </c>
      <c r="K1002" t="s">
        <v>63</v>
      </c>
      <c r="L1002">
        <v>7.7</v>
      </c>
      <c r="N1002" t="s">
        <v>22</v>
      </c>
      <c r="O1002">
        <v>5</v>
      </c>
      <c r="P1002" t="s">
        <v>23</v>
      </c>
      <c r="Q1002">
        <v>72.3</v>
      </c>
    </row>
    <row r="1003" spans="1:17" x14ac:dyDescent="0.35">
      <c r="A1003" s="1">
        <v>45819</v>
      </c>
      <c r="B1003" t="s">
        <v>91</v>
      </c>
      <c r="C1003" t="s">
        <v>67</v>
      </c>
      <c r="D1003" t="s">
        <v>92</v>
      </c>
      <c r="E1003" t="s">
        <v>27</v>
      </c>
      <c r="F1003">
        <v>156.76</v>
      </c>
      <c r="G1003">
        <v>45.3</v>
      </c>
      <c r="H1003">
        <v>97.11</v>
      </c>
      <c r="I1003">
        <v>94.11</v>
      </c>
      <c r="J1003">
        <v>76.33</v>
      </c>
      <c r="K1003" t="s">
        <v>34</v>
      </c>
      <c r="L1003">
        <v>6.6</v>
      </c>
      <c r="M1003">
        <v>2.4</v>
      </c>
      <c r="N1003" t="s">
        <v>39</v>
      </c>
      <c r="O1003">
        <v>10</v>
      </c>
      <c r="P1003" t="s">
        <v>43</v>
      </c>
      <c r="Q1003">
        <v>58.2</v>
      </c>
    </row>
    <row r="1004" spans="1:17" x14ac:dyDescent="0.35">
      <c r="A1004" s="1">
        <v>45819</v>
      </c>
      <c r="B1004" t="s">
        <v>69</v>
      </c>
      <c r="C1004" t="s">
        <v>18</v>
      </c>
      <c r="D1004" t="s">
        <v>70</v>
      </c>
      <c r="E1004" t="s">
        <v>20</v>
      </c>
      <c r="F1004">
        <v>117.64</v>
      </c>
      <c r="G1004">
        <v>89.7</v>
      </c>
      <c r="H1004">
        <v>90.63</v>
      </c>
      <c r="I1004">
        <v>95.28</v>
      </c>
      <c r="J1004">
        <v>78.540000000000006</v>
      </c>
      <c r="K1004" t="s">
        <v>58</v>
      </c>
      <c r="L1004">
        <v>6.8</v>
      </c>
      <c r="N1004" t="s">
        <v>35</v>
      </c>
      <c r="O1004">
        <v>5</v>
      </c>
      <c r="P1004" t="s">
        <v>23</v>
      </c>
      <c r="Q1004">
        <v>68.599999999999994</v>
      </c>
    </row>
    <row r="1005" spans="1:17" x14ac:dyDescent="0.35">
      <c r="A1005" s="1">
        <v>45819</v>
      </c>
      <c r="B1005" t="s">
        <v>74</v>
      </c>
      <c r="C1005" t="s">
        <v>67</v>
      </c>
      <c r="D1005" t="s">
        <v>75</v>
      </c>
      <c r="E1005" t="s">
        <v>27</v>
      </c>
      <c r="F1005">
        <v>300.23</v>
      </c>
      <c r="G1005">
        <v>49</v>
      </c>
      <c r="H1005">
        <v>95.56</v>
      </c>
      <c r="I1005">
        <v>96.15</v>
      </c>
      <c r="J1005">
        <v>81.05</v>
      </c>
      <c r="K1005" t="s">
        <v>28</v>
      </c>
      <c r="L1005">
        <v>7.6</v>
      </c>
      <c r="M1005">
        <v>2.1</v>
      </c>
      <c r="N1005" t="s">
        <v>39</v>
      </c>
      <c r="O1005">
        <v>8</v>
      </c>
      <c r="P1005" t="s">
        <v>43</v>
      </c>
      <c r="Q1005">
        <v>61</v>
      </c>
    </row>
    <row r="1006" spans="1:17" x14ac:dyDescent="0.35">
      <c r="A1006" s="1">
        <v>45819</v>
      </c>
      <c r="B1006" t="s">
        <v>91</v>
      </c>
      <c r="C1006" t="s">
        <v>67</v>
      </c>
      <c r="D1006" t="s">
        <v>92</v>
      </c>
      <c r="E1006" t="s">
        <v>27</v>
      </c>
      <c r="F1006">
        <v>165.83</v>
      </c>
      <c r="G1006">
        <v>63.5</v>
      </c>
      <c r="H1006">
        <v>97.08</v>
      </c>
      <c r="I1006">
        <v>95.67</v>
      </c>
      <c r="J1006">
        <v>83.3</v>
      </c>
      <c r="K1006" t="s">
        <v>34</v>
      </c>
      <c r="L1006">
        <v>7.9</v>
      </c>
      <c r="M1006">
        <v>4</v>
      </c>
      <c r="N1006" t="s">
        <v>39</v>
      </c>
      <c r="O1006">
        <v>10</v>
      </c>
      <c r="P1006" t="s">
        <v>23</v>
      </c>
      <c r="Q1006">
        <v>61.1</v>
      </c>
    </row>
    <row r="1007" spans="1:17" x14ac:dyDescent="0.35">
      <c r="A1007" s="1">
        <v>45819</v>
      </c>
      <c r="B1007" t="s">
        <v>24</v>
      </c>
      <c r="C1007" t="s">
        <v>25</v>
      </c>
      <c r="D1007" t="s">
        <v>26</v>
      </c>
      <c r="E1007" t="s">
        <v>27</v>
      </c>
      <c r="F1007">
        <v>315.44</v>
      </c>
      <c r="G1007">
        <v>46.9</v>
      </c>
      <c r="H1007">
        <v>93.52</v>
      </c>
      <c r="I1007">
        <v>97.3</v>
      </c>
      <c r="J1007">
        <v>82.7</v>
      </c>
      <c r="K1007" t="s">
        <v>47</v>
      </c>
      <c r="L1007">
        <v>7.8</v>
      </c>
      <c r="M1007">
        <v>3.4</v>
      </c>
      <c r="N1007" t="s">
        <v>39</v>
      </c>
      <c r="O1007">
        <v>8</v>
      </c>
      <c r="P1007" t="s">
        <v>30</v>
      </c>
      <c r="Q1007">
        <v>60.6</v>
      </c>
    </row>
    <row r="1008" spans="1:17" x14ac:dyDescent="0.35">
      <c r="A1008" s="1">
        <v>45819</v>
      </c>
      <c r="B1008" t="s">
        <v>99</v>
      </c>
      <c r="C1008" t="s">
        <v>72</v>
      </c>
      <c r="D1008" t="s">
        <v>100</v>
      </c>
      <c r="E1008" t="s">
        <v>33</v>
      </c>
      <c r="F1008">
        <v>143.68</v>
      </c>
      <c r="G1008">
        <v>159.19999999999999</v>
      </c>
      <c r="H1008">
        <v>93.65</v>
      </c>
      <c r="I1008">
        <v>95.65</v>
      </c>
      <c r="J1008">
        <v>78.58</v>
      </c>
      <c r="K1008" t="s">
        <v>47</v>
      </c>
      <c r="L1008">
        <v>6.4</v>
      </c>
      <c r="M1008">
        <v>2.7</v>
      </c>
      <c r="N1008" t="s">
        <v>22</v>
      </c>
      <c r="O1008">
        <v>10</v>
      </c>
      <c r="P1008" t="s">
        <v>43</v>
      </c>
      <c r="Q1008">
        <v>60</v>
      </c>
    </row>
    <row r="1009" spans="1:17" x14ac:dyDescent="0.35">
      <c r="A1009" s="1">
        <v>45819</v>
      </c>
      <c r="B1009" t="s">
        <v>64</v>
      </c>
      <c r="C1009" t="s">
        <v>25</v>
      </c>
      <c r="D1009" t="s">
        <v>65</v>
      </c>
      <c r="E1009" t="s">
        <v>27</v>
      </c>
      <c r="F1009">
        <v>359.01</v>
      </c>
      <c r="G1009">
        <v>30</v>
      </c>
      <c r="H1009">
        <v>96.44</v>
      </c>
      <c r="I1009">
        <v>97.09</v>
      </c>
      <c r="J1009">
        <v>83.4</v>
      </c>
      <c r="K1009" t="s">
        <v>47</v>
      </c>
      <c r="L1009">
        <v>8</v>
      </c>
      <c r="M1009">
        <v>2.7</v>
      </c>
      <c r="N1009" t="s">
        <v>29</v>
      </c>
      <c r="O1009">
        <v>15</v>
      </c>
      <c r="P1009" t="s">
        <v>30</v>
      </c>
      <c r="Q1009">
        <v>61.6</v>
      </c>
    </row>
    <row r="1010" spans="1:17" x14ac:dyDescent="0.35">
      <c r="A1010" s="1">
        <v>45819</v>
      </c>
      <c r="B1010" t="s">
        <v>84</v>
      </c>
      <c r="C1010" t="s">
        <v>18</v>
      </c>
      <c r="D1010" t="s">
        <v>85</v>
      </c>
      <c r="E1010" t="s">
        <v>27</v>
      </c>
      <c r="F1010">
        <v>198.3</v>
      </c>
      <c r="G1010">
        <v>33.4</v>
      </c>
      <c r="H1010">
        <v>92.24</v>
      </c>
      <c r="I1010">
        <v>95.87</v>
      </c>
      <c r="J1010">
        <v>81.150000000000006</v>
      </c>
      <c r="K1010" t="s">
        <v>47</v>
      </c>
      <c r="L1010">
        <v>7.5</v>
      </c>
      <c r="M1010">
        <v>1.8</v>
      </c>
      <c r="N1010" t="s">
        <v>29</v>
      </c>
      <c r="O1010">
        <v>13</v>
      </c>
      <c r="P1010" t="s">
        <v>23</v>
      </c>
      <c r="Q1010">
        <v>60.2</v>
      </c>
    </row>
    <row r="1011" spans="1:17" x14ac:dyDescent="0.35">
      <c r="A1011" s="1">
        <v>45819</v>
      </c>
      <c r="B1011" t="s">
        <v>93</v>
      </c>
      <c r="C1011" t="s">
        <v>37</v>
      </c>
      <c r="D1011" t="s">
        <v>94</v>
      </c>
      <c r="E1011" t="s">
        <v>27</v>
      </c>
      <c r="F1011">
        <v>206.08</v>
      </c>
      <c r="G1011">
        <v>34.299999999999997</v>
      </c>
      <c r="H1011">
        <v>92.64</v>
      </c>
      <c r="I1011">
        <v>94.7</v>
      </c>
      <c r="J1011">
        <v>83.09</v>
      </c>
      <c r="K1011" t="s">
        <v>47</v>
      </c>
      <c r="L1011">
        <v>8.1999999999999993</v>
      </c>
      <c r="M1011">
        <v>2.6</v>
      </c>
      <c r="N1011" t="s">
        <v>29</v>
      </c>
      <c r="O1011">
        <v>10</v>
      </c>
      <c r="P1011" t="s">
        <v>23</v>
      </c>
      <c r="Q1011">
        <v>61</v>
      </c>
    </row>
    <row r="1012" spans="1:17" x14ac:dyDescent="0.35">
      <c r="A1012" s="1">
        <v>45819</v>
      </c>
      <c r="B1012" t="s">
        <v>40</v>
      </c>
      <c r="C1012" t="s">
        <v>41</v>
      </c>
      <c r="D1012" t="s">
        <v>42</v>
      </c>
      <c r="E1012" t="s">
        <v>27</v>
      </c>
      <c r="F1012">
        <v>649.91</v>
      </c>
      <c r="G1012">
        <v>60.1</v>
      </c>
      <c r="H1012">
        <v>92.16</v>
      </c>
      <c r="I1012">
        <v>96.5</v>
      </c>
      <c r="J1012">
        <v>78.83</v>
      </c>
      <c r="K1012" t="s">
        <v>28</v>
      </c>
      <c r="L1012">
        <v>8.4</v>
      </c>
      <c r="M1012">
        <v>4.0999999999999996</v>
      </c>
      <c r="N1012" t="s">
        <v>39</v>
      </c>
      <c r="O1012">
        <v>10</v>
      </c>
      <c r="P1012" t="s">
        <v>43</v>
      </c>
      <c r="Q1012">
        <v>60.4</v>
      </c>
    </row>
    <row r="1013" spans="1:17" x14ac:dyDescent="0.35">
      <c r="A1013" s="1">
        <v>45819</v>
      </c>
      <c r="B1013" t="s">
        <v>82</v>
      </c>
      <c r="C1013" t="s">
        <v>72</v>
      </c>
      <c r="D1013" t="s">
        <v>83</v>
      </c>
      <c r="E1013" t="s">
        <v>20</v>
      </c>
      <c r="F1013">
        <v>212.51</v>
      </c>
      <c r="G1013">
        <v>143.5</v>
      </c>
      <c r="H1013">
        <v>89.99</v>
      </c>
      <c r="I1013">
        <v>94.55</v>
      </c>
      <c r="J1013">
        <v>78.209999999999994</v>
      </c>
      <c r="K1013" t="s">
        <v>58</v>
      </c>
      <c r="L1013">
        <v>7.4</v>
      </c>
      <c r="N1013" t="s">
        <v>22</v>
      </c>
      <c r="O1013">
        <v>6</v>
      </c>
      <c r="P1013" t="s">
        <v>43</v>
      </c>
      <c r="Q1013">
        <v>70.8</v>
      </c>
    </row>
    <row r="1014" spans="1:17" x14ac:dyDescent="0.35">
      <c r="A1014" s="1">
        <v>45819</v>
      </c>
      <c r="B1014" t="s">
        <v>44</v>
      </c>
      <c r="C1014" t="s">
        <v>45</v>
      </c>
      <c r="D1014" t="s">
        <v>46</v>
      </c>
      <c r="E1014" t="s">
        <v>33</v>
      </c>
      <c r="F1014">
        <v>295.76</v>
      </c>
      <c r="G1014">
        <v>582.4</v>
      </c>
      <c r="H1014">
        <v>97.98</v>
      </c>
      <c r="I1014">
        <v>99.22</v>
      </c>
      <c r="J1014">
        <v>79.680000000000007</v>
      </c>
      <c r="K1014" t="s">
        <v>34</v>
      </c>
      <c r="L1014">
        <v>8</v>
      </c>
      <c r="M1014">
        <v>4</v>
      </c>
      <c r="N1014" t="s">
        <v>35</v>
      </c>
      <c r="O1014">
        <v>7</v>
      </c>
      <c r="P1014" t="s">
        <v>23</v>
      </c>
      <c r="Q1014">
        <v>63.5</v>
      </c>
    </row>
    <row r="1015" spans="1:17" x14ac:dyDescent="0.35">
      <c r="A1015" s="1">
        <v>45819</v>
      </c>
      <c r="B1015" t="s">
        <v>55</v>
      </c>
      <c r="C1015" t="s">
        <v>56</v>
      </c>
      <c r="D1015">
        <v>4</v>
      </c>
      <c r="E1015" t="s">
        <v>57</v>
      </c>
      <c r="F1015">
        <v>30</v>
      </c>
      <c r="G1015">
        <v>145.6</v>
      </c>
      <c r="H1015">
        <v>87.43</v>
      </c>
      <c r="I1015">
        <v>95.68</v>
      </c>
      <c r="J1015">
        <v>79.7</v>
      </c>
      <c r="K1015" t="s">
        <v>58</v>
      </c>
      <c r="L1015">
        <v>6.4</v>
      </c>
      <c r="N1015" t="s">
        <v>35</v>
      </c>
      <c r="O1015">
        <v>3</v>
      </c>
      <c r="P1015" t="s">
        <v>43</v>
      </c>
      <c r="Q1015">
        <v>68.8</v>
      </c>
    </row>
    <row r="1016" spans="1:17" x14ac:dyDescent="0.35">
      <c r="A1016" s="1">
        <v>45819</v>
      </c>
      <c r="B1016" t="s">
        <v>59</v>
      </c>
      <c r="C1016" t="s">
        <v>60</v>
      </c>
      <c r="D1016" t="s">
        <v>61</v>
      </c>
      <c r="E1016" t="s">
        <v>62</v>
      </c>
      <c r="F1016">
        <v>460.93</v>
      </c>
      <c r="G1016">
        <v>171.7</v>
      </c>
      <c r="H1016">
        <v>91.53</v>
      </c>
      <c r="I1016">
        <v>94.17</v>
      </c>
      <c r="J1016">
        <v>89.94</v>
      </c>
      <c r="K1016" t="s">
        <v>34</v>
      </c>
      <c r="L1016">
        <v>9.3000000000000007</v>
      </c>
      <c r="N1016" t="s">
        <v>35</v>
      </c>
      <c r="O1016">
        <v>6</v>
      </c>
      <c r="P1016" t="s">
        <v>43</v>
      </c>
      <c r="Q1016">
        <v>77.7</v>
      </c>
    </row>
    <row r="1017" spans="1:17" x14ac:dyDescent="0.35">
      <c r="A1017" s="1">
        <v>45819</v>
      </c>
      <c r="B1017" t="s">
        <v>51</v>
      </c>
      <c r="C1017" t="s">
        <v>45</v>
      </c>
      <c r="D1017" t="s">
        <v>52</v>
      </c>
      <c r="E1017" t="s">
        <v>33</v>
      </c>
      <c r="F1017">
        <v>841.11</v>
      </c>
      <c r="G1017">
        <v>297.7</v>
      </c>
      <c r="H1017">
        <v>93.76</v>
      </c>
      <c r="I1017">
        <v>98.93</v>
      </c>
      <c r="J1017">
        <v>72.11</v>
      </c>
      <c r="K1017" t="s">
        <v>47</v>
      </c>
      <c r="L1017">
        <v>8.1</v>
      </c>
      <c r="M1017">
        <v>2.6</v>
      </c>
      <c r="N1017" t="s">
        <v>35</v>
      </c>
      <c r="O1017">
        <v>7</v>
      </c>
      <c r="P1017" t="s">
        <v>23</v>
      </c>
      <c r="Q1017">
        <v>62.6</v>
      </c>
    </row>
    <row r="1018" spans="1:17" x14ac:dyDescent="0.35">
      <c r="A1018" s="1">
        <v>45819</v>
      </c>
      <c r="B1018" t="s">
        <v>55</v>
      </c>
      <c r="C1018" t="s">
        <v>56</v>
      </c>
      <c r="D1018">
        <v>4</v>
      </c>
      <c r="E1018" t="s">
        <v>57</v>
      </c>
      <c r="F1018">
        <v>30</v>
      </c>
      <c r="G1018">
        <v>143.80000000000001</v>
      </c>
      <c r="H1018">
        <v>85.26</v>
      </c>
      <c r="I1018">
        <v>95.01</v>
      </c>
      <c r="J1018">
        <v>75.900000000000006</v>
      </c>
      <c r="K1018" t="s">
        <v>58</v>
      </c>
      <c r="L1018">
        <v>7.7</v>
      </c>
      <c r="N1018" t="s">
        <v>35</v>
      </c>
      <c r="O1018">
        <v>5</v>
      </c>
      <c r="P1018" t="s">
        <v>43</v>
      </c>
      <c r="Q1018">
        <v>70.099999999999994</v>
      </c>
    </row>
    <row r="1019" spans="1:17" x14ac:dyDescent="0.35">
      <c r="A1019" s="1">
        <v>45819</v>
      </c>
      <c r="B1019" t="s">
        <v>101</v>
      </c>
      <c r="C1019" t="s">
        <v>45</v>
      </c>
      <c r="D1019" t="s">
        <v>102</v>
      </c>
      <c r="E1019" t="s">
        <v>33</v>
      </c>
      <c r="F1019">
        <v>773.37</v>
      </c>
      <c r="G1019">
        <v>1427.5</v>
      </c>
      <c r="H1019">
        <v>96.39</v>
      </c>
      <c r="I1019">
        <v>98.91</v>
      </c>
      <c r="J1019">
        <v>72.34</v>
      </c>
      <c r="K1019" t="s">
        <v>47</v>
      </c>
      <c r="L1019">
        <v>9.3000000000000007</v>
      </c>
      <c r="M1019">
        <v>2.2999999999999998</v>
      </c>
      <c r="N1019" t="s">
        <v>22</v>
      </c>
      <c r="O1019">
        <v>6</v>
      </c>
      <c r="P1019" t="s">
        <v>23</v>
      </c>
      <c r="Q1019">
        <v>65.2</v>
      </c>
    </row>
    <row r="1020" spans="1:17" x14ac:dyDescent="0.35">
      <c r="A1020" s="1">
        <v>45820</v>
      </c>
      <c r="B1020" t="s">
        <v>99</v>
      </c>
      <c r="C1020" t="s">
        <v>72</v>
      </c>
      <c r="D1020" t="s">
        <v>100</v>
      </c>
      <c r="E1020" t="s">
        <v>33</v>
      </c>
      <c r="F1020">
        <v>178.72</v>
      </c>
      <c r="G1020">
        <v>99.7</v>
      </c>
      <c r="H1020">
        <v>97.85</v>
      </c>
      <c r="I1020">
        <v>94.51</v>
      </c>
      <c r="J1020">
        <v>74.77</v>
      </c>
      <c r="K1020" t="s">
        <v>34</v>
      </c>
      <c r="L1020">
        <v>7.8</v>
      </c>
      <c r="M1020">
        <v>4.0999999999999996</v>
      </c>
      <c r="N1020" t="s">
        <v>22</v>
      </c>
      <c r="O1020">
        <v>6</v>
      </c>
      <c r="P1020" t="s">
        <v>43</v>
      </c>
      <c r="Q1020">
        <v>60.1</v>
      </c>
    </row>
    <row r="1021" spans="1:17" x14ac:dyDescent="0.35">
      <c r="A1021" s="1">
        <v>45820</v>
      </c>
      <c r="B1021" t="s">
        <v>64</v>
      </c>
      <c r="C1021" t="s">
        <v>25</v>
      </c>
      <c r="D1021" t="s">
        <v>65</v>
      </c>
      <c r="E1021" t="s">
        <v>27</v>
      </c>
      <c r="F1021">
        <v>224.14</v>
      </c>
      <c r="G1021">
        <v>44.3</v>
      </c>
      <c r="H1021">
        <v>97.44</v>
      </c>
      <c r="I1021">
        <v>97.19</v>
      </c>
      <c r="J1021">
        <v>80.44</v>
      </c>
      <c r="K1021" t="s">
        <v>47</v>
      </c>
      <c r="L1021">
        <v>7.4</v>
      </c>
      <c r="M1021">
        <v>4.4000000000000004</v>
      </c>
      <c r="N1021" t="s">
        <v>39</v>
      </c>
      <c r="O1021">
        <v>9</v>
      </c>
      <c r="P1021" t="s">
        <v>30</v>
      </c>
      <c r="Q1021">
        <v>59.5</v>
      </c>
    </row>
    <row r="1022" spans="1:17" x14ac:dyDescent="0.35">
      <c r="A1022" s="1">
        <v>45820</v>
      </c>
      <c r="B1022" t="s">
        <v>71</v>
      </c>
      <c r="C1022" t="s">
        <v>72</v>
      </c>
      <c r="D1022" t="s">
        <v>73</v>
      </c>
      <c r="E1022" t="s">
        <v>33</v>
      </c>
      <c r="F1022">
        <v>201.81</v>
      </c>
      <c r="G1022">
        <v>114.7</v>
      </c>
      <c r="H1022">
        <v>96.57</v>
      </c>
      <c r="I1022">
        <v>93.27</v>
      </c>
      <c r="J1022">
        <v>77.13</v>
      </c>
      <c r="K1022" t="s">
        <v>34</v>
      </c>
      <c r="L1022">
        <v>7.2</v>
      </c>
      <c r="M1022">
        <v>3.9</v>
      </c>
      <c r="N1022" t="s">
        <v>22</v>
      </c>
      <c r="O1022">
        <v>7</v>
      </c>
      <c r="P1022" t="s">
        <v>23</v>
      </c>
      <c r="Q1022">
        <v>59.5</v>
      </c>
    </row>
    <row r="1023" spans="1:17" x14ac:dyDescent="0.35">
      <c r="A1023" s="1">
        <v>45820</v>
      </c>
      <c r="B1023" t="s">
        <v>97</v>
      </c>
      <c r="C1023" t="s">
        <v>72</v>
      </c>
      <c r="D1023" t="s">
        <v>98</v>
      </c>
      <c r="E1023" t="s">
        <v>27</v>
      </c>
      <c r="F1023">
        <v>71.489999999999995</v>
      </c>
      <c r="G1023">
        <v>67.5</v>
      </c>
      <c r="H1023">
        <v>92.55</v>
      </c>
      <c r="I1023">
        <v>95.78</v>
      </c>
      <c r="J1023">
        <v>75.5</v>
      </c>
      <c r="K1023" t="s">
        <v>47</v>
      </c>
      <c r="L1023">
        <v>7.1</v>
      </c>
      <c r="M1023">
        <v>2.4</v>
      </c>
      <c r="N1023" t="s">
        <v>29</v>
      </c>
      <c r="O1023">
        <v>10</v>
      </c>
      <c r="P1023" t="s">
        <v>23</v>
      </c>
      <c r="Q1023">
        <v>58.9</v>
      </c>
    </row>
    <row r="1024" spans="1:17" x14ac:dyDescent="0.35">
      <c r="A1024" s="1">
        <v>45820</v>
      </c>
      <c r="B1024" t="s">
        <v>59</v>
      </c>
      <c r="C1024" t="s">
        <v>60</v>
      </c>
      <c r="D1024" t="s">
        <v>61</v>
      </c>
      <c r="E1024" t="s">
        <v>62</v>
      </c>
      <c r="F1024">
        <v>460.51</v>
      </c>
      <c r="G1024">
        <v>186.1</v>
      </c>
      <c r="H1024">
        <v>86.1</v>
      </c>
      <c r="I1024">
        <v>95.4</v>
      </c>
      <c r="J1024">
        <v>87.01</v>
      </c>
      <c r="K1024" t="s">
        <v>63</v>
      </c>
      <c r="L1024">
        <v>8.6</v>
      </c>
      <c r="N1024" t="s">
        <v>35</v>
      </c>
      <c r="O1024">
        <v>3</v>
      </c>
      <c r="P1024" t="s">
        <v>23</v>
      </c>
      <c r="Q1024">
        <v>74.900000000000006</v>
      </c>
    </row>
    <row r="1025" spans="1:17" x14ac:dyDescent="0.35">
      <c r="A1025" s="1">
        <v>45820</v>
      </c>
      <c r="B1025" t="s">
        <v>40</v>
      </c>
      <c r="C1025" t="s">
        <v>41</v>
      </c>
      <c r="D1025" t="s">
        <v>42</v>
      </c>
      <c r="E1025" t="s">
        <v>27</v>
      </c>
      <c r="F1025">
        <v>345.12</v>
      </c>
      <c r="G1025">
        <v>30.5</v>
      </c>
      <c r="H1025">
        <v>95.18</v>
      </c>
      <c r="I1025">
        <v>96.86</v>
      </c>
      <c r="J1025">
        <v>75.260000000000005</v>
      </c>
      <c r="K1025" t="s">
        <v>47</v>
      </c>
      <c r="L1025">
        <v>8.1</v>
      </c>
      <c r="M1025">
        <v>2.9</v>
      </c>
      <c r="N1025" t="s">
        <v>29</v>
      </c>
      <c r="O1025">
        <v>10</v>
      </c>
      <c r="P1025" t="s">
        <v>43</v>
      </c>
      <c r="Q1025">
        <v>60.1</v>
      </c>
    </row>
    <row r="1026" spans="1:17" x14ac:dyDescent="0.35">
      <c r="A1026" s="1">
        <v>45820</v>
      </c>
      <c r="B1026" t="s">
        <v>93</v>
      </c>
      <c r="C1026" t="s">
        <v>37</v>
      </c>
      <c r="D1026" t="s">
        <v>94</v>
      </c>
      <c r="E1026" t="s">
        <v>33</v>
      </c>
      <c r="F1026">
        <v>337.15</v>
      </c>
      <c r="G1026">
        <v>84.8</v>
      </c>
      <c r="H1026">
        <v>96.91</v>
      </c>
      <c r="I1026">
        <v>96.69</v>
      </c>
      <c r="J1026">
        <v>74.8</v>
      </c>
      <c r="K1026" t="s">
        <v>34</v>
      </c>
      <c r="L1026">
        <v>8</v>
      </c>
      <c r="M1026">
        <v>2</v>
      </c>
      <c r="N1026" t="s">
        <v>35</v>
      </c>
      <c r="O1026">
        <v>9</v>
      </c>
      <c r="P1026" t="s">
        <v>23</v>
      </c>
      <c r="Q1026">
        <v>61.7</v>
      </c>
    </row>
    <row r="1027" spans="1:17" x14ac:dyDescent="0.35">
      <c r="A1027" s="1">
        <v>45820</v>
      </c>
      <c r="B1027" t="s">
        <v>59</v>
      </c>
      <c r="C1027" t="s">
        <v>60</v>
      </c>
      <c r="D1027" t="s">
        <v>61</v>
      </c>
      <c r="E1027" t="s">
        <v>62</v>
      </c>
      <c r="F1027">
        <v>477.76</v>
      </c>
      <c r="G1027">
        <v>179.2</v>
      </c>
      <c r="H1027">
        <v>91.62</v>
      </c>
      <c r="I1027">
        <v>93.42</v>
      </c>
      <c r="J1027">
        <v>85.19</v>
      </c>
      <c r="K1027" t="s">
        <v>63</v>
      </c>
      <c r="L1027">
        <v>9.1999999999999993</v>
      </c>
      <c r="N1027" t="s">
        <v>35</v>
      </c>
      <c r="O1027">
        <v>6</v>
      </c>
      <c r="P1027" t="s">
        <v>43</v>
      </c>
      <c r="Q1027">
        <v>76.400000000000006</v>
      </c>
    </row>
    <row r="1028" spans="1:17" x14ac:dyDescent="0.35">
      <c r="A1028" s="1">
        <v>45820</v>
      </c>
      <c r="B1028" t="s">
        <v>36</v>
      </c>
      <c r="C1028" t="s">
        <v>37</v>
      </c>
      <c r="D1028" t="s">
        <v>38</v>
      </c>
      <c r="E1028" t="s">
        <v>27</v>
      </c>
      <c r="F1028">
        <v>429.98</v>
      </c>
      <c r="G1028">
        <v>49</v>
      </c>
      <c r="H1028">
        <v>94.13</v>
      </c>
      <c r="I1028">
        <v>96.52</v>
      </c>
      <c r="J1028">
        <v>83.67</v>
      </c>
      <c r="K1028" t="s">
        <v>47</v>
      </c>
      <c r="L1028">
        <v>8.3000000000000007</v>
      </c>
      <c r="M1028">
        <v>2</v>
      </c>
      <c r="N1028" t="s">
        <v>29</v>
      </c>
      <c r="O1028">
        <v>9</v>
      </c>
      <c r="P1028" t="s">
        <v>23</v>
      </c>
      <c r="Q1028">
        <v>62.5</v>
      </c>
    </row>
    <row r="1029" spans="1:17" x14ac:dyDescent="0.35">
      <c r="A1029" s="1">
        <v>45820</v>
      </c>
      <c r="B1029" t="s">
        <v>80</v>
      </c>
      <c r="C1029" t="s">
        <v>45</v>
      </c>
      <c r="D1029" t="s">
        <v>81</v>
      </c>
      <c r="E1029" t="s">
        <v>33</v>
      </c>
      <c r="F1029">
        <v>263.32</v>
      </c>
      <c r="G1029">
        <v>583.5</v>
      </c>
      <c r="H1029">
        <v>94.92</v>
      </c>
      <c r="I1029">
        <v>98.16</v>
      </c>
      <c r="J1029">
        <v>76.75</v>
      </c>
      <c r="K1029" t="s">
        <v>28</v>
      </c>
      <c r="L1029">
        <v>7.8</v>
      </c>
      <c r="M1029">
        <v>3.4</v>
      </c>
      <c r="N1029" t="s">
        <v>35</v>
      </c>
      <c r="O1029">
        <v>9</v>
      </c>
      <c r="P1029" t="s">
        <v>23</v>
      </c>
      <c r="Q1029">
        <v>62.4</v>
      </c>
    </row>
    <row r="1030" spans="1:17" x14ac:dyDescent="0.35">
      <c r="A1030" s="1">
        <v>45820</v>
      </c>
      <c r="B1030" t="s">
        <v>93</v>
      </c>
      <c r="C1030" t="s">
        <v>37</v>
      </c>
      <c r="D1030" t="s">
        <v>94</v>
      </c>
      <c r="E1030" t="s">
        <v>33</v>
      </c>
      <c r="F1030">
        <v>231.15</v>
      </c>
      <c r="G1030">
        <v>91.5</v>
      </c>
      <c r="H1030">
        <v>94.51</v>
      </c>
      <c r="I1030">
        <v>93.28</v>
      </c>
      <c r="J1030">
        <v>71.77</v>
      </c>
      <c r="K1030" t="s">
        <v>28</v>
      </c>
      <c r="L1030">
        <v>8.5</v>
      </c>
      <c r="M1030">
        <v>2.7</v>
      </c>
      <c r="N1030" t="s">
        <v>35</v>
      </c>
      <c r="O1030">
        <v>10</v>
      </c>
      <c r="P1030" t="s">
        <v>23</v>
      </c>
      <c r="Q1030">
        <v>60.8</v>
      </c>
    </row>
    <row r="1031" spans="1:17" x14ac:dyDescent="0.35">
      <c r="A1031" s="1">
        <v>45820</v>
      </c>
      <c r="B1031" t="s">
        <v>36</v>
      </c>
      <c r="C1031" t="s">
        <v>37</v>
      </c>
      <c r="D1031" t="s">
        <v>38</v>
      </c>
      <c r="E1031" t="s">
        <v>33</v>
      </c>
      <c r="F1031">
        <v>493.29</v>
      </c>
      <c r="G1031">
        <v>158.9</v>
      </c>
      <c r="H1031">
        <v>94.53</v>
      </c>
      <c r="I1031">
        <v>93.34</v>
      </c>
      <c r="J1031">
        <v>75.709999999999994</v>
      </c>
      <c r="K1031" t="s">
        <v>34</v>
      </c>
      <c r="L1031">
        <v>8.6999999999999993</v>
      </c>
      <c r="M1031">
        <v>3.5</v>
      </c>
      <c r="N1031" t="s">
        <v>22</v>
      </c>
      <c r="O1031">
        <v>6</v>
      </c>
      <c r="P1031" t="s">
        <v>23</v>
      </c>
      <c r="Q1031">
        <v>62.6</v>
      </c>
    </row>
    <row r="1032" spans="1:17" x14ac:dyDescent="0.35">
      <c r="A1032" s="1">
        <v>45820</v>
      </c>
      <c r="B1032" t="s">
        <v>55</v>
      </c>
      <c r="C1032" t="s">
        <v>56</v>
      </c>
      <c r="D1032">
        <v>4</v>
      </c>
      <c r="E1032" t="s">
        <v>57</v>
      </c>
      <c r="F1032">
        <v>30</v>
      </c>
      <c r="G1032">
        <v>163.5</v>
      </c>
      <c r="H1032">
        <v>88.34</v>
      </c>
      <c r="I1032">
        <v>93.59</v>
      </c>
      <c r="J1032">
        <v>71.28</v>
      </c>
      <c r="K1032" t="s">
        <v>63</v>
      </c>
      <c r="L1032">
        <v>7.7</v>
      </c>
      <c r="N1032" t="s">
        <v>35</v>
      </c>
      <c r="O1032">
        <v>5</v>
      </c>
      <c r="P1032" t="s">
        <v>23</v>
      </c>
      <c r="Q1032">
        <v>69.900000000000006</v>
      </c>
    </row>
    <row r="1033" spans="1:17" x14ac:dyDescent="0.35">
      <c r="A1033" s="1">
        <v>45820</v>
      </c>
      <c r="B1033" t="s">
        <v>53</v>
      </c>
      <c r="C1033" t="s">
        <v>41</v>
      </c>
      <c r="D1033" t="s">
        <v>54</v>
      </c>
      <c r="E1033" t="s">
        <v>27</v>
      </c>
      <c r="F1033">
        <v>254.48</v>
      </c>
      <c r="G1033">
        <v>27</v>
      </c>
      <c r="H1033">
        <v>96.85</v>
      </c>
      <c r="I1033">
        <v>98.41</v>
      </c>
      <c r="J1033">
        <v>79.739999999999995</v>
      </c>
      <c r="K1033" t="s">
        <v>47</v>
      </c>
      <c r="L1033">
        <v>7.7</v>
      </c>
      <c r="M1033">
        <v>2.6</v>
      </c>
      <c r="N1033" t="s">
        <v>29</v>
      </c>
      <c r="O1033">
        <v>10</v>
      </c>
      <c r="P1033" t="s">
        <v>43</v>
      </c>
      <c r="Q1033">
        <v>60.8</v>
      </c>
    </row>
    <row r="1034" spans="1:17" x14ac:dyDescent="0.35">
      <c r="A1034" s="1">
        <v>45820</v>
      </c>
      <c r="B1034" t="s">
        <v>82</v>
      </c>
      <c r="C1034" t="s">
        <v>72</v>
      </c>
      <c r="D1034" t="s">
        <v>83</v>
      </c>
      <c r="E1034" t="s">
        <v>20</v>
      </c>
      <c r="F1034">
        <v>289.94</v>
      </c>
      <c r="G1034">
        <v>177.7</v>
      </c>
      <c r="H1034">
        <v>89.91</v>
      </c>
      <c r="I1034">
        <v>96.66</v>
      </c>
      <c r="J1034">
        <v>77</v>
      </c>
      <c r="K1034" t="s">
        <v>58</v>
      </c>
      <c r="L1034">
        <v>7.6</v>
      </c>
      <c r="N1034" t="s">
        <v>22</v>
      </c>
      <c r="O1034">
        <v>7</v>
      </c>
      <c r="P1034" t="s">
        <v>23</v>
      </c>
      <c r="Q1034">
        <v>71.900000000000006</v>
      </c>
    </row>
    <row r="1035" spans="1:17" x14ac:dyDescent="0.35">
      <c r="A1035" s="1">
        <v>45820</v>
      </c>
      <c r="B1035" t="s">
        <v>48</v>
      </c>
      <c r="C1035" t="s">
        <v>49</v>
      </c>
      <c r="D1035" t="s">
        <v>50</v>
      </c>
      <c r="E1035" t="s">
        <v>33</v>
      </c>
      <c r="F1035">
        <v>464.38</v>
      </c>
      <c r="G1035">
        <v>182.1</v>
      </c>
      <c r="H1035">
        <v>94.97</v>
      </c>
      <c r="I1035">
        <v>93.74</v>
      </c>
      <c r="J1035">
        <v>70.25</v>
      </c>
      <c r="K1035" t="s">
        <v>34</v>
      </c>
      <c r="L1035">
        <v>8.5</v>
      </c>
      <c r="M1035">
        <v>4.7</v>
      </c>
      <c r="N1035" t="s">
        <v>22</v>
      </c>
      <c r="O1035">
        <v>10</v>
      </c>
      <c r="P1035" t="s">
        <v>23</v>
      </c>
      <c r="Q1035">
        <v>60.9</v>
      </c>
    </row>
    <row r="1036" spans="1:17" x14ac:dyDescent="0.35">
      <c r="A1036" s="1">
        <v>45820</v>
      </c>
      <c r="B1036" t="s">
        <v>84</v>
      </c>
      <c r="C1036" t="s">
        <v>18</v>
      </c>
      <c r="D1036" t="s">
        <v>85</v>
      </c>
      <c r="E1036" t="s">
        <v>33</v>
      </c>
      <c r="F1036">
        <v>95.42</v>
      </c>
      <c r="G1036">
        <v>218.1</v>
      </c>
      <c r="H1036">
        <v>96.32</v>
      </c>
      <c r="I1036">
        <v>96.46</v>
      </c>
      <c r="J1036">
        <v>73.33</v>
      </c>
      <c r="K1036" t="s">
        <v>28</v>
      </c>
      <c r="L1036">
        <v>6.4</v>
      </c>
      <c r="M1036">
        <v>2.2000000000000002</v>
      </c>
      <c r="N1036" t="s">
        <v>35</v>
      </c>
      <c r="O1036">
        <v>9</v>
      </c>
      <c r="P1036" t="s">
        <v>23</v>
      </c>
      <c r="Q1036">
        <v>60.2</v>
      </c>
    </row>
    <row r="1037" spans="1:17" x14ac:dyDescent="0.35">
      <c r="A1037" s="1">
        <v>45820</v>
      </c>
      <c r="B1037" t="s">
        <v>40</v>
      </c>
      <c r="C1037" t="s">
        <v>41</v>
      </c>
      <c r="D1037" t="s">
        <v>42</v>
      </c>
      <c r="E1037" t="s">
        <v>27</v>
      </c>
      <c r="F1037">
        <v>226.89</v>
      </c>
      <c r="G1037">
        <v>20.8</v>
      </c>
      <c r="H1037">
        <v>97.1</v>
      </c>
      <c r="I1037">
        <v>97</v>
      </c>
      <c r="J1037">
        <v>81.17</v>
      </c>
      <c r="K1037" t="s">
        <v>34</v>
      </c>
      <c r="L1037">
        <v>7.3</v>
      </c>
      <c r="M1037">
        <v>3.6</v>
      </c>
      <c r="N1037" t="s">
        <v>39</v>
      </c>
      <c r="O1037">
        <v>8</v>
      </c>
      <c r="P1037" t="s">
        <v>43</v>
      </c>
      <c r="Q1037">
        <v>59.4</v>
      </c>
    </row>
    <row r="1038" spans="1:17" x14ac:dyDescent="0.35">
      <c r="A1038" s="1">
        <v>45820</v>
      </c>
      <c r="B1038" t="s">
        <v>78</v>
      </c>
      <c r="C1038" t="s">
        <v>41</v>
      </c>
      <c r="D1038" t="s">
        <v>79</v>
      </c>
      <c r="E1038" t="s">
        <v>27</v>
      </c>
      <c r="F1038">
        <v>624.25</v>
      </c>
      <c r="G1038">
        <v>23.1</v>
      </c>
      <c r="H1038">
        <v>96.97</v>
      </c>
      <c r="I1038">
        <v>97.96</v>
      </c>
      <c r="J1038">
        <v>78.72</v>
      </c>
      <c r="K1038" t="s">
        <v>34</v>
      </c>
      <c r="L1038">
        <v>8.8000000000000007</v>
      </c>
      <c r="M1038">
        <v>4.7</v>
      </c>
      <c r="N1038" t="s">
        <v>29</v>
      </c>
      <c r="O1038">
        <v>13</v>
      </c>
      <c r="P1038" t="s">
        <v>43</v>
      </c>
      <c r="Q1038">
        <v>60.9</v>
      </c>
    </row>
    <row r="1039" spans="1:17" x14ac:dyDescent="0.35">
      <c r="A1039" s="1">
        <v>45820</v>
      </c>
      <c r="B1039" t="s">
        <v>48</v>
      </c>
      <c r="C1039" t="s">
        <v>49</v>
      </c>
      <c r="D1039" t="s">
        <v>50</v>
      </c>
      <c r="E1039" t="s">
        <v>33</v>
      </c>
      <c r="F1039">
        <v>480.68</v>
      </c>
      <c r="G1039">
        <v>92.3</v>
      </c>
      <c r="H1039">
        <v>93.28</v>
      </c>
      <c r="I1039">
        <v>94.43</v>
      </c>
      <c r="J1039">
        <v>71.739999999999995</v>
      </c>
      <c r="K1039" t="s">
        <v>34</v>
      </c>
      <c r="L1039">
        <v>9</v>
      </c>
      <c r="M1039">
        <v>1.5</v>
      </c>
      <c r="N1039" t="s">
        <v>35</v>
      </c>
      <c r="O1039">
        <v>6</v>
      </c>
      <c r="P1039" t="s">
        <v>43</v>
      </c>
      <c r="Q1039">
        <v>62.4</v>
      </c>
    </row>
    <row r="1040" spans="1:17" x14ac:dyDescent="0.35">
      <c r="A1040" s="1">
        <v>45820</v>
      </c>
      <c r="B1040" t="s">
        <v>59</v>
      </c>
      <c r="C1040" t="s">
        <v>60</v>
      </c>
      <c r="D1040" t="s">
        <v>61</v>
      </c>
      <c r="E1040" t="s">
        <v>62</v>
      </c>
      <c r="F1040">
        <v>342.17</v>
      </c>
      <c r="G1040">
        <v>171.4</v>
      </c>
      <c r="H1040">
        <v>88.45</v>
      </c>
      <c r="I1040">
        <v>94.55</v>
      </c>
      <c r="J1040">
        <v>86.78</v>
      </c>
      <c r="K1040" t="s">
        <v>63</v>
      </c>
      <c r="L1040">
        <v>7.8</v>
      </c>
      <c r="N1040" t="s">
        <v>35</v>
      </c>
      <c r="O1040">
        <v>4</v>
      </c>
      <c r="P1040" t="s">
        <v>43</v>
      </c>
      <c r="Q1040">
        <v>73.599999999999994</v>
      </c>
    </row>
    <row r="1041" spans="1:17" x14ac:dyDescent="0.35">
      <c r="A1041" s="1">
        <v>45820</v>
      </c>
      <c r="B1041" t="s">
        <v>31</v>
      </c>
      <c r="C1041" t="s">
        <v>18</v>
      </c>
      <c r="D1041" t="s">
        <v>32</v>
      </c>
      <c r="E1041" t="s">
        <v>27</v>
      </c>
      <c r="F1041">
        <v>257.81</v>
      </c>
      <c r="G1041">
        <v>60.6</v>
      </c>
      <c r="H1041">
        <v>92.44</v>
      </c>
      <c r="I1041">
        <v>96.96</v>
      </c>
      <c r="J1041">
        <v>79.790000000000006</v>
      </c>
      <c r="K1041" t="s">
        <v>34</v>
      </c>
      <c r="L1041">
        <v>7.8</v>
      </c>
      <c r="M1041">
        <v>4.7</v>
      </c>
      <c r="N1041" t="s">
        <v>39</v>
      </c>
      <c r="O1041">
        <v>14</v>
      </c>
      <c r="P1041" t="s">
        <v>23</v>
      </c>
      <c r="Q1041">
        <v>59.3</v>
      </c>
    </row>
    <row r="1042" spans="1:17" x14ac:dyDescent="0.35">
      <c r="A1042" s="1">
        <v>45820</v>
      </c>
      <c r="B1042" t="s">
        <v>40</v>
      </c>
      <c r="C1042" t="s">
        <v>41</v>
      </c>
      <c r="D1042" t="s">
        <v>42</v>
      </c>
      <c r="E1042" t="s">
        <v>27</v>
      </c>
      <c r="F1042">
        <v>266.88</v>
      </c>
      <c r="G1042">
        <v>46.9</v>
      </c>
      <c r="H1042">
        <v>96.35</v>
      </c>
      <c r="I1042">
        <v>96.23</v>
      </c>
      <c r="J1042">
        <v>81.92</v>
      </c>
      <c r="K1042" t="s">
        <v>47</v>
      </c>
      <c r="L1042">
        <v>8.4</v>
      </c>
      <c r="M1042">
        <v>4.2</v>
      </c>
      <c r="N1042" t="s">
        <v>39</v>
      </c>
      <c r="O1042">
        <v>13</v>
      </c>
      <c r="P1042" t="s">
        <v>43</v>
      </c>
      <c r="Q1042">
        <v>61.2</v>
      </c>
    </row>
    <row r="1043" spans="1:17" x14ac:dyDescent="0.35">
      <c r="A1043" s="1">
        <v>45820</v>
      </c>
      <c r="B1043" t="s">
        <v>48</v>
      </c>
      <c r="C1043" t="s">
        <v>49</v>
      </c>
      <c r="D1043" t="s">
        <v>50</v>
      </c>
      <c r="E1043" t="s">
        <v>33</v>
      </c>
      <c r="F1043">
        <v>336.26</v>
      </c>
      <c r="G1043">
        <v>99.5</v>
      </c>
      <c r="H1043">
        <v>92.83</v>
      </c>
      <c r="I1043">
        <v>95.78</v>
      </c>
      <c r="J1043">
        <v>72.91</v>
      </c>
      <c r="K1043" t="s">
        <v>47</v>
      </c>
      <c r="L1043">
        <v>7.3</v>
      </c>
      <c r="M1043">
        <v>4.3</v>
      </c>
      <c r="N1043" t="s">
        <v>35</v>
      </c>
      <c r="O1043">
        <v>10</v>
      </c>
      <c r="P1043" t="s">
        <v>43</v>
      </c>
      <c r="Q1043">
        <v>58.2</v>
      </c>
    </row>
    <row r="1044" spans="1:17" x14ac:dyDescent="0.35">
      <c r="A1044" s="1">
        <v>45820</v>
      </c>
      <c r="B1044" t="s">
        <v>74</v>
      </c>
      <c r="C1044" t="s">
        <v>67</v>
      </c>
      <c r="D1044" t="s">
        <v>75</v>
      </c>
      <c r="E1044" t="s">
        <v>27</v>
      </c>
      <c r="F1044">
        <v>261.77999999999997</v>
      </c>
      <c r="G1044">
        <v>18.5</v>
      </c>
      <c r="H1044">
        <v>92.07</v>
      </c>
      <c r="I1044">
        <v>96.65</v>
      </c>
      <c r="J1044">
        <v>84.42</v>
      </c>
      <c r="K1044" t="s">
        <v>34</v>
      </c>
      <c r="L1044">
        <v>7.3</v>
      </c>
      <c r="M1044">
        <v>4.4000000000000004</v>
      </c>
      <c r="N1044" t="s">
        <v>39</v>
      </c>
      <c r="O1044">
        <v>8</v>
      </c>
      <c r="P1044" t="s">
        <v>43</v>
      </c>
      <c r="Q1044">
        <v>58.5</v>
      </c>
    </row>
    <row r="1045" spans="1:17" x14ac:dyDescent="0.35">
      <c r="A1045" s="1">
        <v>45820</v>
      </c>
      <c r="B1045" t="s">
        <v>80</v>
      </c>
      <c r="C1045" t="s">
        <v>45</v>
      </c>
      <c r="D1045" t="s">
        <v>81</v>
      </c>
      <c r="E1045" t="s">
        <v>27</v>
      </c>
      <c r="F1045">
        <v>879.72</v>
      </c>
      <c r="G1045">
        <v>579.1</v>
      </c>
      <c r="H1045">
        <v>97.66</v>
      </c>
      <c r="I1045">
        <v>98.31</v>
      </c>
      <c r="J1045">
        <v>80.48</v>
      </c>
      <c r="K1045" t="s">
        <v>34</v>
      </c>
      <c r="L1045">
        <v>8.6999999999999993</v>
      </c>
      <c r="M1045">
        <v>3.9</v>
      </c>
      <c r="N1045" t="s">
        <v>29</v>
      </c>
      <c r="O1045">
        <v>10</v>
      </c>
      <c r="P1045" t="s">
        <v>23</v>
      </c>
      <c r="Q1045">
        <v>64.599999999999994</v>
      </c>
    </row>
    <row r="1046" spans="1:17" x14ac:dyDescent="0.35">
      <c r="A1046" s="1">
        <v>45820</v>
      </c>
      <c r="B1046" t="s">
        <v>17</v>
      </c>
      <c r="C1046" t="s">
        <v>18</v>
      </c>
      <c r="D1046" t="s">
        <v>19</v>
      </c>
      <c r="E1046" t="s">
        <v>20</v>
      </c>
      <c r="F1046">
        <v>259.51</v>
      </c>
      <c r="G1046">
        <v>212.4</v>
      </c>
      <c r="H1046">
        <v>92.25</v>
      </c>
      <c r="I1046">
        <v>94.63</v>
      </c>
      <c r="J1046">
        <v>76.72</v>
      </c>
      <c r="K1046" t="s">
        <v>58</v>
      </c>
      <c r="L1046">
        <v>8.1999999999999993</v>
      </c>
      <c r="N1046" t="s">
        <v>35</v>
      </c>
      <c r="O1046">
        <v>9</v>
      </c>
      <c r="P1046" t="s">
        <v>23</v>
      </c>
      <c r="Q1046">
        <v>73.099999999999994</v>
      </c>
    </row>
    <row r="1047" spans="1:17" x14ac:dyDescent="0.35">
      <c r="A1047" s="1">
        <v>45820</v>
      </c>
      <c r="B1047" t="s">
        <v>55</v>
      </c>
      <c r="C1047" t="s">
        <v>56</v>
      </c>
      <c r="D1047">
        <v>4</v>
      </c>
      <c r="E1047" t="s">
        <v>57</v>
      </c>
      <c r="F1047">
        <v>30</v>
      </c>
      <c r="G1047">
        <v>161.4</v>
      </c>
      <c r="H1047">
        <v>86.52</v>
      </c>
      <c r="I1047">
        <v>94.89</v>
      </c>
      <c r="J1047">
        <v>74.63</v>
      </c>
      <c r="K1047" t="s">
        <v>58</v>
      </c>
      <c r="L1047">
        <v>7.5</v>
      </c>
      <c r="N1047" t="s">
        <v>35</v>
      </c>
      <c r="O1047">
        <v>3</v>
      </c>
      <c r="P1047" t="s">
        <v>43</v>
      </c>
      <c r="Q1047">
        <v>70.099999999999994</v>
      </c>
    </row>
    <row r="1048" spans="1:17" x14ac:dyDescent="0.35">
      <c r="A1048" s="1">
        <v>45820</v>
      </c>
      <c r="B1048" t="s">
        <v>86</v>
      </c>
      <c r="C1048" t="s">
        <v>25</v>
      </c>
      <c r="D1048" t="s">
        <v>87</v>
      </c>
      <c r="E1048" t="s">
        <v>27</v>
      </c>
      <c r="F1048">
        <v>230.14</v>
      </c>
      <c r="G1048">
        <v>22.3</v>
      </c>
      <c r="H1048">
        <v>97.75</v>
      </c>
      <c r="I1048">
        <v>98.05</v>
      </c>
      <c r="J1048">
        <v>81.67</v>
      </c>
      <c r="K1048" t="s">
        <v>28</v>
      </c>
      <c r="L1048">
        <v>7.1</v>
      </c>
      <c r="M1048">
        <v>4.4000000000000004</v>
      </c>
      <c r="N1048" t="s">
        <v>29</v>
      </c>
      <c r="O1048">
        <v>14</v>
      </c>
      <c r="P1048" t="s">
        <v>30</v>
      </c>
      <c r="Q1048">
        <v>58.9</v>
      </c>
    </row>
    <row r="1049" spans="1:17" x14ac:dyDescent="0.35">
      <c r="A1049" s="1">
        <v>45820</v>
      </c>
      <c r="B1049" t="s">
        <v>74</v>
      </c>
      <c r="C1049" t="s">
        <v>67</v>
      </c>
      <c r="D1049" t="s">
        <v>75</v>
      </c>
      <c r="E1049" t="s">
        <v>27</v>
      </c>
      <c r="F1049">
        <v>676.87</v>
      </c>
      <c r="G1049">
        <v>47.5</v>
      </c>
      <c r="H1049">
        <v>96.15</v>
      </c>
      <c r="I1049">
        <v>93.35</v>
      </c>
      <c r="J1049">
        <v>75.62</v>
      </c>
      <c r="K1049" t="s">
        <v>47</v>
      </c>
      <c r="L1049">
        <v>9.3000000000000007</v>
      </c>
      <c r="M1049">
        <v>3.2</v>
      </c>
      <c r="N1049" t="s">
        <v>29</v>
      </c>
      <c r="O1049">
        <v>9</v>
      </c>
      <c r="P1049" t="s">
        <v>23</v>
      </c>
      <c r="Q1049">
        <v>61.8</v>
      </c>
    </row>
    <row r="1050" spans="1:17" x14ac:dyDescent="0.35">
      <c r="A1050" s="1">
        <v>45820</v>
      </c>
      <c r="B1050" t="s">
        <v>55</v>
      </c>
      <c r="C1050" t="s">
        <v>56</v>
      </c>
      <c r="D1050">
        <v>4</v>
      </c>
      <c r="E1050" t="s">
        <v>57</v>
      </c>
      <c r="F1050">
        <v>30</v>
      </c>
      <c r="G1050">
        <v>137.4</v>
      </c>
      <c r="H1050">
        <v>85.88</v>
      </c>
      <c r="I1050">
        <v>96.34</v>
      </c>
      <c r="J1050">
        <v>76.48</v>
      </c>
      <c r="K1050" t="s">
        <v>63</v>
      </c>
      <c r="L1050">
        <v>6</v>
      </c>
      <c r="N1050" t="s">
        <v>35</v>
      </c>
      <c r="O1050">
        <v>3</v>
      </c>
      <c r="P1050" t="s">
        <v>23</v>
      </c>
      <c r="Q1050">
        <v>67</v>
      </c>
    </row>
    <row r="1051" spans="1:17" x14ac:dyDescent="0.35">
      <c r="A1051" s="1">
        <v>45820</v>
      </c>
      <c r="B1051" t="s">
        <v>55</v>
      </c>
      <c r="C1051" t="s">
        <v>56</v>
      </c>
      <c r="D1051">
        <v>4</v>
      </c>
      <c r="E1051" t="s">
        <v>57</v>
      </c>
      <c r="F1051">
        <v>30</v>
      </c>
      <c r="G1051">
        <v>134.19999999999999</v>
      </c>
      <c r="H1051">
        <v>85.89</v>
      </c>
      <c r="I1051">
        <v>95.98</v>
      </c>
      <c r="J1051">
        <v>79.75</v>
      </c>
      <c r="K1051" t="s">
        <v>63</v>
      </c>
      <c r="L1051">
        <v>7.8</v>
      </c>
      <c r="N1051" t="s">
        <v>35</v>
      </c>
      <c r="O1051">
        <v>2</v>
      </c>
      <c r="P1051" t="s">
        <v>43</v>
      </c>
      <c r="Q1051">
        <v>71.099999999999994</v>
      </c>
    </row>
    <row r="1052" spans="1:17" x14ac:dyDescent="0.35">
      <c r="A1052" s="1">
        <v>45820</v>
      </c>
      <c r="B1052" t="s">
        <v>59</v>
      </c>
      <c r="C1052" t="s">
        <v>60</v>
      </c>
      <c r="D1052" t="s">
        <v>61</v>
      </c>
      <c r="E1052" t="s">
        <v>62</v>
      </c>
      <c r="F1052">
        <v>381.97</v>
      </c>
      <c r="G1052">
        <v>185.8</v>
      </c>
      <c r="H1052">
        <v>86.48</v>
      </c>
      <c r="I1052">
        <v>95.19</v>
      </c>
      <c r="J1052">
        <v>90.25</v>
      </c>
      <c r="K1052" t="s">
        <v>34</v>
      </c>
      <c r="L1052">
        <v>7.9</v>
      </c>
      <c r="N1052" t="s">
        <v>35</v>
      </c>
      <c r="O1052">
        <v>4</v>
      </c>
      <c r="P1052" t="s">
        <v>43</v>
      </c>
      <c r="Q1052">
        <v>74.2</v>
      </c>
    </row>
    <row r="1053" spans="1:17" x14ac:dyDescent="0.35">
      <c r="A1053" s="1">
        <v>45820</v>
      </c>
      <c r="B1053" t="s">
        <v>59</v>
      </c>
      <c r="C1053" t="s">
        <v>60</v>
      </c>
      <c r="D1053" t="s">
        <v>61</v>
      </c>
      <c r="E1053" t="s">
        <v>62</v>
      </c>
      <c r="F1053">
        <v>350.69</v>
      </c>
      <c r="G1053">
        <v>171.3</v>
      </c>
      <c r="H1053">
        <v>88.79</v>
      </c>
      <c r="I1053">
        <v>96.2</v>
      </c>
      <c r="J1053">
        <v>91.04</v>
      </c>
      <c r="K1053" t="s">
        <v>34</v>
      </c>
      <c r="L1053">
        <v>8</v>
      </c>
      <c r="N1053" t="s">
        <v>35</v>
      </c>
      <c r="O1053">
        <v>4</v>
      </c>
      <c r="P1053" t="s">
        <v>23</v>
      </c>
      <c r="Q1053">
        <v>75.2</v>
      </c>
    </row>
    <row r="1054" spans="1:17" x14ac:dyDescent="0.35">
      <c r="A1054" s="1">
        <v>45820</v>
      </c>
      <c r="B1054" t="s">
        <v>78</v>
      </c>
      <c r="C1054" t="s">
        <v>41</v>
      </c>
      <c r="D1054" t="s">
        <v>79</v>
      </c>
      <c r="E1054" t="s">
        <v>27</v>
      </c>
      <c r="F1054">
        <v>251.83</v>
      </c>
      <c r="G1054">
        <v>42.3</v>
      </c>
      <c r="H1054">
        <v>93.88</v>
      </c>
      <c r="I1054">
        <v>96.3</v>
      </c>
      <c r="J1054">
        <v>78.58</v>
      </c>
      <c r="K1054" t="s">
        <v>47</v>
      </c>
      <c r="L1054">
        <v>7.7</v>
      </c>
      <c r="M1054">
        <v>3.1</v>
      </c>
      <c r="N1054" t="s">
        <v>39</v>
      </c>
      <c r="O1054">
        <v>9</v>
      </c>
      <c r="P1054" t="s">
        <v>43</v>
      </c>
      <c r="Q1054">
        <v>59.7</v>
      </c>
    </row>
    <row r="1055" spans="1:17" x14ac:dyDescent="0.35">
      <c r="A1055" s="1">
        <v>45820</v>
      </c>
      <c r="B1055" t="s">
        <v>78</v>
      </c>
      <c r="C1055" t="s">
        <v>41</v>
      </c>
      <c r="D1055" t="s">
        <v>79</v>
      </c>
      <c r="E1055" t="s">
        <v>27</v>
      </c>
      <c r="F1055">
        <v>463.91</v>
      </c>
      <c r="G1055">
        <v>30.9</v>
      </c>
      <c r="H1055">
        <v>94.95</v>
      </c>
      <c r="I1055">
        <v>96.15</v>
      </c>
      <c r="J1055">
        <v>84.97</v>
      </c>
      <c r="K1055" t="s">
        <v>28</v>
      </c>
      <c r="L1055">
        <v>8.4</v>
      </c>
      <c r="M1055">
        <v>1.7</v>
      </c>
      <c r="N1055" t="s">
        <v>29</v>
      </c>
      <c r="O1055">
        <v>14</v>
      </c>
      <c r="P1055" t="s">
        <v>43</v>
      </c>
      <c r="Q1055">
        <v>62.8</v>
      </c>
    </row>
    <row r="1056" spans="1:17" x14ac:dyDescent="0.35">
      <c r="A1056" s="1">
        <v>45820</v>
      </c>
      <c r="B1056" t="s">
        <v>40</v>
      </c>
      <c r="C1056" t="s">
        <v>41</v>
      </c>
      <c r="D1056" t="s">
        <v>42</v>
      </c>
      <c r="E1056" t="s">
        <v>27</v>
      </c>
      <c r="F1056">
        <v>318.68</v>
      </c>
      <c r="G1056">
        <v>31.2</v>
      </c>
      <c r="H1056">
        <v>94.24</v>
      </c>
      <c r="I1056">
        <v>96.56</v>
      </c>
      <c r="J1056">
        <v>81.040000000000006</v>
      </c>
      <c r="K1056" t="s">
        <v>47</v>
      </c>
      <c r="L1056">
        <v>7.9</v>
      </c>
      <c r="M1056">
        <v>1.5</v>
      </c>
      <c r="N1056" t="s">
        <v>39</v>
      </c>
      <c r="O1056">
        <v>10</v>
      </c>
      <c r="P1056" t="s">
        <v>43</v>
      </c>
      <c r="Q1056">
        <v>61.4</v>
      </c>
    </row>
    <row r="1057" spans="1:17" x14ac:dyDescent="0.35">
      <c r="A1057" s="1">
        <v>45820</v>
      </c>
      <c r="B1057" t="s">
        <v>31</v>
      </c>
      <c r="C1057" t="s">
        <v>18</v>
      </c>
      <c r="D1057" t="s">
        <v>32</v>
      </c>
      <c r="E1057" t="s">
        <v>27</v>
      </c>
      <c r="F1057">
        <v>112.87</v>
      </c>
      <c r="G1057">
        <v>28.7</v>
      </c>
      <c r="H1057">
        <v>94.92</v>
      </c>
      <c r="I1057">
        <v>95.16</v>
      </c>
      <c r="J1057">
        <v>80.86</v>
      </c>
      <c r="K1057" t="s">
        <v>47</v>
      </c>
      <c r="L1057">
        <v>7.7</v>
      </c>
      <c r="M1057">
        <v>2.8</v>
      </c>
      <c r="N1057" t="s">
        <v>39</v>
      </c>
      <c r="O1057">
        <v>12</v>
      </c>
      <c r="P1057" t="s">
        <v>23</v>
      </c>
      <c r="Q1057">
        <v>60</v>
      </c>
    </row>
    <row r="1058" spans="1:17" x14ac:dyDescent="0.35">
      <c r="A1058" s="1">
        <v>45820</v>
      </c>
      <c r="B1058" t="s">
        <v>48</v>
      </c>
      <c r="C1058" t="s">
        <v>49</v>
      </c>
      <c r="D1058" t="s">
        <v>50</v>
      </c>
      <c r="E1058" t="s">
        <v>27</v>
      </c>
      <c r="F1058">
        <v>207.11</v>
      </c>
      <c r="G1058">
        <v>44.1</v>
      </c>
      <c r="H1058">
        <v>94.64</v>
      </c>
      <c r="I1058">
        <v>93.84</v>
      </c>
      <c r="J1058">
        <v>83.17</v>
      </c>
      <c r="K1058" t="s">
        <v>34</v>
      </c>
      <c r="L1058">
        <v>8.1</v>
      </c>
      <c r="M1058">
        <v>4.5999999999999996</v>
      </c>
      <c r="N1058" t="s">
        <v>29</v>
      </c>
      <c r="O1058">
        <v>10</v>
      </c>
      <c r="P1058" t="s">
        <v>43</v>
      </c>
      <c r="Q1058">
        <v>59.9</v>
      </c>
    </row>
    <row r="1059" spans="1:17" x14ac:dyDescent="0.35">
      <c r="A1059" s="1">
        <v>45820</v>
      </c>
      <c r="B1059" t="s">
        <v>53</v>
      </c>
      <c r="C1059" t="s">
        <v>41</v>
      </c>
      <c r="D1059" t="s">
        <v>54</v>
      </c>
      <c r="E1059" t="s">
        <v>27</v>
      </c>
      <c r="F1059">
        <v>631.84</v>
      </c>
      <c r="G1059">
        <v>30.7</v>
      </c>
      <c r="H1059">
        <v>96.21</v>
      </c>
      <c r="I1059">
        <v>96.99</v>
      </c>
      <c r="J1059">
        <v>78.180000000000007</v>
      </c>
      <c r="K1059" t="s">
        <v>34</v>
      </c>
      <c r="L1059">
        <v>8.6</v>
      </c>
      <c r="M1059">
        <v>3</v>
      </c>
      <c r="N1059" t="s">
        <v>29</v>
      </c>
      <c r="O1059">
        <v>10</v>
      </c>
      <c r="P1059" t="s">
        <v>43</v>
      </c>
      <c r="Q1059">
        <v>61.5</v>
      </c>
    </row>
    <row r="1060" spans="1:17" x14ac:dyDescent="0.35">
      <c r="A1060" s="1">
        <v>45820</v>
      </c>
      <c r="B1060" t="s">
        <v>36</v>
      </c>
      <c r="C1060" t="s">
        <v>37</v>
      </c>
      <c r="D1060" t="s">
        <v>38</v>
      </c>
      <c r="E1060" t="s">
        <v>27</v>
      </c>
      <c r="F1060">
        <v>286.02</v>
      </c>
      <c r="G1060">
        <v>30.8</v>
      </c>
      <c r="H1060">
        <v>94.47</v>
      </c>
      <c r="I1060">
        <v>96.53</v>
      </c>
      <c r="J1060">
        <v>75.33</v>
      </c>
      <c r="K1060" t="s">
        <v>47</v>
      </c>
      <c r="L1060">
        <v>7.3</v>
      </c>
      <c r="M1060">
        <v>2.4</v>
      </c>
      <c r="N1060" t="s">
        <v>29</v>
      </c>
      <c r="O1060">
        <v>14</v>
      </c>
      <c r="P1060" t="s">
        <v>23</v>
      </c>
      <c r="Q1060">
        <v>58.9</v>
      </c>
    </row>
    <row r="1061" spans="1:17" x14ac:dyDescent="0.35">
      <c r="A1061" s="1">
        <v>45820</v>
      </c>
      <c r="B1061" t="s">
        <v>44</v>
      </c>
      <c r="C1061" t="s">
        <v>45</v>
      </c>
      <c r="D1061" t="s">
        <v>46</v>
      </c>
      <c r="E1061" t="s">
        <v>33</v>
      </c>
      <c r="F1061">
        <v>766.93</v>
      </c>
      <c r="G1061">
        <v>510.6</v>
      </c>
      <c r="H1061">
        <v>92.37</v>
      </c>
      <c r="I1061">
        <v>98.71</v>
      </c>
      <c r="J1061">
        <v>71.69</v>
      </c>
      <c r="K1061" t="s">
        <v>47</v>
      </c>
      <c r="L1061">
        <v>9</v>
      </c>
      <c r="M1061">
        <v>2.5</v>
      </c>
      <c r="N1061" t="s">
        <v>22</v>
      </c>
      <c r="O1061">
        <v>5</v>
      </c>
      <c r="P1061" t="s">
        <v>23</v>
      </c>
      <c r="Q1061">
        <v>63.8</v>
      </c>
    </row>
    <row r="1062" spans="1:17" x14ac:dyDescent="0.35">
      <c r="A1062" s="1">
        <v>45820</v>
      </c>
      <c r="B1062" t="s">
        <v>48</v>
      </c>
      <c r="C1062" t="s">
        <v>49</v>
      </c>
      <c r="D1062" t="s">
        <v>50</v>
      </c>
      <c r="E1062" t="s">
        <v>27</v>
      </c>
      <c r="F1062">
        <v>280.63</v>
      </c>
      <c r="G1062">
        <v>20.5</v>
      </c>
      <c r="H1062">
        <v>94.81</v>
      </c>
      <c r="I1062">
        <v>96.43</v>
      </c>
      <c r="J1062">
        <v>76.650000000000006</v>
      </c>
      <c r="K1062" t="s">
        <v>28</v>
      </c>
      <c r="L1062">
        <v>7.5</v>
      </c>
      <c r="M1062">
        <v>3.7</v>
      </c>
      <c r="N1062" t="s">
        <v>29</v>
      </c>
      <c r="O1062">
        <v>11</v>
      </c>
      <c r="P1062" t="s">
        <v>23</v>
      </c>
      <c r="Q1062">
        <v>58.4</v>
      </c>
    </row>
    <row r="1063" spans="1:17" x14ac:dyDescent="0.35">
      <c r="A1063" s="1">
        <v>45820</v>
      </c>
      <c r="B1063" t="s">
        <v>53</v>
      </c>
      <c r="C1063" t="s">
        <v>41</v>
      </c>
      <c r="D1063" t="s">
        <v>54</v>
      </c>
      <c r="E1063" t="s">
        <v>27</v>
      </c>
      <c r="F1063">
        <v>269.62</v>
      </c>
      <c r="G1063">
        <v>40.4</v>
      </c>
      <c r="H1063">
        <v>96.18</v>
      </c>
      <c r="I1063">
        <v>97.38</v>
      </c>
      <c r="J1063">
        <v>79.39</v>
      </c>
      <c r="K1063" t="s">
        <v>28</v>
      </c>
      <c r="L1063">
        <v>7.1</v>
      </c>
      <c r="M1063">
        <v>1.8</v>
      </c>
      <c r="N1063" t="s">
        <v>39</v>
      </c>
      <c r="O1063">
        <v>14</v>
      </c>
      <c r="P1063" t="s">
        <v>43</v>
      </c>
      <c r="Q1063">
        <v>60.3</v>
      </c>
    </row>
    <row r="1064" spans="1:17" x14ac:dyDescent="0.35">
      <c r="A1064" s="1">
        <v>45820</v>
      </c>
      <c r="B1064" t="s">
        <v>44</v>
      </c>
      <c r="C1064" t="s">
        <v>45</v>
      </c>
      <c r="D1064" t="s">
        <v>46</v>
      </c>
      <c r="E1064" t="s">
        <v>33</v>
      </c>
      <c r="F1064">
        <v>217.61</v>
      </c>
      <c r="G1064">
        <v>243.5</v>
      </c>
      <c r="H1064">
        <v>97.56</v>
      </c>
      <c r="I1064">
        <v>99.06</v>
      </c>
      <c r="J1064">
        <v>75.94</v>
      </c>
      <c r="K1064" t="s">
        <v>34</v>
      </c>
      <c r="L1064">
        <v>7.6</v>
      </c>
      <c r="M1064">
        <v>4.3</v>
      </c>
      <c r="N1064" t="s">
        <v>22</v>
      </c>
      <c r="O1064">
        <v>10</v>
      </c>
      <c r="P1064" t="s">
        <v>23</v>
      </c>
      <c r="Q1064">
        <v>61.9</v>
      </c>
    </row>
    <row r="1065" spans="1:17" x14ac:dyDescent="0.35">
      <c r="A1065" s="1">
        <v>45820</v>
      </c>
      <c r="B1065" t="s">
        <v>31</v>
      </c>
      <c r="C1065" t="s">
        <v>18</v>
      </c>
      <c r="D1065" t="s">
        <v>32</v>
      </c>
      <c r="E1065" t="s">
        <v>27</v>
      </c>
      <c r="F1065">
        <v>127.43</v>
      </c>
      <c r="G1065">
        <v>61</v>
      </c>
      <c r="H1065">
        <v>96.11</v>
      </c>
      <c r="I1065">
        <v>96.87</v>
      </c>
      <c r="J1065">
        <v>79.739999999999995</v>
      </c>
      <c r="K1065" t="s">
        <v>47</v>
      </c>
      <c r="L1065">
        <v>6.3</v>
      </c>
      <c r="M1065">
        <v>4.7</v>
      </c>
      <c r="N1065" t="s">
        <v>29</v>
      </c>
      <c r="O1065">
        <v>13</v>
      </c>
      <c r="P1065" t="s">
        <v>23</v>
      </c>
      <c r="Q1065">
        <v>57.4</v>
      </c>
    </row>
    <row r="1066" spans="1:17" x14ac:dyDescent="0.35">
      <c r="A1066" s="1">
        <v>45820</v>
      </c>
      <c r="B1066" t="s">
        <v>55</v>
      </c>
      <c r="C1066" t="s">
        <v>56</v>
      </c>
      <c r="D1066">
        <v>4</v>
      </c>
      <c r="E1066" t="s">
        <v>57</v>
      </c>
      <c r="F1066">
        <v>30</v>
      </c>
      <c r="G1066">
        <v>164</v>
      </c>
      <c r="H1066">
        <v>85.04</v>
      </c>
      <c r="I1066">
        <v>93.89</v>
      </c>
      <c r="J1066">
        <v>75.63</v>
      </c>
      <c r="K1066" t="s">
        <v>21</v>
      </c>
      <c r="L1066">
        <v>6.8</v>
      </c>
      <c r="N1066" t="s">
        <v>35</v>
      </c>
      <c r="O1066">
        <v>4</v>
      </c>
      <c r="P1066" t="s">
        <v>23</v>
      </c>
      <c r="Q1066">
        <v>68.400000000000006</v>
      </c>
    </row>
    <row r="1067" spans="1:17" x14ac:dyDescent="0.35">
      <c r="A1067" s="1">
        <v>45820</v>
      </c>
      <c r="B1067" t="s">
        <v>17</v>
      </c>
      <c r="C1067" t="s">
        <v>18</v>
      </c>
      <c r="D1067" t="s">
        <v>19</v>
      </c>
      <c r="E1067" t="s">
        <v>20</v>
      </c>
      <c r="F1067">
        <v>131.85</v>
      </c>
      <c r="G1067">
        <v>210.4</v>
      </c>
      <c r="H1067">
        <v>93.19</v>
      </c>
      <c r="I1067">
        <v>96.04</v>
      </c>
      <c r="J1067">
        <v>78.67</v>
      </c>
      <c r="K1067" t="s">
        <v>58</v>
      </c>
      <c r="L1067">
        <v>7</v>
      </c>
      <c r="N1067" t="s">
        <v>35</v>
      </c>
      <c r="O1067">
        <v>7</v>
      </c>
      <c r="P1067" t="s">
        <v>23</v>
      </c>
      <c r="Q1067">
        <v>71.599999999999994</v>
      </c>
    </row>
    <row r="1068" spans="1:17" x14ac:dyDescent="0.35">
      <c r="A1068" s="1">
        <v>45820</v>
      </c>
      <c r="B1068" t="s">
        <v>59</v>
      </c>
      <c r="C1068" t="s">
        <v>60</v>
      </c>
      <c r="D1068" t="s">
        <v>61</v>
      </c>
      <c r="E1068" t="s">
        <v>62</v>
      </c>
      <c r="F1068">
        <v>315.67</v>
      </c>
      <c r="G1068">
        <v>183.5</v>
      </c>
      <c r="H1068">
        <v>88.72</v>
      </c>
      <c r="I1068">
        <v>94.09</v>
      </c>
      <c r="J1068">
        <v>89.79</v>
      </c>
      <c r="K1068" t="s">
        <v>34</v>
      </c>
      <c r="L1068">
        <v>7.4</v>
      </c>
      <c r="N1068" t="s">
        <v>35</v>
      </c>
      <c r="O1068">
        <v>4</v>
      </c>
      <c r="P1068" t="s">
        <v>43</v>
      </c>
      <c r="Q1068">
        <v>73.3</v>
      </c>
    </row>
    <row r="1069" spans="1:17" x14ac:dyDescent="0.35">
      <c r="A1069" s="1">
        <v>45820</v>
      </c>
      <c r="B1069" t="s">
        <v>59</v>
      </c>
      <c r="C1069" t="s">
        <v>60</v>
      </c>
      <c r="D1069" t="s">
        <v>61</v>
      </c>
      <c r="E1069" t="s">
        <v>62</v>
      </c>
      <c r="F1069">
        <v>448.47</v>
      </c>
      <c r="G1069">
        <v>188.7</v>
      </c>
      <c r="H1069">
        <v>91.43</v>
      </c>
      <c r="I1069">
        <v>93.81</v>
      </c>
      <c r="J1069">
        <v>87.23</v>
      </c>
      <c r="K1069" t="s">
        <v>63</v>
      </c>
      <c r="L1069">
        <v>8.5</v>
      </c>
      <c r="N1069" t="s">
        <v>35</v>
      </c>
      <c r="O1069">
        <v>3</v>
      </c>
      <c r="P1069" t="s">
        <v>43</v>
      </c>
      <c r="Q1069">
        <v>75.5</v>
      </c>
    </row>
    <row r="1070" spans="1:17" x14ac:dyDescent="0.35">
      <c r="A1070" s="1">
        <v>45820</v>
      </c>
      <c r="B1070" t="s">
        <v>93</v>
      </c>
      <c r="C1070" t="s">
        <v>37</v>
      </c>
      <c r="D1070" t="s">
        <v>94</v>
      </c>
      <c r="E1070" t="s">
        <v>27</v>
      </c>
      <c r="F1070">
        <v>488.1</v>
      </c>
      <c r="G1070">
        <v>44.6</v>
      </c>
      <c r="H1070">
        <v>96.76</v>
      </c>
      <c r="I1070">
        <v>95.52</v>
      </c>
      <c r="J1070">
        <v>84.23</v>
      </c>
      <c r="K1070" t="s">
        <v>34</v>
      </c>
      <c r="L1070">
        <v>8.8000000000000007</v>
      </c>
      <c r="M1070">
        <v>2.4</v>
      </c>
      <c r="N1070" t="s">
        <v>29</v>
      </c>
      <c r="O1070">
        <v>11</v>
      </c>
      <c r="P1070" t="s">
        <v>23</v>
      </c>
      <c r="Q1070">
        <v>63.4</v>
      </c>
    </row>
    <row r="1071" spans="1:17" x14ac:dyDescent="0.35">
      <c r="A1071" s="1">
        <v>45820</v>
      </c>
      <c r="B1071" t="s">
        <v>80</v>
      </c>
      <c r="C1071" t="s">
        <v>45</v>
      </c>
      <c r="D1071" t="s">
        <v>81</v>
      </c>
      <c r="E1071" t="s">
        <v>33</v>
      </c>
      <c r="F1071">
        <v>616.11</v>
      </c>
      <c r="G1071">
        <v>295.5</v>
      </c>
      <c r="H1071">
        <v>92.71</v>
      </c>
      <c r="I1071">
        <v>98.92</v>
      </c>
      <c r="J1071">
        <v>79.040000000000006</v>
      </c>
      <c r="K1071" t="s">
        <v>34</v>
      </c>
      <c r="L1071">
        <v>8.3000000000000007</v>
      </c>
      <c r="M1071">
        <v>3</v>
      </c>
      <c r="N1071" t="s">
        <v>35</v>
      </c>
      <c r="O1071">
        <v>6</v>
      </c>
      <c r="P1071" t="s">
        <v>23</v>
      </c>
      <c r="Q1071">
        <v>63.6</v>
      </c>
    </row>
    <row r="1072" spans="1:17" x14ac:dyDescent="0.35">
      <c r="A1072" s="1">
        <v>45820</v>
      </c>
      <c r="B1072" t="s">
        <v>24</v>
      </c>
      <c r="C1072" t="s">
        <v>25</v>
      </c>
      <c r="D1072" t="s">
        <v>26</v>
      </c>
      <c r="E1072" t="s">
        <v>27</v>
      </c>
      <c r="F1072">
        <v>843.78</v>
      </c>
      <c r="G1072">
        <v>70.7</v>
      </c>
      <c r="H1072">
        <v>92.1</v>
      </c>
      <c r="I1072">
        <v>98.11</v>
      </c>
      <c r="J1072">
        <v>83.49</v>
      </c>
      <c r="K1072" t="s">
        <v>28</v>
      </c>
      <c r="L1072">
        <v>9.1</v>
      </c>
      <c r="M1072">
        <v>3.6</v>
      </c>
      <c r="N1072" t="s">
        <v>29</v>
      </c>
      <c r="O1072">
        <v>9</v>
      </c>
      <c r="P1072" t="s">
        <v>30</v>
      </c>
      <c r="Q1072">
        <v>63.1</v>
      </c>
    </row>
    <row r="1073" spans="1:17" x14ac:dyDescent="0.35">
      <c r="A1073" s="1">
        <v>45820</v>
      </c>
      <c r="B1073" t="s">
        <v>86</v>
      </c>
      <c r="C1073" t="s">
        <v>25</v>
      </c>
      <c r="D1073" t="s">
        <v>87</v>
      </c>
      <c r="E1073" t="s">
        <v>27</v>
      </c>
      <c r="F1073">
        <v>535.99</v>
      </c>
      <c r="G1073">
        <v>51.6</v>
      </c>
      <c r="H1073">
        <v>94.99</v>
      </c>
      <c r="I1073">
        <v>97.11</v>
      </c>
      <c r="J1073">
        <v>75.52</v>
      </c>
      <c r="K1073" t="s">
        <v>34</v>
      </c>
      <c r="L1073">
        <v>8.8000000000000007</v>
      </c>
      <c r="M1073">
        <v>4.7</v>
      </c>
      <c r="N1073" t="s">
        <v>29</v>
      </c>
      <c r="O1073">
        <v>15</v>
      </c>
      <c r="P1073" t="s">
        <v>30</v>
      </c>
      <c r="Q1073">
        <v>60.5</v>
      </c>
    </row>
    <row r="1074" spans="1:17" x14ac:dyDescent="0.35">
      <c r="A1074" s="1">
        <v>45820</v>
      </c>
      <c r="B1074" t="s">
        <v>59</v>
      </c>
      <c r="C1074" t="s">
        <v>60</v>
      </c>
      <c r="D1074" t="s">
        <v>61</v>
      </c>
      <c r="E1074" t="s">
        <v>62</v>
      </c>
      <c r="F1074">
        <v>374.17</v>
      </c>
      <c r="G1074">
        <v>168.8</v>
      </c>
      <c r="H1074">
        <v>85.91</v>
      </c>
      <c r="I1074">
        <v>93.22</v>
      </c>
      <c r="J1074">
        <v>91.04</v>
      </c>
      <c r="K1074" t="s">
        <v>63</v>
      </c>
      <c r="L1074">
        <v>7.8</v>
      </c>
      <c r="N1074" t="s">
        <v>35</v>
      </c>
      <c r="O1074">
        <v>6</v>
      </c>
      <c r="P1074" t="s">
        <v>23</v>
      </c>
      <c r="Q1074">
        <v>73.599999999999994</v>
      </c>
    </row>
    <row r="1075" spans="1:17" x14ac:dyDescent="0.35">
      <c r="A1075" s="1">
        <v>45820</v>
      </c>
      <c r="B1075" t="s">
        <v>101</v>
      </c>
      <c r="C1075" t="s">
        <v>45</v>
      </c>
      <c r="D1075" t="s">
        <v>102</v>
      </c>
      <c r="E1075" t="s">
        <v>27</v>
      </c>
      <c r="F1075">
        <v>956.74</v>
      </c>
      <c r="G1075">
        <v>750.4</v>
      </c>
      <c r="H1075">
        <v>94.28</v>
      </c>
      <c r="I1075">
        <v>99.17</v>
      </c>
      <c r="J1075">
        <v>78.33</v>
      </c>
      <c r="K1075" t="s">
        <v>47</v>
      </c>
      <c r="L1075">
        <v>9.1999999999999993</v>
      </c>
      <c r="M1075">
        <v>3.4</v>
      </c>
      <c r="N1075" t="s">
        <v>39</v>
      </c>
      <c r="O1075">
        <v>11</v>
      </c>
      <c r="P1075" t="s">
        <v>23</v>
      </c>
      <c r="Q1075">
        <v>65</v>
      </c>
    </row>
    <row r="1076" spans="1:17" x14ac:dyDescent="0.35">
      <c r="A1076" s="1">
        <v>45820</v>
      </c>
      <c r="B1076" t="s">
        <v>82</v>
      </c>
      <c r="C1076" t="s">
        <v>72</v>
      </c>
      <c r="D1076" t="s">
        <v>83</v>
      </c>
      <c r="E1076" t="s">
        <v>20</v>
      </c>
      <c r="F1076">
        <v>238.75</v>
      </c>
      <c r="G1076">
        <v>80.2</v>
      </c>
      <c r="H1076">
        <v>89.51</v>
      </c>
      <c r="I1076">
        <v>94.31</v>
      </c>
      <c r="J1076">
        <v>71.47</v>
      </c>
      <c r="K1076" t="s">
        <v>58</v>
      </c>
      <c r="L1076">
        <v>8.1</v>
      </c>
      <c r="N1076" t="s">
        <v>35</v>
      </c>
      <c r="O1076">
        <v>7</v>
      </c>
      <c r="P1076" t="s">
        <v>23</v>
      </c>
      <c r="Q1076">
        <v>69.2</v>
      </c>
    </row>
    <row r="1077" spans="1:17" x14ac:dyDescent="0.35">
      <c r="A1077" s="1">
        <v>45820</v>
      </c>
      <c r="B1077" t="s">
        <v>36</v>
      </c>
      <c r="C1077" t="s">
        <v>37</v>
      </c>
      <c r="D1077" t="s">
        <v>38</v>
      </c>
      <c r="E1077" t="s">
        <v>33</v>
      </c>
      <c r="F1077">
        <v>292.89999999999998</v>
      </c>
      <c r="G1077">
        <v>181.5</v>
      </c>
      <c r="H1077">
        <v>93.93</v>
      </c>
      <c r="I1077">
        <v>95.84</v>
      </c>
      <c r="J1077">
        <v>75.14</v>
      </c>
      <c r="K1077" t="s">
        <v>28</v>
      </c>
      <c r="L1077">
        <v>8.5</v>
      </c>
      <c r="M1077">
        <v>1.8</v>
      </c>
      <c r="N1077" t="s">
        <v>35</v>
      </c>
      <c r="O1077">
        <v>10</v>
      </c>
      <c r="P1077" t="s">
        <v>23</v>
      </c>
      <c r="Q1077">
        <v>63.8</v>
      </c>
    </row>
    <row r="1078" spans="1:17" x14ac:dyDescent="0.35">
      <c r="A1078" s="1">
        <v>45820</v>
      </c>
      <c r="B1078" t="s">
        <v>53</v>
      </c>
      <c r="C1078" t="s">
        <v>41</v>
      </c>
      <c r="D1078" t="s">
        <v>54</v>
      </c>
      <c r="E1078" t="s">
        <v>27</v>
      </c>
      <c r="F1078">
        <v>262.64</v>
      </c>
      <c r="G1078">
        <v>18.7</v>
      </c>
      <c r="H1078">
        <v>95.12</v>
      </c>
      <c r="I1078">
        <v>96.3</v>
      </c>
      <c r="J1078">
        <v>76.97</v>
      </c>
      <c r="K1078" t="s">
        <v>47</v>
      </c>
      <c r="L1078">
        <v>7.1</v>
      </c>
      <c r="M1078">
        <v>3</v>
      </c>
      <c r="N1078" t="s">
        <v>29</v>
      </c>
      <c r="O1078">
        <v>15</v>
      </c>
      <c r="P1078" t="s">
        <v>43</v>
      </c>
      <c r="Q1078">
        <v>58.3</v>
      </c>
    </row>
    <row r="1079" spans="1:17" x14ac:dyDescent="0.35">
      <c r="A1079" s="1">
        <v>45820</v>
      </c>
      <c r="B1079" t="s">
        <v>95</v>
      </c>
      <c r="C1079" t="s">
        <v>49</v>
      </c>
      <c r="D1079" t="s">
        <v>96</v>
      </c>
      <c r="E1079" t="s">
        <v>33</v>
      </c>
      <c r="F1079">
        <v>329.67</v>
      </c>
      <c r="G1079">
        <v>194.8</v>
      </c>
      <c r="H1079">
        <v>93.61</v>
      </c>
      <c r="I1079">
        <v>96.41</v>
      </c>
      <c r="J1079">
        <v>78.31</v>
      </c>
      <c r="K1079" t="s">
        <v>47</v>
      </c>
      <c r="L1079">
        <v>7.4</v>
      </c>
      <c r="M1079">
        <v>3.1</v>
      </c>
      <c r="N1079" t="s">
        <v>22</v>
      </c>
      <c r="O1079">
        <v>9</v>
      </c>
      <c r="P1079" t="s">
        <v>23</v>
      </c>
      <c r="Q1079">
        <v>61.7</v>
      </c>
    </row>
    <row r="1080" spans="1:17" x14ac:dyDescent="0.35">
      <c r="A1080" s="1">
        <v>45820</v>
      </c>
      <c r="B1080" t="s">
        <v>24</v>
      </c>
      <c r="C1080" t="s">
        <v>25</v>
      </c>
      <c r="D1080" t="s">
        <v>26</v>
      </c>
      <c r="E1080" t="s">
        <v>27</v>
      </c>
      <c r="F1080">
        <v>624.64</v>
      </c>
      <c r="G1080">
        <v>22.9</v>
      </c>
      <c r="H1080">
        <v>97.54</v>
      </c>
      <c r="I1080">
        <v>96.59</v>
      </c>
      <c r="J1080">
        <v>80.44</v>
      </c>
      <c r="K1080" t="s">
        <v>34</v>
      </c>
      <c r="L1080">
        <v>8.6</v>
      </c>
      <c r="M1080">
        <v>2.2000000000000002</v>
      </c>
      <c r="N1080" t="s">
        <v>39</v>
      </c>
      <c r="O1080">
        <v>10</v>
      </c>
      <c r="P1080" t="s">
        <v>30</v>
      </c>
      <c r="Q1080">
        <v>62.4</v>
      </c>
    </row>
    <row r="1081" spans="1:17" x14ac:dyDescent="0.35">
      <c r="A1081" s="1">
        <v>45820</v>
      </c>
      <c r="B1081" t="s">
        <v>51</v>
      </c>
      <c r="C1081" t="s">
        <v>45</v>
      </c>
      <c r="D1081" t="s">
        <v>52</v>
      </c>
      <c r="E1081" t="s">
        <v>27</v>
      </c>
      <c r="F1081">
        <v>662.93</v>
      </c>
      <c r="G1081">
        <v>676.7</v>
      </c>
      <c r="H1081">
        <v>96.07</v>
      </c>
      <c r="I1081">
        <v>98.41</v>
      </c>
      <c r="J1081">
        <v>79.069999999999993</v>
      </c>
      <c r="K1081" t="s">
        <v>88</v>
      </c>
      <c r="L1081">
        <v>9.1999999999999993</v>
      </c>
      <c r="M1081">
        <v>3.8</v>
      </c>
      <c r="N1081" t="s">
        <v>29</v>
      </c>
      <c r="O1081">
        <v>15</v>
      </c>
      <c r="P1081" t="s">
        <v>23</v>
      </c>
      <c r="Q1081">
        <v>65.099999999999994</v>
      </c>
    </row>
    <row r="1082" spans="1:17" x14ac:dyDescent="0.35">
      <c r="A1082" s="1">
        <v>45820</v>
      </c>
      <c r="B1082" t="s">
        <v>82</v>
      </c>
      <c r="C1082" t="s">
        <v>72</v>
      </c>
      <c r="D1082" t="s">
        <v>83</v>
      </c>
      <c r="E1082" t="s">
        <v>20</v>
      </c>
      <c r="F1082">
        <v>223.89</v>
      </c>
      <c r="G1082">
        <v>167.5</v>
      </c>
      <c r="H1082">
        <v>92.16</v>
      </c>
      <c r="I1082">
        <v>96.05</v>
      </c>
      <c r="J1082">
        <v>71.48</v>
      </c>
      <c r="K1082" t="s">
        <v>63</v>
      </c>
      <c r="L1082">
        <v>7</v>
      </c>
      <c r="N1082" t="s">
        <v>22</v>
      </c>
      <c r="O1082">
        <v>9</v>
      </c>
      <c r="P1082" t="s">
        <v>23</v>
      </c>
      <c r="Q1082">
        <v>69.900000000000006</v>
      </c>
    </row>
    <row r="1083" spans="1:17" x14ac:dyDescent="0.35">
      <c r="A1083" s="1">
        <v>45820</v>
      </c>
      <c r="B1083" t="s">
        <v>55</v>
      </c>
      <c r="C1083" t="s">
        <v>56</v>
      </c>
      <c r="D1083">
        <v>4</v>
      </c>
      <c r="E1083" t="s">
        <v>57</v>
      </c>
      <c r="F1083">
        <v>30</v>
      </c>
      <c r="G1083">
        <v>146.1</v>
      </c>
      <c r="H1083">
        <v>86.03</v>
      </c>
      <c r="I1083">
        <v>95.64</v>
      </c>
      <c r="J1083">
        <v>70.930000000000007</v>
      </c>
      <c r="K1083" t="s">
        <v>21</v>
      </c>
      <c r="L1083">
        <v>6.8</v>
      </c>
      <c r="N1083" t="s">
        <v>35</v>
      </c>
      <c r="O1083">
        <v>5</v>
      </c>
      <c r="P1083" t="s">
        <v>23</v>
      </c>
      <c r="Q1083">
        <v>67.599999999999994</v>
      </c>
    </row>
    <row r="1084" spans="1:17" x14ac:dyDescent="0.35">
      <c r="A1084" s="1">
        <v>45820</v>
      </c>
      <c r="B1084" t="s">
        <v>71</v>
      </c>
      <c r="C1084" t="s">
        <v>72</v>
      </c>
      <c r="D1084" t="s">
        <v>73</v>
      </c>
      <c r="E1084" t="s">
        <v>33</v>
      </c>
      <c r="F1084">
        <v>287.45999999999998</v>
      </c>
      <c r="G1084">
        <v>225.5</v>
      </c>
      <c r="H1084">
        <v>97.19</v>
      </c>
      <c r="I1084">
        <v>93.52</v>
      </c>
      <c r="J1084">
        <v>74.12</v>
      </c>
      <c r="K1084" t="s">
        <v>47</v>
      </c>
      <c r="L1084">
        <v>7.9</v>
      </c>
      <c r="M1084">
        <v>4.7</v>
      </c>
      <c r="N1084" t="s">
        <v>35</v>
      </c>
      <c r="O1084">
        <v>5</v>
      </c>
      <c r="P1084" t="s">
        <v>43</v>
      </c>
      <c r="Q1084">
        <v>60.8</v>
      </c>
    </row>
    <row r="1085" spans="1:17" x14ac:dyDescent="0.35">
      <c r="A1085" s="1">
        <v>45820</v>
      </c>
      <c r="B1085" t="s">
        <v>24</v>
      </c>
      <c r="C1085" t="s">
        <v>25</v>
      </c>
      <c r="D1085" t="s">
        <v>26</v>
      </c>
      <c r="E1085" t="s">
        <v>27</v>
      </c>
      <c r="F1085">
        <v>677.08</v>
      </c>
      <c r="G1085">
        <v>23.5</v>
      </c>
      <c r="H1085">
        <v>92.38</v>
      </c>
      <c r="I1085">
        <v>96.79</v>
      </c>
      <c r="J1085">
        <v>79.72</v>
      </c>
      <c r="K1085" t="s">
        <v>47</v>
      </c>
      <c r="L1085">
        <v>8.4</v>
      </c>
      <c r="M1085">
        <v>5</v>
      </c>
      <c r="N1085" t="s">
        <v>29</v>
      </c>
      <c r="O1085">
        <v>14</v>
      </c>
      <c r="P1085" t="s">
        <v>30</v>
      </c>
      <c r="Q1085">
        <v>59.3</v>
      </c>
    </row>
    <row r="1086" spans="1:17" x14ac:dyDescent="0.35">
      <c r="A1086" s="1">
        <v>45820</v>
      </c>
      <c r="B1086" t="s">
        <v>93</v>
      </c>
      <c r="C1086" t="s">
        <v>37</v>
      </c>
      <c r="D1086" t="s">
        <v>94</v>
      </c>
      <c r="E1086" t="s">
        <v>27</v>
      </c>
      <c r="F1086">
        <v>384.27</v>
      </c>
      <c r="G1086">
        <v>41.8</v>
      </c>
      <c r="H1086">
        <v>93.64</v>
      </c>
      <c r="I1086">
        <v>93.3</v>
      </c>
      <c r="J1086">
        <v>76.599999999999994</v>
      </c>
      <c r="K1086" t="s">
        <v>28</v>
      </c>
      <c r="L1086">
        <v>7.7</v>
      </c>
      <c r="M1086">
        <v>4</v>
      </c>
      <c r="N1086" t="s">
        <v>29</v>
      </c>
      <c r="O1086">
        <v>8</v>
      </c>
      <c r="P1086" t="s">
        <v>23</v>
      </c>
      <c r="Q1086">
        <v>58.3</v>
      </c>
    </row>
    <row r="1087" spans="1:17" x14ac:dyDescent="0.35">
      <c r="A1087" s="1">
        <v>45820</v>
      </c>
      <c r="B1087" t="s">
        <v>40</v>
      </c>
      <c r="C1087" t="s">
        <v>41</v>
      </c>
      <c r="D1087" t="s">
        <v>42</v>
      </c>
      <c r="E1087" t="s">
        <v>27</v>
      </c>
      <c r="F1087">
        <v>263.39</v>
      </c>
      <c r="G1087">
        <v>60.1</v>
      </c>
      <c r="H1087">
        <v>92.11</v>
      </c>
      <c r="I1087">
        <v>96.11</v>
      </c>
      <c r="J1087">
        <v>76.930000000000007</v>
      </c>
      <c r="K1087" t="s">
        <v>47</v>
      </c>
      <c r="L1087">
        <v>7.8</v>
      </c>
      <c r="M1087">
        <v>2.2000000000000002</v>
      </c>
      <c r="N1087" t="s">
        <v>29</v>
      </c>
      <c r="O1087">
        <v>9</v>
      </c>
      <c r="P1087" t="s">
        <v>43</v>
      </c>
      <c r="Q1087">
        <v>60.3</v>
      </c>
    </row>
    <row r="1088" spans="1:17" x14ac:dyDescent="0.35">
      <c r="A1088" s="1">
        <v>45820</v>
      </c>
      <c r="B1088" t="s">
        <v>101</v>
      </c>
      <c r="C1088" t="s">
        <v>45</v>
      </c>
      <c r="D1088" t="s">
        <v>102</v>
      </c>
      <c r="E1088" t="s">
        <v>33</v>
      </c>
      <c r="F1088">
        <v>624.74</v>
      </c>
      <c r="G1088">
        <v>1446.7</v>
      </c>
      <c r="H1088">
        <v>94.78</v>
      </c>
      <c r="I1088">
        <v>99.13</v>
      </c>
      <c r="J1088">
        <v>75.790000000000006</v>
      </c>
      <c r="K1088" t="s">
        <v>47</v>
      </c>
      <c r="L1088">
        <v>9</v>
      </c>
      <c r="M1088">
        <v>1.7</v>
      </c>
      <c r="N1088" t="s">
        <v>35</v>
      </c>
      <c r="O1088">
        <v>7</v>
      </c>
      <c r="P1088" t="s">
        <v>23</v>
      </c>
      <c r="Q1088">
        <v>65.5</v>
      </c>
    </row>
    <row r="1089" spans="1:17" x14ac:dyDescent="0.35">
      <c r="A1089" s="1">
        <v>45820</v>
      </c>
      <c r="B1089" t="s">
        <v>48</v>
      </c>
      <c r="C1089" t="s">
        <v>49</v>
      </c>
      <c r="D1089" t="s">
        <v>50</v>
      </c>
      <c r="E1089" t="s">
        <v>27</v>
      </c>
      <c r="F1089">
        <v>472.23</v>
      </c>
      <c r="G1089">
        <v>60</v>
      </c>
      <c r="H1089">
        <v>97.35</v>
      </c>
      <c r="I1089">
        <v>93.42</v>
      </c>
      <c r="J1089">
        <v>83.09</v>
      </c>
      <c r="K1089" t="s">
        <v>47</v>
      </c>
      <c r="L1089">
        <v>9.3000000000000007</v>
      </c>
      <c r="M1089">
        <v>4</v>
      </c>
      <c r="N1089" t="s">
        <v>29</v>
      </c>
      <c r="O1089">
        <v>9</v>
      </c>
      <c r="P1089" t="s">
        <v>23</v>
      </c>
      <c r="Q1089">
        <v>63</v>
      </c>
    </row>
    <row r="1090" spans="1:17" x14ac:dyDescent="0.35">
      <c r="A1090" s="1">
        <v>45820</v>
      </c>
      <c r="B1090" t="s">
        <v>80</v>
      </c>
      <c r="C1090" t="s">
        <v>45</v>
      </c>
      <c r="D1090" t="s">
        <v>81</v>
      </c>
      <c r="E1090" t="s">
        <v>33</v>
      </c>
      <c r="F1090">
        <v>722.06</v>
      </c>
      <c r="G1090">
        <v>628.1</v>
      </c>
      <c r="H1090">
        <v>95.32</v>
      </c>
      <c r="I1090">
        <v>98.34</v>
      </c>
      <c r="J1090">
        <v>77.23</v>
      </c>
      <c r="K1090" t="s">
        <v>34</v>
      </c>
      <c r="L1090">
        <v>8.1999999999999993</v>
      </c>
      <c r="M1090">
        <v>4.8</v>
      </c>
      <c r="N1090" t="s">
        <v>35</v>
      </c>
      <c r="O1090">
        <v>10</v>
      </c>
      <c r="P1090" t="s">
        <v>23</v>
      </c>
      <c r="Q1090">
        <v>62.3</v>
      </c>
    </row>
    <row r="1091" spans="1:17" x14ac:dyDescent="0.35">
      <c r="A1091" s="1">
        <v>45820</v>
      </c>
      <c r="B1091" t="s">
        <v>95</v>
      </c>
      <c r="C1091" t="s">
        <v>49</v>
      </c>
      <c r="D1091" t="s">
        <v>96</v>
      </c>
      <c r="E1091" t="s">
        <v>33</v>
      </c>
      <c r="F1091">
        <v>249.24</v>
      </c>
      <c r="G1091">
        <v>188</v>
      </c>
      <c r="H1091">
        <v>94.29</v>
      </c>
      <c r="I1091">
        <v>95.07</v>
      </c>
      <c r="J1091">
        <v>77.09</v>
      </c>
      <c r="K1091" t="s">
        <v>34</v>
      </c>
      <c r="L1091">
        <v>8.4</v>
      </c>
      <c r="M1091">
        <v>3.2</v>
      </c>
      <c r="N1091" t="s">
        <v>22</v>
      </c>
      <c r="O1091">
        <v>10</v>
      </c>
      <c r="P1091" t="s">
        <v>43</v>
      </c>
      <c r="Q1091">
        <v>62.9</v>
      </c>
    </row>
    <row r="1092" spans="1:17" x14ac:dyDescent="0.35">
      <c r="A1092" s="1">
        <v>45820</v>
      </c>
      <c r="B1092" t="s">
        <v>95</v>
      </c>
      <c r="C1092" t="s">
        <v>49</v>
      </c>
      <c r="D1092" t="s">
        <v>96</v>
      </c>
      <c r="E1092" t="s">
        <v>33</v>
      </c>
      <c r="F1092">
        <v>298.25</v>
      </c>
      <c r="G1092">
        <v>148.19999999999999</v>
      </c>
      <c r="H1092">
        <v>95.52</v>
      </c>
      <c r="I1092">
        <v>96.58</v>
      </c>
      <c r="J1092">
        <v>77.97</v>
      </c>
      <c r="K1092" t="s">
        <v>34</v>
      </c>
      <c r="L1092">
        <v>8.1</v>
      </c>
      <c r="M1092">
        <v>4.8</v>
      </c>
      <c r="N1092" t="s">
        <v>22</v>
      </c>
      <c r="O1092">
        <v>7</v>
      </c>
      <c r="P1092" t="s">
        <v>43</v>
      </c>
      <c r="Q1092">
        <v>61.6</v>
      </c>
    </row>
    <row r="1093" spans="1:17" x14ac:dyDescent="0.35">
      <c r="A1093" s="1">
        <v>45820</v>
      </c>
      <c r="B1093" t="s">
        <v>99</v>
      </c>
      <c r="C1093" t="s">
        <v>72</v>
      </c>
      <c r="D1093" t="s">
        <v>100</v>
      </c>
      <c r="E1093" t="s">
        <v>33</v>
      </c>
      <c r="F1093">
        <v>81.69</v>
      </c>
      <c r="G1093">
        <v>134.30000000000001</v>
      </c>
      <c r="H1093">
        <v>95.37</v>
      </c>
      <c r="I1093">
        <v>94.28</v>
      </c>
      <c r="J1093">
        <v>74.66</v>
      </c>
      <c r="K1093" t="s">
        <v>34</v>
      </c>
      <c r="L1093">
        <v>6.9</v>
      </c>
      <c r="M1093">
        <v>2</v>
      </c>
      <c r="N1093" t="s">
        <v>35</v>
      </c>
      <c r="O1093">
        <v>8</v>
      </c>
      <c r="P1093" t="s">
        <v>23</v>
      </c>
      <c r="Q1093">
        <v>60.2</v>
      </c>
    </row>
    <row r="1094" spans="1:17" x14ac:dyDescent="0.35">
      <c r="A1094" s="1">
        <v>45820</v>
      </c>
      <c r="B1094" t="s">
        <v>40</v>
      </c>
      <c r="C1094" t="s">
        <v>41</v>
      </c>
      <c r="D1094" t="s">
        <v>42</v>
      </c>
      <c r="E1094" t="s">
        <v>27</v>
      </c>
      <c r="F1094">
        <v>601.12</v>
      </c>
      <c r="G1094">
        <v>51.2</v>
      </c>
      <c r="H1094">
        <v>96.4</v>
      </c>
      <c r="I1094">
        <v>98.12</v>
      </c>
      <c r="J1094">
        <v>78.78</v>
      </c>
      <c r="K1094" t="s">
        <v>28</v>
      </c>
      <c r="L1094">
        <v>9</v>
      </c>
      <c r="M1094">
        <v>2</v>
      </c>
      <c r="N1094" t="s">
        <v>29</v>
      </c>
      <c r="O1094">
        <v>15</v>
      </c>
      <c r="P1094" t="s">
        <v>43</v>
      </c>
      <c r="Q1094">
        <v>63.6</v>
      </c>
    </row>
    <row r="1095" spans="1:17" x14ac:dyDescent="0.35">
      <c r="A1095" s="1">
        <v>45820</v>
      </c>
      <c r="B1095" t="s">
        <v>48</v>
      </c>
      <c r="C1095" t="s">
        <v>49</v>
      </c>
      <c r="D1095" t="s">
        <v>50</v>
      </c>
      <c r="E1095" t="s">
        <v>33</v>
      </c>
      <c r="F1095">
        <v>435.4</v>
      </c>
      <c r="G1095">
        <v>173.5</v>
      </c>
      <c r="H1095">
        <v>93.49</v>
      </c>
      <c r="I1095">
        <v>95.3</v>
      </c>
      <c r="J1095">
        <v>70.06</v>
      </c>
      <c r="K1095" t="s">
        <v>47</v>
      </c>
      <c r="L1095">
        <v>8</v>
      </c>
      <c r="M1095">
        <v>3.1</v>
      </c>
      <c r="N1095" t="s">
        <v>22</v>
      </c>
      <c r="O1095">
        <v>5</v>
      </c>
      <c r="P1095" t="s">
        <v>43</v>
      </c>
      <c r="Q1095">
        <v>61.1</v>
      </c>
    </row>
    <row r="1096" spans="1:17" x14ac:dyDescent="0.35">
      <c r="A1096" s="1">
        <v>45820</v>
      </c>
      <c r="B1096" t="s">
        <v>24</v>
      </c>
      <c r="C1096" t="s">
        <v>25</v>
      </c>
      <c r="D1096" t="s">
        <v>26</v>
      </c>
      <c r="E1096" t="s">
        <v>27</v>
      </c>
      <c r="F1096">
        <v>716.45</v>
      </c>
      <c r="G1096">
        <v>43.8</v>
      </c>
      <c r="H1096">
        <v>97.21</v>
      </c>
      <c r="I1096">
        <v>96.09</v>
      </c>
      <c r="J1096">
        <v>76.61</v>
      </c>
      <c r="K1096" t="s">
        <v>28</v>
      </c>
      <c r="L1096">
        <v>8.6999999999999993</v>
      </c>
      <c r="M1096">
        <v>4.5999999999999996</v>
      </c>
      <c r="N1096" t="s">
        <v>29</v>
      </c>
      <c r="O1096">
        <v>11</v>
      </c>
      <c r="P1096" t="s">
        <v>30</v>
      </c>
      <c r="Q1096">
        <v>60.6</v>
      </c>
    </row>
    <row r="1097" spans="1:17" x14ac:dyDescent="0.35">
      <c r="A1097" s="1">
        <v>45820</v>
      </c>
      <c r="B1097" t="s">
        <v>24</v>
      </c>
      <c r="C1097" t="s">
        <v>25</v>
      </c>
      <c r="D1097" t="s">
        <v>26</v>
      </c>
      <c r="E1097" t="s">
        <v>27</v>
      </c>
      <c r="F1097">
        <v>734.47</v>
      </c>
      <c r="G1097">
        <v>51.8</v>
      </c>
      <c r="H1097">
        <v>95.51</v>
      </c>
      <c r="I1097">
        <v>96.81</v>
      </c>
      <c r="J1097">
        <v>75.78</v>
      </c>
      <c r="K1097" t="s">
        <v>28</v>
      </c>
      <c r="L1097">
        <v>9.4</v>
      </c>
      <c r="M1097">
        <v>2.6</v>
      </c>
      <c r="N1097" t="s">
        <v>39</v>
      </c>
      <c r="O1097">
        <v>13</v>
      </c>
      <c r="P1097" t="s">
        <v>30</v>
      </c>
      <c r="Q1097">
        <v>63</v>
      </c>
    </row>
    <row r="1098" spans="1:17" x14ac:dyDescent="0.35">
      <c r="A1098" s="1">
        <v>45820</v>
      </c>
      <c r="B1098" t="s">
        <v>59</v>
      </c>
      <c r="C1098" t="s">
        <v>60</v>
      </c>
      <c r="D1098" t="s">
        <v>61</v>
      </c>
      <c r="E1098" t="s">
        <v>62</v>
      </c>
      <c r="F1098">
        <v>487.56</v>
      </c>
      <c r="G1098">
        <v>191.9</v>
      </c>
      <c r="H1098">
        <v>88.9</v>
      </c>
      <c r="I1098">
        <v>96.93</v>
      </c>
      <c r="J1098">
        <v>88.16</v>
      </c>
      <c r="K1098" t="s">
        <v>63</v>
      </c>
      <c r="L1098">
        <v>8.1</v>
      </c>
      <c r="N1098" t="s">
        <v>35</v>
      </c>
      <c r="O1098">
        <v>6</v>
      </c>
      <c r="P1098" t="s">
        <v>23</v>
      </c>
      <c r="Q1098">
        <v>75</v>
      </c>
    </row>
    <row r="1099" spans="1:17" x14ac:dyDescent="0.35">
      <c r="A1099" s="1">
        <v>45820</v>
      </c>
      <c r="B1099" t="s">
        <v>78</v>
      </c>
      <c r="C1099" t="s">
        <v>41</v>
      </c>
      <c r="D1099" t="s">
        <v>79</v>
      </c>
      <c r="E1099" t="s">
        <v>27</v>
      </c>
      <c r="F1099">
        <v>312.20999999999998</v>
      </c>
      <c r="G1099">
        <v>32.700000000000003</v>
      </c>
      <c r="H1099">
        <v>93.63</v>
      </c>
      <c r="I1099">
        <v>97.19</v>
      </c>
      <c r="J1099">
        <v>81.66</v>
      </c>
      <c r="K1099" t="s">
        <v>34</v>
      </c>
      <c r="L1099">
        <v>8</v>
      </c>
      <c r="M1099">
        <v>2.2000000000000002</v>
      </c>
      <c r="N1099" t="s">
        <v>39</v>
      </c>
      <c r="O1099">
        <v>9</v>
      </c>
      <c r="P1099" t="s">
        <v>43</v>
      </c>
      <c r="Q1099">
        <v>61.3</v>
      </c>
    </row>
    <row r="1100" spans="1:17" x14ac:dyDescent="0.35">
      <c r="A1100" s="1">
        <v>45820</v>
      </c>
      <c r="B1100" t="s">
        <v>99</v>
      </c>
      <c r="C1100" t="s">
        <v>72</v>
      </c>
      <c r="D1100" t="s">
        <v>100</v>
      </c>
      <c r="E1100" t="s">
        <v>27</v>
      </c>
      <c r="F1100">
        <v>277.36</v>
      </c>
      <c r="G1100">
        <v>54</v>
      </c>
      <c r="H1100">
        <v>96.98</v>
      </c>
      <c r="I1100">
        <v>93.19</v>
      </c>
      <c r="J1100">
        <v>84.83</v>
      </c>
      <c r="K1100" t="s">
        <v>34</v>
      </c>
      <c r="L1100">
        <v>8.4</v>
      </c>
      <c r="M1100">
        <v>3.7</v>
      </c>
      <c r="N1100" t="s">
        <v>39</v>
      </c>
      <c r="O1100">
        <v>8</v>
      </c>
      <c r="P1100" t="s">
        <v>43</v>
      </c>
      <c r="Q1100">
        <v>61.8</v>
      </c>
    </row>
    <row r="1101" spans="1:17" x14ac:dyDescent="0.35">
      <c r="A1101" s="1">
        <v>45820</v>
      </c>
      <c r="B1101" t="s">
        <v>48</v>
      </c>
      <c r="C1101" t="s">
        <v>49</v>
      </c>
      <c r="D1101" t="s">
        <v>50</v>
      </c>
      <c r="E1101" t="s">
        <v>27</v>
      </c>
      <c r="F1101">
        <v>380.05</v>
      </c>
      <c r="G1101">
        <v>41.3</v>
      </c>
      <c r="H1101">
        <v>92.12</v>
      </c>
      <c r="I1101">
        <v>96.38</v>
      </c>
      <c r="J1101">
        <v>84.23</v>
      </c>
      <c r="K1101" t="s">
        <v>28</v>
      </c>
      <c r="L1101">
        <v>7.5</v>
      </c>
      <c r="M1101">
        <v>1.8</v>
      </c>
      <c r="N1101" t="s">
        <v>39</v>
      </c>
      <c r="O1101">
        <v>8</v>
      </c>
      <c r="P1101" t="s">
        <v>23</v>
      </c>
      <c r="Q1101">
        <v>60.9</v>
      </c>
    </row>
    <row r="1102" spans="1:17" x14ac:dyDescent="0.35">
      <c r="A1102" s="1">
        <v>45820</v>
      </c>
      <c r="B1102" t="s">
        <v>69</v>
      </c>
      <c r="C1102" t="s">
        <v>18</v>
      </c>
      <c r="D1102" t="s">
        <v>70</v>
      </c>
      <c r="E1102" t="s">
        <v>20</v>
      </c>
      <c r="F1102">
        <v>175.65</v>
      </c>
      <c r="G1102">
        <v>239</v>
      </c>
      <c r="H1102">
        <v>94.85</v>
      </c>
      <c r="I1102">
        <v>94.3</v>
      </c>
      <c r="J1102">
        <v>75.45</v>
      </c>
      <c r="K1102" t="s">
        <v>58</v>
      </c>
      <c r="L1102">
        <v>6.5</v>
      </c>
      <c r="N1102" t="s">
        <v>22</v>
      </c>
      <c r="O1102">
        <v>7</v>
      </c>
      <c r="P1102" t="s">
        <v>23</v>
      </c>
      <c r="Q1102">
        <v>69.900000000000006</v>
      </c>
    </row>
    <row r="1103" spans="1:17" x14ac:dyDescent="0.35">
      <c r="A1103" s="1">
        <v>45820</v>
      </c>
      <c r="B1103" t="s">
        <v>59</v>
      </c>
      <c r="C1103" t="s">
        <v>60</v>
      </c>
      <c r="D1103" t="s">
        <v>61</v>
      </c>
      <c r="E1103" t="s">
        <v>62</v>
      </c>
      <c r="F1103">
        <v>492.1</v>
      </c>
      <c r="G1103">
        <v>171</v>
      </c>
      <c r="H1103">
        <v>86.81</v>
      </c>
      <c r="I1103">
        <v>95.15</v>
      </c>
      <c r="J1103">
        <v>90.27</v>
      </c>
      <c r="K1103" t="s">
        <v>63</v>
      </c>
      <c r="L1103">
        <v>8.8000000000000007</v>
      </c>
      <c r="N1103" t="s">
        <v>35</v>
      </c>
      <c r="O1103">
        <v>3</v>
      </c>
      <c r="P1103" t="s">
        <v>23</v>
      </c>
      <c r="Q1103">
        <v>76</v>
      </c>
    </row>
    <row r="1104" spans="1:17" x14ac:dyDescent="0.35">
      <c r="A1104" s="1">
        <v>45820</v>
      </c>
      <c r="B1104" t="s">
        <v>80</v>
      </c>
      <c r="C1104" t="s">
        <v>45</v>
      </c>
      <c r="D1104" t="s">
        <v>81</v>
      </c>
      <c r="E1104" t="s">
        <v>33</v>
      </c>
      <c r="F1104">
        <v>925.51</v>
      </c>
      <c r="G1104">
        <v>296.5</v>
      </c>
      <c r="H1104">
        <v>96.65</v>
      </c>
      <c r="I1104">
        <v>99.06</v>
      </c>
      <c r="J1104">
        <v>72.150000000000006</v>
      </c>
      <c r="K1104" t="s">
        <v>28</v>
      </c>
      <c r="L1104">
        <v>8.4</v>
      </c>
      <c r="M1104">
        <v>4.7</v>
      </c>
      <c r="N1104" t="s">
        <v>35</v>
      </c>
      <c r="O1104">
        <v>5</v>
      </c>
      <c r="P1104" t="s">
        <v>23</v>
      </c>
      <c r="Q1104">
        <v>62.2</v>
      </c>
    </row>
    <row r="1105" spans="1:17" x14ac:dyDescent="0.35">
      <c r="A1105" s="1">
        <v>45821</v>
      </c>
      <c r="B1105" t="s">
        <v>48</v>
      </c>
      <c r="C1105" t="s">
        <v>49</v>
      </c>
      <c r="D1105" t="s">
        <v>50</v>
      </c>
      <c r="E1105" t="s">
        <v>33</v>
      </c>
      <c r="F1105">
        <v>320.47000000000003</v>
      </c>
      <c r="G1105">
        <v>231.5</v>
      </c>
      <c r="H1105">
        <v>93.45</v>
      </c>
      <c r="I1105">
        <v>96.46</v>
      </c>
      <c r="J1105">
        <v>73.459999999999994</v>
      </c>
      <c r="K1105" t="s">
        <v>34</v>
      </c>
      <c r="L1105">
        <v>7.9</v>
      </c>
      <c r="M1105">
        <v>3.1</v>
      </c>
      <c r="N1105" t="s">
        <v>22</v>
      </c>
      <c r="O1105">
        <v>10</v>
      </c>
      <c r="P1105" t="s">
        <v>43</v>
      </c>
      <c r="Q1105">
        <v>61.7</v>
      </c>
    </row>
    <row r="1106" spans="1:17" x14ac:dyDescent="0.35">
      <c r="A1106" s="1">
        <v>45821</v>
      </c>
      <c r="B1106" t="s">
        <v>55</v>
      </c>
      <c r="C1106" t="s">
        <v>56</v>
      </c>
      <c r="D1106">
        <v>4</v>
      </c>
      <c r="E1106" t="s">
        <v>57</v>
      </c>
      <c r="F1106">
        <v>30</v>
      </c>
      <c r="G1106">
        <v>154.80000000000001</v>
      </c>
      <c r="H1106">
        <v>86.05</v>
      </c>
      <c r="I1106">
        <v>95.98</v>
      </c>
      <c r="J1106">
        <v>77.22</v>
      </c>
      <c r="K1106" t="s">
        <v>63</v>
      </c>
      <c r="L1106">
        <v>6.5</v>
      </c>
      <c r="N1106" t="s">
        <v>35</v>
      </c>
      <c r="O1106">
        <v>4</v>
      </c>
      <c r="P1106" t="s">
        <v>23</v>
      </c>
      <c r="Q1106">
        <v>68.5</v>
      </c>
    </row>
    <row r="1107" spans="1:17" x14ac:dyDescent="0.35">
      <c r="A1107" s="1">
        <v>45821</v>
      </c>
      <c r="B1107" t="s">
        <v>59</v>
      </c>
      <c r="C1107" t="s">
        <v>60</v>
      </c>
      <c r="D1107" t="s">
        <v>61</v>
      </c>
      <c r="E1107" t="s">
        <v>62</v>
      </c>
      <c r="F1107">
        <v>523.51</v>
      </c>
      <c r="G1107">
        <v>189.7</v>
      </c>
      <c r="H1107">
        <v>85.74</v>
      </c>
      <c r="I1107">
        <v>95.81</v>
      </c>
      <c r="J1107">
        <v>86.28</v>
      </c>
      <c r="K1107" t="s">
        <v>63</v>
      </c>
      <c r="L1107">
        <v>8.6</v>
      </c>
      <c r="N1107" t="s">
        <v>35</v>
      </c>
      <c r="O1107">
        <v>3</v>
      </c>
      <c r="P1107" t="s">
        <v>43</v>
      </c>
      <c r="Q1107">
        <v>74.8</v>
      </c>
    </row>
    <row r="1108" spans="1:17" x14ac:dyDescent="0.35">
      <c r="A1108" s="1">
        <v>45821</v>
      </c>
      <c r="B1108" t="s">
        <v>95</v>
      </c>
      <c r="C1108" t="s">
        <v>49</v>
      </c>
      <c r="D1108" t="s">
        <v>96</v>
      </c>
      <c r="E1108" t="s">
        <v>33</v>
      </c>
      <c r="F1108">
        <v>199.29</v>
      </c>
      <c r="G1108">
        <v>180.1</v>
      </c>
      <c r="H1108">
        <v>94.08</v>
      </c>
      <c r="I1108">
        <v>95.38</v>
      </c>
      <c r="J1108">
        <v>76.19</v>
      </c>
      <c r="K1108" t="s">
        <v>28</v>
      </c>
      <c r="L1108">
        <v>6.2</v>
      </c>
      <c r="M1108">
        <v>4.5</v>
      </c>
      <c r="N1108" t="s">
        <v>35</v>
      </c>
      <c r="O1108">
        <v>7</v>
      </c>
      <c r="P1108" t="s">
        <v>23</v>
      </c>
      <c r="Q1108">
        <v>58.3</v>
      </c>
    </row>
    <row r="1109" spans="1:17" x14ac:dyDescent="0.35">
      <c r="A1109" s="1">
        <v>45821</v>
      </c>
      <c r="B1109" t="s">
        <v>17</v>
      </c>
      <c r="C1109" t="s">
        <v>18</v>
      </c>
      <c r="D1109" t="s">
        <v>19</v>
      </c>
      <c r="E1109" t="s">
        <v>20</v>
      </c>
      <c r="F1109">
        <v>228.57</v>
      </c>
      <c r="G1109">
        <v>200.1</v>
      </c>
      <c r="H1109">
        <v>94.28</v>
      </c>
      <c r="I1109">
        <v>96.25</v>
      </c>
      <c r="J1109">
        <v>70.89</v>
      </c>
      <c r="K1109" t="s">
        <v>58</v>
      </c>
      <c r="L1109">
        <v>7.1</v>
      </c>
      <c r="N1109" t="s">
        <v>35</v>
      </c>
      <c r="O1109">
        <v>5</v>
      </c>
      <c r="P1109" t="s">
        <v>23</v>
      </c>
      <c r="Q1109">
        <v>70.5</v>
      </c>
    </row>
    <row r="1110" spans="1:17" x14ac:dyDescent="0.35">
      <c r="A1110" s="1">
        <v>45821</v>
      </c>
      <c r="B1110" t="s">
        <v>93</v>
      </c>
      <c r="C1110" t="s">
        <v>37</v>
      </c>
      <c r="D1110" t="s">
        <v>94</v>
      </c>
      <c r="E1110" t="s">
        <v>33</v>
      </c>
      <c r="F1110">
        <v>351</v>
      </c>
      <c r="G1110">
        <v>204.1</v>
      </c>
      <c r="H1110">
        <v>95.37</v>
      </c>
      <c r="I1110">
        <v>96.42</v>
      </c>
      <c r="J1110">
        <v>76.61</v>
      </c>
      <c r="K1110" t="s">
        <v>34</v>
      </c>
      <c r="L1110">
        <v>8</v>
      </c>
      <c r="M1110">
        <v>4.8</v>
      </c>
      <c r="N1110" t="s">
        <v>35</v>
      </c>
      <c r="O1110">
        <v>8</v>
      </c>
      <c r="P1110" t="s">
        <v>23</v>
      </c>
      <c r="Q1110">
        <v>61.5</v>
      </c>
    </row>
    <row r="1111" spans="1:17" x14ac:dyDescent="0.35">
      <c r="A1111" s="1">
        <v>45821</v>
      </c>
      <c r="B1111" t="s">
        <v>59</v>
      </c>
      <c r="C1111" t="s">
        <v>60</v>
      </c>
      <c r="D1111" t="s">
        <v>61</v>
      </c>
      <c r="E1111" t="s">
        <v>62</v>
      </c>
      <c r="F1111">
        <v>389.46</v>
      </c>
      <c r="G1111">
        <v>174.8</v>
      </c>
      <c r="H1111">
        <v>89.7</v>
      </c>
      <c r="I1111">
        <v>94.69</v>
      </c>
      <c r="J1111">
        <v>90.34</v>
      </c>
      <c r="K1111" t="s">
        <v>34</v>
      </c>
      <c r="L1111">
        <v>7.7</v>
      </c>
      <c r="N1111" t="s">
        <v>35</v>
      </c>
      <c r="O1111">
        <v>3</v>
      </c>
      <c r="P1111" t="s">
        <v>43</v>
      </c>
      <c r="Q1111">
        <v>74.3</v>
      </c>
    </row>
    <row r="1112" spans="1:17" x14ac:dyDescent="0.35">
      <c r="A1112" s="1">
        <v>45821</v>
      </c>
      <c r="B1112" t="s">
        <v>55</v>
      </c>
      <c r="C1112" t="s">
        <v>56</v>
      </c>
      <c r="D1112">
        <v>4</v>
      </c>
      <c r="E1112" t="s">
        <v>57</v>
      </c>
      <c r="F1112">
        <v>30</v>
      </c>
      <c r="G1112">
        <v>162.6</v>
      </c>
      <c r="H1112">
        <v>89.28</v>
      </c>
      <c r="I1112">
        <v>94.76</v>
      </c>
      <c r="J1112">
        <v>75.989999999999995</v>
      </c>
      <c r="K1112" t="s">
        <v>58</v>
      </c>
      <c r="L1112">
        <v>7.9</v>
      </c>
      <c r="N1112" t="s">
        <v>35</v>
      </c>
      <c r="O1112">
        <v>2</v>
      </c>
      <c r="P1112" t="s">
        <v>43</v>
      </c>
      <c r="Q1112">
        <v>71.7</v>
      </c>
    </row>
    <row r="1113" spans="1:17" x14ac:dyDescent="0.35">
      <c r="A1113" s="1">
        <v>45821</v>
      </c>
      <c r="B1113" t="s">
        <v>69</v>
      </c>
      <c r="C1113" t="s">
        <v>18</v>
      </c>
      <c r="D1113" t="s">
        <v>70</v>
      </c>
      <c r="E1113" t="s">
        <v>20</v>
      </c>
      <c r="F1113">
        <v>314.11</v>
      </c>
      <c r="G1113">
        <v>208.5</v>
      </c>
      <c r="H1113">
        <v>93.5</v>
      </c>
      <c r="I1113">
        <v>96.62</v>
      </c>
      <c r="J1113">
        <v>76.510000000000005</v>
      </c>
      <c r="K1113" t="s">
        <v>63</v>
      </c>
      <c r="L1113">
        <v>7.2</v>
      </c>
      <c r="N1113" t="s">
        <v>22</v>
      </c>
      <c r="O1113">
        <v>9</v>
      </c>
      <c r="P1113" t="s">
        <v>23</v>
      </c>
      <c r="Q1113">
        <v>71.7</v>
      </c>
    </row>
    <row r="1114" spans="1:17" x14ac:dyDescent="0.35">
      <c r="A1114" s="1">
        <v>45821</v>
      </c>
      <c r="B1114" t="s">
        <v>101</v>
      </c>
      <c r="C1114" t="s">
        <v>45</v>
      </c>
      <c r="D1114" t="s">
        <v>102</v>
      </c>
      <c r="E1114" t="s">
        <v>33</v>
      </c>
      <c r="F1114">
        <v>886.29</v>
      </c>
      <c r="G1114">
        <v>1225.3</v>
      </c>
      <c r="H1114">
        <v>92.56</v>
      </c>
      <c r="I1114">
        <v>98.8</v>
      </c>
      <c r="J1114">
        <v>70.8</v>
      </c>
      <c r="K1114" t="s">
        <v>88</v>
      </c>
      <c r="L1114">
        <v>9.3000000000000007</v>
      </c>
      <c r="M1114">
        <v>2.6</v>
      </c>
      <c r="N1114" t="s">
        <v>35</v>
      </c>
      <c r="O1114">
        <v>5</v>
      </c>
      <c r="P1114" t="s">
        <v>23</v>
      </c>
      <c r="Q1114">
        <v>64.099999999999994</v>
      </c>
    </row>
    <row r="1115" spans="1:17" x14ac:dyDescent="0.35">
      <c r="A1115" s="1">
        <v>45821</v>
      </c>
      <c r="B1115" t="s">
        <v>86</v>
      </c>
      <c r="C1115" t="s">
        <v>25</v>
      </c>
      <c r="D1115" t="s">
        <v>87</v>
      </c>
      <c r="E1115" t="s">
        <v>27</v>
      </c>
      <c r="F1115">
        <v>776.63</v>
      </c>
      <c r="G1115">
        <v>62.8</v>
      </c>
      <c r="H1115">
        <v>95.99</v>
      </c>
      <c r="I1115">
        <v>97.12</v>
      </c>
      <c r="J1115">
        <v>75.72</v>
      </c>
      <c r="K1115" t="s">
        <v>34</v>
      </c>
      <c r="L1115">
        <v>8.1999999999999993</v>
      </c>
      <c r="M1115">
        <v>2.4</v>
      </c>
      <c r="N1115" t="s">
        <v>29</v>
      </c>
      <c r="O1115">
        <v>9</v>
      </c>
      <c r="P1115" t="s">
        <v>30</v>
      </c>
      <c r="Q1115">
        <v>61.5</v>
      </c>
    </row>
    <row r="1116" spans="1:17" x14ac:dyDescent="0.35">
      <c r="A1116" s="1">
        <v>45821</v>
      </c>
      <c r="B1116" t="s">
        <v>74</v>
      </c>
      <c r="C1116" t="s">
        <v>67</v>
      </c>
      <c r="D1116" t="s">
        <v>75</v>
      </c>
      <c r="E1116" t="s">
        <v>27</v>
      </c>
      <c r="F1116">
        <v>755.85</v>
      </c>
      <c r="G1116">
        <v>29.3</v>
      </c>
      <c r="H1116">
        <v>97.51</v>
      </c>
      <c r="I1116">
        <v>94.9</v>
      </c>
      <c r="J1116">
        <v>76.17</v>
      </c>
      <c r="K1116" t="s">
        <v>47</v>
      </c>
      <c r="L1116">
        <v>9.1</v>
      </c>
      <c r="M1116">
        <v>3.2</v>
      </c>
      <c r="N1116" t="s">
        <v>29</v>
      </c>
      <c r="O1116">
        <v>15</v>
      </c>
      <c r="P1116" t="s">
        <v>23</v>
      </c>
      <c r="Q1116">
        <v>61.7</v>
      </c>
    </row>
    <row r="1117" spans="1:17" x14ac:dyDescent="0.35">
      <c r="A1117" s="1">
        <v>45821</v>
      </c>
      <c r="B1117" t="s">
        <v>59</v>
      </c>
      <c r="C1117" t="s">
        <v>60</v>
      </c>
      <c r="D1117" t="s">
        <v>61</v>
      </c>
      <c r="E1117" t="s">
        <v>62</v>
      </c>
      <c r="F1117">
        <v>370.43</v>
      </c>
      <c r="G1117">
        <v>178.5</v>
      </c>
      <c r="H1117">
        <v>87.54</v>
      </c>
      <c r="I1117">
        <v>94.46</v>
      </c>
      <c r="J1117">
        <v>91.64</v>
      </c>
      <c r="K1117" t="s">
        <v>34</v>
      </c>
      <c r="L1117">
        <v>7.1</v>
      </c>
      <c r="N1117" t="s">
        <v>35</v>
      </c>
      <c r="O1117">
        <v>6</v>
      </c>
      <c r="P1117" t="s">
        <v>23</v>
      </c>
      <c r="Q1117">
        <v>72.900000000000006</v>
      </c>
    </row>
    <row r="1118" spans="1:17" x14ac:dyDescent="0.35">
      <c r="A1118" s="1">
        <v>45821</v>
      </c>
      <c r="B1118" t="s">
        <v>64</v>
      </c>
      <c r="C1118" t="s">
        <v>25</v>
      </c>
      <c r="D1118" t="s">
        <v>65</v>
      </c>
      <c r="E1118" t="s">
        <v>27</v>
      </c>
      <c r="F1118">
        <v>299.08999999999997</v>
      </c>
      <c r="G1118">
        <v>42.6</v>
      </c>
      <c r="H1118">
        <v>93.92</v>
      </c>
      <c r="I1118">
        <v>97.86</v>
      </c>
      <c r="J1118">
        <v>76</v>
      </c>
      <c r="K1118" t="s">
        <v>47</v>
      </c>
      <c r="L1118">
        <v>8.1999999999999993</v>
      </c>
      <c r="M1118">
        <v>2.4</v>
      </c>
      <c r="N1118" t="s">
        <v>29</v>
      </c>
      <c r="O1118">
        <v>8</v>
      </c>
      <c r="P1118" t="s">
        <v>30</v>
      </c>
      <c r="Q1118">
        <v>60.9</v>
      </c>
    </row>
    <row r="1119" spans="1:17" x14ac:dyDescent="0.35">
      <c r="A1119" s="1">
        <v>45821</v>
      </c>
      <c r="B1119" t="s">
        <v>95</v>
      </c>
      <c r="C1119" t="s">
        <v>49</v>
      </c>
      <c r="D1119" t="s">
        <v>96</v>
      </c>
      <c r="E1119" t="s">
        <v>33</v>
      </c>
      <c r="F1119">
        <v>459.87</v>
      </c>
      <c r="G1119">
        <v>182.3</v>
      </c>
      <c r="H1119">
        <v>96.98</v>
      </c>
      <c r="I1119">
        <v>95.57</v>
      </c>
      <c r="J1119">
        <v>77.59</v>
      </c>
      <c r="K1119" t="s">
        <v>28</v>
      </c>
      <c r="L1119">
        <v>9.1</v>
      </c>
      <c r="M1119">
        <v>3.9</v>
      </c>
      <c r="N1119" t="s">
        <v>22</v>
      </c>
      <c r="O1119">
        <v>8</v>
      </c>
      <c r="P1119" t="s">
        <v>43</v>
      </c>
      <c r="Q1119">
        <v>64.3</v>
      </c>
    </row>
    <row r="1120" spans="1:17" x14ac:dyDescent="0.35">
      <c r="A1120" s="1">
        <v>45821</v>
      </c>
      <c r="B1120" t="s">
        <v>93</v>
      </c>
      <c r="C1120" t="s">
        <v>37</v>
      </c>
      <c r="D1120" t="s">
        <v>94</v>
      </c>
      <c r="E1120" t="s">
        <v>33</v>
      </c>
      <c r="F1120">
        <v>400.04</v>
      </c>
      <c r="G1120">
        <v>173.2</v>
      </c>
      <c r="H1120">
        <v>94.17</v>
      </c>
      <c r="I1120">
        <v>93.98</v>
      </c>
      <c r="J1120">
        <v>79.5</v>
      </c>
      <c r="K1120" t="s">
        <v>47</v>
      </c>
      <c r="L1120">
        <v>9</v>
      </c>
      <c r="M1120">
        <v>3.5</v>
      </c>
      <c r="N1120" t="s">
        <v>35</v>
      </c>
      <c r="O1120">
        <v>7</v>
      </c>
      <c r="P1120" t="s">
        <v>23</v>
      </c>
      <c r="Q1120">
        <v>63.9</v>
      </c>
    </row>
    <row r="1121" spans="1:17" x14ac:dyDescent="0.35">
      <c r="A1121" s="1">
        <v>45821</v>
      </c>
      <c r="B1121" t="s">
        <v>55</v>
      </c>
      <c r="C1121" t="s">
        <v>56</v>
      </c>
      <c r="D1121">
        <v>4</v>
      </c>
      <c r="E1121" t="s">
        <v>57</v>
      </c>
      <c r="F1121">
        <v>30</v>
      </c>
      <c r="G1121">
        <v>161.6</v>
      </c>
      <c r="H1121">
        <v>86.36</v>
      </c>
      <c r="I1121">
        <v>96.84</v>
      </c>
      <c r="J1121">
        <v>79.239999999999995</v>
      </c>
      <c r="K1121" t="s">
        <v>58</v>
      </c>
      <c r="L1121">
        <v>6.7</v>
      </c>
      <c r="N1121" t="s">
        <v>35</v>
      </c>
      <c r="O1121">
        <v>3</v>
      </c>
      <c r="P1121" t="s">
        <v>23</v>
      </c>
      <c r="Q1121">
        <v>69.7</v>
      </c>
    </row>
    <row r="1122" spans="1:17" x14ac:dyDescent="0.35">
      <c r="A1122" s="1">
        <v>45821</v>
      </c>
      <c r="B1122" t="s">
        <v>99</v>
      </c>
      <c r="C1122" t="s">
        <v>72</v>
      </c>
      <c r="D1122" t="s">
        <v>100</v>
      </c>
      <c r="E1122" t="s">
        <v>27</v>
      </c>
      <c r="F1122">
        <v>286.91000000000003</v>
      </c>
      <c r="G1122">
        <v>44.4</v>
      </c>
      <c r="H1122">
        <v>93.58</v>
      </c>
      <c r="I1122">
        <v>94.55</v>
      </c>
      <c r="J1122">
        <v>83.5</v>
      </c>
      <c r="K1122" t="s">
        <v>34</v>
      </c>
      <c r="L1122">
        <v>7</v>
      </c>
      <c r="M1122">
        <v>2.6</v>
      </c>
      <c r="N1122" t="s">
        <v>29</v>
      </c>
      <c r="O1122">
        <v>12</v>
      </c>
      <c r="P1122" t="s">
        <v>23</v>
      </c>
      <c r="Q1122">
        <v>59.4</v>
      </c>
    </row>
    <row r="1123" spans="1:17" x14ac:dyDescent="0.35">
      <c r="A1123" s="1">
        <v>45821</v>
      </c>
      <c r="B1123" t="s">
        <v>99</v>
      </c>
      <c r="C1123" t="s">
        <v>72</v>
      </c>
      <c r="D1123" t="s">
        <v>100</v>
      </c>
      <c r="E1123" t="s">
        <v>33</v>
      </c>
      <c r="F1123">
        <v>153.47</v>
      </c>
      <c r="G1123">
        <v>154.19999999999999</v>
      </c>
      <c r="H1123">
        <v>95.87</v>
      </c>
      <c r="I1123">
        <v>95.95</v>
      </c>
      <c r="J1123">
        <v>78.83</v>
      </c>
      <c r="K1123" t="s">
        <v>47</v>
      </c>
      <c r="L1123">
        <v>6.3</v>
      </c>
      <c r="M1123">
        <v>2.9</v>
      </c>
      <c r="N1123" t="s">
        <v>35</v>
      </c>
      <c r="O1123">
        <v>5</v>
      </c>
      <c r="P1123" t="s">
        <v>23</v>
      </c>
      <c r="Q1123">
        <v>60.1</v>
      </c>
    </row>
    <row r="1124" spans="1:17" x14ac:dyDescent="0.35">
      <c r="A1124" s="1">
        <v>45821</v>
      </c>
      <c r="B1124" t="s">
        <v>99</v>
      </c>
      <c r="C1124" t="s">
        <v>72</v>
      </c>
      <c r="D1124" t="s">
        <v>100</v>
      </c>
      <c r="E1124" t="s">
        <v>27</v>
      </c>
      <c r="F1124">
        <v>108.2</v>
      </c>
      <c r="G1124">
        <v>46.9</v>
      </c>
      <c r="H1124">
        <v>97.55</v>
      </c>
      <c r="I1124">
        <v>96.19</v>
      </c>
      <c r="J1124">
        <v>84.23</v>
      </c>
      <c r="K1124" t="s">
        <v>47</v>
      </c>
      <c r="L1124">
        <v>6.4</v>
      </c>
      <c r="M1124">
        <v>2.5</v>
      </c>
      <c r="N1124" t="s">
        <v>29</v>
      </c>
      <c r="O1124">
        <v>14</v>
      </c>
      <c r="P1124" t="s">
        <v>43</v>
      </c>
      <c r="Q1124">
        <v>59.6</v>
      </c>
    </row>
    <row r="1125" spans="1:17" x14ac:dyDescent="0.35">
      <c r="A1125" s="1">
        <v>45821</v>
      </c>
      <c r="B1125" t="s">
        <v>71</v>
      </c>
      <c r="C1125" t="s">
        <v>72</v>
      </c>
      <c r="D1125" t="s">
        <v>73</v>
      </c>
      <c r="E1125" t="s">
        <v>27</v>
      </c>
      <c r="F1125">
        <v>72.38</v>
      </c>
      <c r="G1125">
        <v>31.5</v>
      </c>
      <c r="H1125">
        <v>95.59</v>
      </c>
      <c r="I1125">
        <v>95.99</v>
      </c>
      <c r="J1125">
        <v>84.38</v>
      </c>
      <c r="K1125" t="s">
        <v>47</v>
      </c>
      <c r="L1125">
        <v>6.1</v>
      </c>
      <c r="M1125">
        <v>3.9</v>
      </c>
      <c r="N1125" t="s">
        <v>39</v>
      </c>
      <c r="O1125">
        <v>8</v>
      </c>
      <c r="P1125" t="s">
        <v>23</v>
      </c>
      <c r="Q1125">
        <v>57.5</v>
      </c>
    </row>
    <row r="1126" spans="1:17" x14ac:dyDescent="0.35">
      <c r="A1126" s="1">
        <v>45821</v>
      </c>
      <c r="B1126" t="s">
        <v>55</v>
      </c>
      <c r="C1126" t="s">
        <v>56</v>
      </c>
      <c r="D1126">
        <v>4</v>
      </c>
      <c r="E1126" t="s">
        <v>57</v>
      </c>
      <c r="F1126">
        <v>30</v>
      </c>
      <c r="G1126">
        <v>134.4</v>
      </c>
      <c r="H1126">
        <v>87.82</v>
      </c>
      <c r="I1126">
        <v>96.06</v>
      </c>
      <c r="J1126">
        <v>76.680000000000007</v>
      </c>
      <c r="K1126" t="s">
        <v>58</v>
      </c>
      <c r="L1126">
        <v>7</v>
      </c>
      <c r="N1126" t="s">
        <v>35</v>
      </c>
      <c r="O1126">
        <v>5</v>
      </c>
      <c r="P1126" t="s">
        <v>23</v>
      </c>
      <c r="Q1126">
        <v>69.3</v>
      </c>
    </row>
    <row r="1127" spans="1:17" x14ac:dyDescent="0.35">
      <c r="A1127" s="1">
        <v>45821</v>
      </c>
      <c r="B1127" t="s">
        <v>55</v>
      </c>
      <c r="C1127" t="s">
        <v>56</v>
      </c>
      <c r="D1127">
        <v>4</v>
      </c>
      <c r="E1127" t="s">
        <v>57</v>
      </c>
      <c r="F1127">
        <v>30</v>
      </c>
      <c r="G1127">
        <v>134.1</v>
      </c>
      <c r="H1127">
        <v>85.32</v>
      </c>
      <c r="I1127">
        <v>95.42</v>
      </c>
      <c r="J1127">
        <v>74.22</v>
      </c>
      <c r="K1127" t="s">
        <v>21</v>
      </c>
      <c r="L1127">
        <v>6.6</v>
      </c>
      <c r="N1127" t="s">
        <v>35</v>
      </c>
      <c r="O1127">
        <v>5</v>
      </c>
      <c r="P1127" t="s">
        <v>23</v>
      </c>
      <c r="Q1127">
        <v>67.400000000000006</v>
      </c>
    </row>
    <row r="1128" spans="1:17" x14ac:dyDescent="0.35">
      <c r="A1128" s="1">
        <v>45821</v>
      </c>
      <c r="B1128" t="s">
        <v>93</v>
      </c>
      <c r="C1128" t="s">
        <v>37</v>
      </c>
      <c r="D1128" t="s">
        <v>94</v>
      </c>
      <c r="E1128" t="s">
        <v>33</v>
      </c>
      <c r="F1128">
        <v>479.67</v>
      </c>
      <c r="G1128">
        <v>144.1</v>
      </c>
      <c r="H1128">
        <v>93.59</v>
      </c>
      <c r="I1128">
        <v>95.05</v>
      </c>
      <c r="J1128">
        <v>71.52</v>
      </c>
      <c r="K1128" t="s">
        <v>34</v>
      </c>
      <c r="L1128">
        <v>8</v>
      </c>
      <c r="M1128">
        <v>3.5</v>
      </c>
      <c r="N1128" t="s">
        <v>35</v>
      </c>
      <c r="O1128">
        <v>6</v>
      </c>
      <c r="P1128" t="s">
        <v>23</v>
      </c>
      <c r="Q1128">
        <v>60.6</v>
      </c>
    </row>
    <row r="1129" spans="1:17" x14ac:dyDescent="0.35">
      <c r="A1129" s="1">
        <v>45821</v>
      </c>
      <c r="B1129" t="s">
        <v>95</v>
      </c>
      <c r="C1129" t="s">
        <v>49</v>
      </c>
      <c r="D1129" t="s">
        <v>96</v>
      </c>
      <c r="E1129" t="s">
        <v>33</v>
      </c>
      <c r="F1129">
        <v>289.13</v>
      </c>
      <c r="G1129">
        <v>143.80000000000001</v>
      </c>
      <c r="H1129">
        <v>93.41</v>
      </c>
      <c r="I1129">
        <v>96.04</v>
      </c>
      <c r="J1129">
        <v>75.42</v>
      </c>
      <c r="K1129" t="s">
        <v>28</v>
      </c>
      <c r="L1129">
        <v>7</v>
      </c>
      <c r="M1129">
        <v>1.5</v>
      </c>
      <c r="N1129" t="s">
        <v>35</v>
      </c>
      <c r="O1129">
        <v>10</v>
      </c>
      <c r="P1129" t="s">
        <v>43</v>
      </c>
      <c r="Q1129">
        <v>61</v>
      </c>
    </row>
    <row r="1130" spans="1:17" x14ac:dyDescent="0.35">
      <c r="A1130" s="1">
        <v>45821</v>
      </c>
      <c r="B1130" t="s">
        <v>40</v>
      </c>
      <c r="C1130" t="s">
        <v>41</v>
      </c>
      <c r="D1130" t="s">
        <v>42</v>
      </c>
      <c r="E1130" t="s">
        <v>27</v>
      </c>
      <c r="F1130">
        <v>555.39</v>
      </c>
      <c r="G1130">
        <v>39.799999999999997</v>
      </c>
      <c r="H1130">
        <v>92.83</v>
      </c>
      <c r="I1130">
        <v>96.67</v>
      </c>
      <c r="J1130">
        <v>76.63</v>
      </c>
      <c r="K1130" t="s">
        <v>28</v>
      </c>
      <c r="L1130">
        <v>9.4</v>
      </c>
      <c r="M1130">
        <v>2.7</v>
      </c>
      <c r="N1130" t="s">
        <v>39</v>
      </c>
      <c r="O1130">
        <v>15</v>
      </c>
      <c r="P1130" t="s">
        <v>43</v>
      </c>
      <c r="Q1130">
        <v>62.3</v>
      </c>
    </row>
    <row r="1131" spans="1:17" x14ac:dyDescent="0.35">
      <c r="A1131" s="1">
        <v>45821</v>
      </c>
      <c r="B1131" t="s">
        <v>71</v>
      </c>
      <c r="C1131" t="s">
        <v>72</v>
      </c>
      <c r="D1131" t="s">
        <v>73</v>
      </c>
      <c r="E1131" t="s">
        <v>33</v>
      </c>
      <c r="F1131">
        <v>71.59</v>
      </c>
      <c r="G1131">
        <v>157</v>
      </c>
      <c r="H1131">
        <v>93.45</v>
      </c>
      <c r="I1131">
        <v>95.86</v>
      </c>
      <c r="J1131">
        <v>70.489999999999995</v>
      </c>
      <c r="K1131" t="s">
        <v>34</v>
      </c>
      <c r="L1131">
        <v>7.7</v>
      </c>
      <c r="M1131">
        <v>2.4</v>
      </c>
      <c r="N1131" t="s">
        <v>35</v>
      </c>
      <c r="O1131">
        <v>9</v>
      </c>
      <c r="P1131" t="s">
        <v>23</v>
      </c>
      <c r="Q1131">
        <v>61</v>
      </c>
    </row>
    <row r="1132" spans="1:17" x14ac:dyDescent="0.35">
      <c r="A1132" s="1">
        <v>45821</v>
      </c>
      <c r="B1132" t="s">
        <v>69</v>
      </c>
      <c r="C1132" t="s">
        <v>18</v>
      </c>
      <c r="D1132" t="s">
        <v>70</v>
      </c>
      <c r="E1132" t="s">
        <v>20</v>
      </c>
      <c r="F1132">
        <v>220.9</v>
      </c>
      <c r="G1132">
        <v>203.4</v>
      </c>
      <c r="H1132">
        <v>90.5</v>
      </c>
      <c r="I1132">
        <v>96.62</v>
      </c>
      <c r="J1132">
        <v>73.81</v>
      </c>
      <c r="K1132" t="s">
        <v>21</v>
      </c>
      <c r="L1132">
        <v>8</v>
      </c>
      <c r="N1132" t="s">
        <v>35</v>
      </c>
      <c r="O1132">
        <v>6</v>
      </c>
      <c r="P1132" t="s">
        <v>23</v>
      </c>
      <c r="Q1132">
        <v>72.2</v>
      </c>
    </row>
    <row r="1133" spans="1:17" x14ac:dyDescent="0.35">
      <c r="A1133" s="1">
        <v>45821</v>
      </c>
      <c r="B1133" t="s">
        <v>53</v>
      </c>
      <c r="C1133" t="s">
        <v>41</v>
      </c>
      <c r="D1133" t="s">
        <v>54</v>
      </c>
      <c r="E1133" t="s">
        <v>27</v>
      </c>
      <c r="F1133">
        <v>429.97</v>
      </c>
      <c r="G1133">
        <v>43</v>
      </c>
      <c r="H1133">
        <v>92.15</v>
      </c>
      <c r="I1133">
        <v>97.49</v>
      </c>
      <c r="J1133">
        <v>75.010000000000005</v>
      </c>
      <c r="K1133" t="s">
        <v>34</v>
      </c>
      <c r="L1133">
        <v>8.1999999999999993</v>
      </c>
      <c r="M1133">
        <v>4.3</v>
      </c>
      <c r="N1133" t="s">
        <v>39</v>
      </c>
      <c r="O1133">
        <v>11</v>
      </c>
      <c r="P1133" t="s">
        <v>43</v>
      </c>
      <c r="Q1133">
        <v>59.1</v>
      </c>
    </row>
    <row r="1134" spans="1:17" x14ac:dyDescent="0.35">
      <c r="A1134" s="1">
        <v>45821</v>
      </c>
      <c r="B1134" t="s">
        <v>71</v>
      </c>
      <c r="C1134" t="s">
        <v>72</v>
      </c>
      <c r="D1134" t="s">
        <v>73</v>
      </c>
      <c r="E1134" t="s">
        <v>33</v>
      </c>
      <c r="F1134">
        <v>141.68</v>
      </c>
      <c r="G1134">
        <v>151.30000000000001</v>
      </c>
      <c r="H1134">
        <v>97.14</v>
      </c>
      <c r="I1134">
        <v>94.57</v>
      </c>
      <c r="J1134">
        <v>79.31</v>
      </c>
      <c r="K1134" t="s">
        <v>28</v>
      </c>
      <c r="L1134">
        <v>7.6</v>
      </c>
      <c r="M1134">
        <v>2.8</v>
      </c>
      <c r="N1134" t="s">
        <v>22</v>
      </c>
      <c r="O1134">
        <v>8</v>
      </c>
      <c r="P1134" t="s">
        <v>43</v>
      </c>
      <c r="Q1134">
        <v>62.3</v>
      </c>
    </row>
    <row r="1135" spans="1:17" x14ac:dyDescent="0.35">
      <c r="A1135" s="1">
        <v>45821</v>
      </c>
      <c r="B1135" t="s">
        <v>17</v>
      </c>
      <c r="C1135" t="s">
        <v>18</v>
      </c>
      <c r="D1135" t="s">
        <v>19</v>
      </c>
      <c r="E1135" t="s">
        <v>20</v>
      </c>
      <c r="F1135">
        <v>211.27</v>
      </c>
      <c r="G1135">
        <v>177.4</v>
      </c>
      <c r="H1135">
        <v>88.61</v>
      </c>
      <c r="I1135">
        <v>96.97</v>
      </c>
      <c r="J1135">
        <v>79.08</v>
      </c>
      <c r="K1135" t="s">
        <v>58</v>
      </c>
      <c r="L1135">
        <v>7.2</v>
      </c>
      <c r="N1135" t="s">
        <v>35</v>
      </c>
      <c r="O1135">
        <v>7</v>
      </c>
      <c r="P1135" t="s">
        <v>23</v>
      </c>
      <c r="Q1135">
        <v>71.3</v>
      </c>
    </row>
    <row r="1136" spans="1:17" x14ac:dyDescent="0.35">
      <c r="A1136" s="1">
        <v>45821</v>
      </c>
      <c r="B1136" t="s">
        <v>64</v>
      </c>
      <c r="C1136" t="s">
        <v>25</v>
      </c>
      <c r="D1136" t="s">
        <v>65</v>
      </c>
      <c r="E1136" t="s">
        <v>27</v>
      </c>
      <c r="F1136">
        <v>457.11</v>
      </c>
      <c r="G1136">
        <v>67</v>
      </c>
      <c r="H1136">
        <v>95.31</v>
      </c>
      <c r="I1136">
        <v>97.15</v>
      </c>
      <c r="J1136">
        <v>80.11</v>
      </c>
      <c r="K1136" t="s">
        <v>34</v>
      </c>
      <c r="L1136">
        <v>8.9</v>
      </c>
      <c r="M1136">
        <v>4.3</v>
      </c>
      <c r="N1136" t="s">
        <v>29</v>
      </c>
      <c r="O1136">
        <v>10</v>
      </c>
      <c r="P1136" t="s">
        <v>30</v>
      </c>
      <c r="Q1136">
        <v>62.1</v>
      </c>
    </row>
    <row r="1137" spans="1:17" x14ac:dyDescent="0.35">
      <c r="A1137" s="1">
        <v>45821</v>
      </c>
      <c r="B1137" t="s">
        <v>82</v>
      </c>
      <c r="C1137" t="s">
        <v>72</v>
      </c>
      <c r="D1137" t="s">
        <v>83</v>
      </c>
      <c r="E1137" t="s">
        <v>20</v>
      </c>
      <c r="F1137">
        <v>237.44</v>
      </c>
      <c r="G1137">
        <v>94</v>
      </c>
      <c r="H1137">
        <v>89.47</v>
      </c>
      <c r="I1137">
        <v>96.88</v>
      </c>
      <c r="J1137">
        <v>72.17</v>
      </c>
      <c r="K1137" t="s">
        <v>21</v>
      </c>
      <c r="L1137">
        <v>8.5</v>
      </c>
      <c r="N1137" t="s">
        <v>35</v>
      </c>
      <c r="O1137">
        <v>6</v>
      </c>
      <c r="P1137" t="s">
        <v>43</v>
      </c>
      <c r="Q1137">
        <v>70.900000000000006</v>
      </c>
    </row>
    <row r="1138" spans="1:17" x14ac:dyDescent="0.35">
      <c r="A1138" s="1">
        <v>45821</v>
      </c>
      <c r="B1138" t="s">
        <v>55</v>
      </c>
      <c r="C1138" t="s">
        <v>56</v>
      </c>
      <c r="D1138">
        <v>4</v>
      </c>
      <c r="E1138" t="s">
        <v>57</v>
      </c>
      <c r="F1138">
        <v>30</v>
      </c>
      <c r="G1138">
        <v>135.1</v>
      </c>
      <c r="H1138">
        <v>86.94</v>
      </c>
      <c r="I1138">
        <v>94.9</v>
      </c>
      <c r="J1138">
        <v>73.62</v>
      </c>
      <c r="K1138" t="s">
        <v>63</v>
      </c>
      <c r="L1138">
        <v>7.1</v>
      </c>
      <c r="N1138" t="s">
        <v>35</v>
      </c>
      <c r="O1138">
        <v>3</v>
      </c>
      <c r="P1138" t="s">
        <v>43</v>
      </c>
      <c r="Q1138">
        <v>68.5</v>
      </c>
    </row>
    <row r="1139" spans="1:17" x14ac:dyDescent="0.35">
      <c r="A1139" s="1">
        <v>45821</v>
      </c>
      <c r="B1139" t="s">
        <v>59</v>
      </c>
      <c r="C1139" t="s">
        <v>60</v>
      </c>
      <c r="D1139" t="s">
        <v>61</v>
      </c>
      <c r="E1139" t="s">
        <v>62</v>
      </c>
      <c r="F1139">
        <v>379.28</v>
      </c>
      <c r="G1139">
        <v>174.3</v>
      </c>
      <c r="H1139">
        <v>85.74</v>
      </c>
      <c r="I1139">
        <v>96.15</v>
      </c>
      <c r="J1139">
        <v>89.21</v>
      </c>
      <c r="K1139" t="s">
        <v>63</v>
      </c>
      <c r="L1139">
        <v>8.4</v>
      </c>
      <c r="N1139" t="s">
        <v>35</v>
      </c>
      <c r="O1139">
        <v>3</v>
      </c>
      <c r="P1139" t="s">
        <v>23</v>
      </c>
      <c r="Q1139">
        <v>75</v>
      </c>
    </row>
    <row r="1140" spans="1:17" x14ac:dyDescent="0.35">
      <c r="A1140" s="1">
        <v>45821</v>
      </c>
      <c r="B1140" t="s">
        <v>93</v>
      </c>
      <c r="C1140" t="s">
        <v>37</v>
      </c>
      <c r="D1140" t="s">
        <v>94</v>
      </c>
      <c r="E1140" t="s">
        <v>33</v>
      </c>
      <c r="F1140">
        <v>409.27</v>
      </c>
      <c r="G1140">
        <v>237.2</v>
      </c>
      <c r="H1140">
        <v>96.35</v>
      </c>
      <c r="I1140">
        <v>93.87</v>
      </c>
      <c r="J1140">
        <v>71.17</v>
      </c>
      <c r="K1140" t="s">
        <v>47</v>
      </c>
      <c r="L1140">
        <v>9.5</v>
      </c>
      <c r="M1140">
        <v>2.9</v>
      </c>
      <c r="N1140" t="s">
        <v>22</v>
      </c>
      <c r="O1140">
        <v>7</v>
      </c>
      <c r="P1140" t="s">
        <v>23</v>
      </c>
      <c r="Q1140">
        <v>64.099999999999994</v>
      </c>
    </row>
    <row r="1141" spans="1:17" x14ac:dyDescent="0.35">
      <c r="A1141" s="1">
        <v>45821</v>
      </c>
      <c r="B1141" t="s">
        <v>93</v>
      </c>
      <c r="C1141" t="s">
        <v>37</v>
      </c>
      <c r="D1141" t="s">
        <v>94</v>
      </c>
      <c r="E1141" t="s">
        <v>27</v>
      </c>
      <c r="F1141">
        <v>426.27</v>
      </c>
      <c r="G1141">
        <v>63.3</v>
      </c>
      <c r="H1141">
        <v>96.92</v>
      </c>
      <c r="I1141">
        <v>96.1</v>
      </c>
      <c r="J1141">
        <v>82.66</v>
      </c>
      <c r="K1141" t="s">
        <v>47</v>
      </c>
      <c r="L1141">
        <v>8.3000000000000007</v>
      </c>
      <c r="M1141">
        <v>4.8</v>
      </c>
      <c r="N1141" t="s">
        <v>39</v>
      </c>
      <c r="O1141">
        <v>9</v>
      </c>
      <c r="P1141" t="s">
        <v>23</v>
      </c>
      <c r="Q1141">
        <v>61.2</v>
      </c>
    </row>
    <row r="1142" spans="1:17" x14ac:dyDescent="0.35">
      <c r="A1142" s="1">
        <v>45821</v>
      </c>
      <c r="B1142" t="s">
        <v>99</v>
      </c>
      <c r="C1142" t="s">
        <v>72</v>
      </c>
      <c r="D1142" t="s">
        <v>100</v>
      </c>
      <c r="E1142" t="s">
        <v>27</v>
      </c>
      <c r="F1142">
        <v>227.6</v>
      </c>
      <c r="G1142">
        <v>33.299999999999997</v>
      </c>
      <c r="H1142">
        <v>95.85</v>
      </c>
      <c r="I1142">
        <v>93.5</v>
      </c>
      <c r="J1142">
        <v>81.19</v>
      </c>
      <c r="K1142" t="s">
        <v>28</v>
      </c>
      <c r="L1142">
        <v>7.2</v>
      </c>
      <c r="M1142">
        <v>4</v>
      </c>
      <c r="N1142" t="s">
        <v>29</v>
      </c>
      <c r="O1142">
        <v>14</v>
      </c>
      <c r="P1142" t="s">
        <v>23</v>
      </c>
      <c r="Q1142">
        <v>58.4</v>
      </c>
    </row>
    <row r="1143" spans="1:17" x14ac:dyDescent="0.35">
      <c r="A1143" s="1">
        <v>45821</v>
      </c>
      <c r="B1143" t="s">
        <v>59</v>
      </c>
      <c r="C1143" t="s">
        <v>60</v>
      </c>
      <c r="D1143" t="s">
        <v>61</v>
      </c>
      <c r="E1143" t="s">
        <v>62</v>
      </c>
      <c r="F1143">
        <v>419.29</v>
      </c>
      <c r="G1143">
        <v>185.3</v>
      </c>
      <c r="H1143">
        <v>86.52</v>
      </c>
      <c r="I1143">
        <v>94.95</v>
      </c>
      <c r="J1143">
        <v>87.15</v>
      </c>
      <c r="K1143" t="s">
        <v>63</v>
      </c>
      <c r="L1143">
        <v>8.8000000000000007</v>
      </c>
      <c r="N1143" t="s">
        <v>35</v>
      </c>
      <c r="O1143">
        <v>4</v>
      </c>
      <c r="P1143" t="s">
        <v>23</v>
      </c>
      <c r="Q1143">
        <v>75.3</v>
      </c>
    </row>
    <row r="1144" spans="1:17" x14ac:dyDescent="0.35">
      <c r="A1144" s="1">
        <v>45821</v>
      </c>
      <c r="B1144" t="s">
        <v>36</v>
      </c>
      <c r="C1144" t="s">
        <v>37</v>
      </c>
      <c r="D1144" t="s">
        <v>38</v>
      </c>
      <c r="E1144" t="s">
        <v>33</v>
      </c>
      <c r="F1144">
        <v>374.59</v>
      </c>
      <c r="G1144">
        <v>93.7</v>
      </c>
      <c r="H1144">
        <v>95.49</v>
      </c>
      <c r="I1144">
        <v>95.27</v>
      </c>
      <c r="J1144">
        <v>74.849999999999994</v>
      </c>
      <c r="K1144" t="s">
        <v>28</v>
      </c>
      <c r="L1144">
        <v>8.4</v>
      </c>
      <c r="M1144">
        <v>2</v>
      </c>
      <c r="N1144" t="s">
        <v>35</v>
      </c>
      <c r="O1144">
        <v>7</v>
      </c>
      <c r="P1144" t="s">
        <v>23</v>
      </c>
      <c r="Q1144">
        <v>62.1</v>
      </c>
    </row>
    <row r="1145" spans="1:17" x14ac:dyDescent="0.35">
      <c r="A1145" s="1">
        <v>45821</v>
      </c>
      <c r="B1145" t="s">
        <v>74</v>
      </c>
      <c r="C1145" t="s">
        <v>67</v>
      </c>
      <c r="D1145" t="s">
        <v>75</v>
      </c>
      <c r="E1145" t="s">
        <v>27</v>
      </c>
      <c r="F1145">
        <v>596.57000000000005</v>
      </c>
      <c r="G1145">
        <v>35.200000000000003</v>
      </c>
      <c r="H1145">
        <v>97.79</v>
      </c>
      <c r="I1145">
        <v>95.63</v>
      </c>
      <c r="J1145">
        <v>79.819999999999993</v>
      </c>
      <c r="K1145" t="s">
        <v>28</v>
      </c>
      <c r="L1145">
        <v>8.5</v>
      </c>
      <c r="M1145">
        <v>2.9</v>
      </c>
      <c r="N1145" t="s">
        <v>29</v>
      </c>
      <c r="O1145">
        <v>15</v>
      </c>
      <c r="P1145" t="s">
        <v>23</v>
      </c>
      <c r="Q1145">
        <v>61.8</v>
      </c>
    </row>
    <row r="1146" spans="1:17" x14ac:dyDescent="0.35">
      <c r="A1146" s="1">
        <v>45821</v>
      </c>
      <c r="B1146" t="s">
        <v>97</v>
      </c>
      <c r="C1146" t="s">
        <v>72</v>
      </c>
      <c r="D1146" t="s">
        <v>98</v>
      </c>
      <c r="E1146" t="s">
        <v>33</v>
      </c>
      <c r="F1146">
        <v>274.97000000000003</v>
      </c>
      <c r="G1146">
        <v>98.2</v>
      </c>
      <c r="H1146">
        <v>96.5</v>
      </c>
      <c r="I1146">
        <v>94.46</v>
      </c>
      <c r="J1146">
        <v>78.099999999999994</v>
      </c>
      <c r="K1146" t="s">
        <v>47</v>
      </c>
      <c r="L1146">
        <v>8</v>
      </c>
      <c r="M1146">
        <v>4.2</v>
      </c>
      <c r="N1146" t="s">
        <v>22</v>
      </c>
      <c r="O1146">
        <v>8</v>
      </c>
      <c r="P1146" t="s">
        <v>23</v>
      </c>
      <c r="Q1146">
        <v>60.7</v>
      </c>
    </row>
    <row r="1147" spans="1:17" x14ac:dyDescent="0.35">
      <c r="A1147" s="1">
        <v>45821</v>
      </c>
      <c r="B1147" t="s">
        <v>71</v>
      </c>
      <c r="C1147" t="s">
        <v>72</v>
      </c>
      <c r="D1147" t="s">
        <v>73</v>
      </c>
      <c r="E1147" t="s">
        <v>27</v>
      </c>
      <c r="F1147">
        <v>279.45999999999998</v>
      </c>
      <c r="G1147">
        <v>20.5</v>
      </c>
      <c r="H1147">
        <v>94.95</v>
      </c>
      <c r="I1147">
        <v>94.89</v>
      </c>
      <c r="J1147">
        <v>75.510000000000005</v>
      </c>
      <c r="K1147" t="s">
        <v>47</v>
      </c>
      <c r="L1147">
        <v>7.9</v>
      </c>
      <c r="M1147">
        <v>4.5999999999999996</v>
      </c>
      <c r="N1147" t="s">
        <v>39</v>
      </c>
      <c r="O1147">
        <v>12</v>
      </c>
      <c r="P1147" t="s">
        <v>23</v>
      </c>
      <c r="Q1147">
        <v>58.1</v>
      </c>
    </row>
    <row r="1148" spans="1:17" x14ac:dyDescent="0.35">
      <c r="A1148" s="1">
        <v>45821</v>
      </c>
      <c r="B1148" t="s">
        <v>78</v>
      </c>
      <c r="C1148" t="s">
        <v>41</v>
      </c>
      <c r="D1148" t="s">
        <v>79</v>
      </c>
      <c r="E1148" t="s">
        <v>27</v>
      </c>
      <c r="F1148">
        <v>346.76</v>
      </c>
      <c r="G1148">
        <v>25.9</v>
      </c>
      <c r="H1148">
        <v>93.3</v>
      </c>
      <c r="I1148">
        <v>97.03</v>
      </c>
      <c r="J1148">
        <v>76.37</v>
      </c>
      <c r="K1148" t="s">
        <v>28</v>
      </c>
      <c r="L1148">
        <v>7.5</v>
      </c>
      <c r="M1148">
        <v>3.8</v>
      </c>
      <c r="N1148" t="s">
        <v>39</v>
      </c>
      <c r="O1148">
        <v>12</v>
      </c>
      <c r="P1148" t="s">
        <v>43</v>
      </c>
      <c r="Q1148">
        <v>58.3</v>
      </c>
    </row>
    <row r="1149" spans="1:17" x14ac:dyDescent="0.35">
      <c r="A1149" s="1">
        <v>45821</v>
      </c>
      <c r="B1149" t="s">
        <v>48</v>
      </c>
      <c r="C1149" t="s">
        <v>49</v>
      </c>
      <c r="D1149" t="s">
        <v>50</v>
      </c>
      <c r="E1149" t="s">
        <v>27</v>
      </c>
      <c r="F1149">
        <v>401.32</v>
      </c>
      <c r="G1149">
        <v>40.700000000000003</v>
      </c>
      <c r="H1149">
        <v>95.75</v>
      </c>
      <c r="I1149">
        <v>94.26</v>
      </c>
      <c r="J1149">
        <v>77.25</v>
      </c>
      <c r="K1149" t="s">
        <v>47</v>
      </c>
      <c r="L1149">
        <v>8.6999999999999993</v>
      </c>
      <c r="M1149">
        <v>1.8</v>
      </c>
      <c r="N1149" t="s">
        <v>29</v>
      </c>
      <c r="O1149">
        <v>12</v>
      </c>
      <c r="P1149" t="s">
        <v>43</v>
      </c>
      <c r="Q1149">
        <v>62</v>
      </c>
    </row>
    <row r="1150" spans="1:17" x14ac:dyDescent="0.35">
      <c r="A1150" s="1">
        <v>45821</v>
      </c>
      <c r="B1150" t="s">
        <v>59</v>
      </c>
      <c r="C1150" t="s">
        <v>60</v>
      </c>
      <c r="D1150" t="s">
        <v>61</v>
      </c>
      <c r="E1150" t="s">
        <v>62</v>
      </c>
      <c r="F1150">
        <v>451.7</v>
      </c>
      <c r="G1150">
        <v>177.6</v>
      </c>
      <c r="H1150">
        <v>87.27</v>
      </c>
      <c r="I1150">
        <v>95.21</v>
      </c>
      <c r="J1150">
        <v>88.36</v>
      </c>
      <c r="K1150" t="s">
        <v>34</v>
      </c>
      <c r="L1150">
        <v>9.1</v>
      </c>
      <c r="N1150" t="s">
        <v>35</v>
      </c>
      <c r="O1150">
        <v>5</v>
      </c>
      <c r="P1150" t="s">
        <v>23</v>
      </c>
      <c r="Q1150">
        <v>76.400000000000006</v>
      </c>
    </row>
    <row r="1151" spans="1:17" x14ac:dyDescent="0.35">
      <c r="A1151" s="1">
        <v>45821</v>
      </c>
      <c r="B1151" t="s">
        <v>36</v>
      </c>
      <c r="C1151" t="s">
        <v>37</v>
      </c>
      <c r="D1151" t="s">
        <v>38</v>
      </c>
      <c r="E1151" t="s">
        <v>27</v>
      </c>
      <c r="F1151">
        <v>319.44</v>
      </c>
      <c r="G1151">
        <v>33.9</v>
      </c>
      <c r="H1151">
        <v>95.74</v>
      </c>
      <c r="I1151">
        <v>94.56</v>
      </c>
      <c r="J1151">
        <v>75.09</v>
      </c>
      <c r="K1151" t="s">
        <v>34</v>
      </c>
      <c r="L1151">
        <v>7.6</v>
      </c>
      <c r="M1151">
        <v>2.4</v>
      </c>
      <c r="N1151" t="s">
        <v>29</v>
      </c>
      <c r="O1151">
        <v>13</v>
      </c>
      <c r="P1151" t="s">
        <v>23</v>
      </c>
      <c r="Q1151">
        <v>59.3</v>
      </c>
    </row>
    <row r="1152" spans="1:17" x14ac:dyDescent="0.35">
      <c r="A1152" s="1">
        <v>45821</v>
      </c>
      <c r="B1152" t="s">
        <v>93</v>
      </c>
      <c r="C1152" t="s">
        <v>37</v>
      </c>
      <c r="D1152" t="s">
        <v>94</v>
      </c>
      <c r="E1152" t="s">
        <v>33</v>
      </c>
      <c r="F1152">
        <v>397.51</v>
      </c>
      <c r="G1152">
        <v>113.8</v>
      </c>
      <c r="H1152">
        <v>94.07</v>
      </c>
      <c r="I1152">
        <v>95.71</v>
      </c>
      <c r="J1152">
        <v>73.849999999999994</v>
      </c>
      <c r="K1152" t="s">
        <v>28</v>
      </c>
      <c r="L1152">
        <v>8.3000000000000007</v>
      </c>
      <c r="M1152">
        <v>3.6</v>
      </c>
      <c r="N1152" t="s">
        <v>35</v>
      </c>
      <c r="O1152">
        <v>6</v>
      </c>
      <c r="P1152" t="s">
        <v>23</v>
      </c>
      <c r="Q1152">
        <v>61</v>
      </c>
    </row>
    <row r="1153" spans="1:17" x14ac:dyDescent="0.35">
      <c r="A1153" s="1">
        <v>45821</v>
      </c>
      <c r="B1153" t="s">
        <v>99</v>
      </c>
      <c r="C1153" t="s">
        <v>72</v>
      </c>
      <c r="D1153" t="s">
        <v>100</v>
      </c>
      <c r="E1153" t="s">
        <v>33</v>
      </c>
      <c r="F1153">
        <v>186.92</v>
      </c>
      <c r="G1153">
        <v>101.5</v>
      </c>
      <c r="H1153">
        <v>95.64</v>
      </c>
      <c r="I1153">
        <v>96.37</v>
      </c>
      <c r="J1153">
        <v>78.59</v>
      </c>
      <c r="K1153" t="s">
        <v>47</v>
      </c>
      <c r="L1153">
        <v>7.8</v>
      </c>
      <c r="M1153">
        <v>2.2000000000000002</v>
      </c>
      <c r="N1153" t="s">
        <v>22</v>
      </c>
      <c r="O1153">
        <v>10</v>
      </c>
      <c r="P1153" t="s">
        <v>43</v>
      </c>
      <c r="Q1153">
        <v>62</v>
      </c>
    </row>
    <row r="1154" spans="1:17" x14ac:dyDescent="0.35">
      <c r="A1154" s="1">
        <v>45821</v>
      </c>
      <c r="B1154" t="s">
        <v>55</v>
      </c>
      <c r="C1154" t="s">
        <v>56</v>
      </c>
      <c r="D1154">
        <v>4</v>
      </c>
      <c r="E1154" t="s">
        <v>57</v>
      </c>
      <c r="F1154">
        <v>30</v>
      </c>
      <c r="G1154">
        <v>133.30000000000001</v>
      </c>
      <c r="H1154">
        <v>86.51</v>
      </c>
      <c r="I1154">
        <v>96.05</v>
      </c>
      <c r="J1154">
        <v>71.02</v>
      </c>
      <c r="K1154" t="s">
        <v>63</v>
      </c>
      <c r="L1154">
        <v>6.2</v>
      </c>
      <c r="N1154" t="s">
        <v>35</v>
      </c>
      <c r="O1154">
        <v>4</v>
      </c>
      <c r="P1154" t="s">
        <v>23</v>
      </c>
      <c r="Q1154">
        <v>66.3</v>
      </c>
    </row>
    <row r="1155" spans="1:17" x14ac:dyDescent="0.35">
      <c r="A1155" s="1">
        <v>45821</v>
      </c>
      <c r="B1155" t="s">
        <v>40</v>
      </c>
      <c r="C1155" t="s">
        <v>41</v>
      </c>
      <c r="D1155" t="s">
        <v>42</v>
      </c>
      <c r="E1155" t="s">
        <v>27</v>
      </c>
      <c r="F1155">
        <v>552.64</v>
      </c>
      <c r="G1155">
        <v>57.3</v>
      </c>
      <c r="H1155">
        <v>97.85</v>
      </c>
      <c r="I1155">
        <v>97.53</v>
      </c>
      <c r="J1155">
        <v>76.599999999999994</v>
      </c>
      <c r="K1155" t="s">
        <v>28</v>
      </c>
      <c r="L1155">
        <v>8.6</v>
      </c>
      <c r="M1155">
        <v>4.2</v>
      </c>
      <c r="N1155" t="s">
        <v>39</v>
      </c>
      <c r="O1155">
        <v>10</v>
      </c>
      <c r="P1155" t="s">
        <v>43</v>
      </c>
      <c r="Q1155">
        <v>61.3</v>
      </c>
    </row>
    <row r="1156" spans="1:17" x14ac:dyDescent="0.35">
      <c r="A1156" s="1">
        <v>45821</v>
      </c>
      <c r="B1156" t="s">
        <v>95</v>
      </c>
      <c r="C1156" t="s">
        <v>49</v>
      </c>
      <c r="D1156" t="s">
        <v>96</v>
      </c>
      <c r="E1156" t="s">
        <v>27</v>
      </c>
      <c r="F1156">
        <v>391.46</v>
      </c>
      <c r="G1156">
        <v>36.700000000000003</v>
      </c>
      <c r="H1156">
        <v>93.7</v>
      </c>
      <c r="I1156">
        <v>95.19</v>
      </c>
      <c r="J1156">
        <v>79.12</v>
      </c>
      <c r="K1156" t="s">
        <v>47</v>
      </c>
      <c r="L1156">
        <v>7.4</v>
      </c>
      <c r="M1156">
        <v>3.2</v>
      </c>
      <c r="N1156" t="s">
        <v>39</v>
      </c>
      <c r="O1156">
        <v>14</v>
      </c>
      <c r="P1156" t="s">
        <v>23</v>
      </c>
      <c r="Q1156">
        <v>58.9</v>
      </c>
    </row>
    <row r="1157" spans="1:17" x14ac:dyDescent="0.35">
      <c r="A1157" s="1">
        <v>45821</v>
      </c>
      <c r="B1157" t="s">
        <v>66</v>
      </c>
      <c r="C1157" t="s">
        <v>67</v>
      </c>
      <c r="D1157" t="s">
        <v>68</v>
      </c>
      <c r="E1157" t="s">
        <v>27</v>
      </c>
      <c r="F1157">
        <v>286.88</v>
      </c>
      <c r="G1157">
        <v>25.9</v>
      </c>
      <c r="H1157">
        <v>93</v>
      </c>
      <c r="I1157">
        <v>94.1</v>
      </c>
      <c r="J1157">
        <v>78</v>
      </c>
      <c r="K1157" t="s">
        <v>47</v>
      </c>
      <c r="L1157">
        <v>7.5</v>
      </c>
      <c r="M1157">
        <v>4.8</v>
      </c>
      <c r="N1157" t="s">
        <v>39</v>
      </c>
      <c r="O1157">
        <v>15</v>
      </c>
      <c r="P1157" t="s">
        <v>43</v>
      </c>
      <c r="Q1157">
        <v>57.3</v>
      </c>
    </row>
    <row r="1158" spans="1:17" x14ac:dyDescent="0.35">
      <c r="A1158" s="1">
        <v>45821</v>
      </c>
      <c r="B1158" t="s">
        <v>31</v>
      </c>
      <c r="C1158" t="s">
        <v>18</v>
      </c>
      <c r="D1158" t="s">
        <v>32</v>
      </c>
      <c r="E1158" t="s">
        <v>33</v>
      </c>
      <c r="F1158">
        <v>241.11</v>
      </c>
      <c r="G1158">
        <v>161.4</v>
      </c>
      <c r="H1158">
        <v>93.61</v>
      </c>
      <c r="I1158">
        <v>93.75</v>
      </c>
      <c r="J1158">
        <v>70.680000000000007</v>
      </c>
      <c r="K1158" t="s">
        <v>47</v>
      </c>
      <c r="L1158">
        <v>7.4</v>
      </c>
      <c r="M1158">
        <v>3.7</v>
      </c>
      <c r="N1158" t="s">
        <v>35</v>
      </c>
      <c r="O1158">
        <v>7</v>
      </c>
      <c r="P1158" t="s">
        <v>23</v>
      </c>
      <c r="Q1158">
        <v>59.4</v>
      </c>
    </row>
    <row r="1159" spans="1:17" x14ac:dyDescent="0.35">
      <c r="A1159" s="1">
        <v>45821</v>
      </c>
      <c r="B1159" t="s">
        <v>69</v>
      </c>
      <c r="C1159" t="s">
        <v>18</v>
      </c>
      <c r="D1159" t="s">
        <v>70</v>
      </c>
      <c r="E1159" t="s">
        <v>20</v>
      </c>
      <c r="F1159">
        <v>258.43</v>
      </c>
      <c r="G1159">
        <v>169.1</v>
      </c>
      <c r="H1159">
        <v>92.14</v>
      </c>
      <c r="I1159">
        <v>94.09</v>
      </c>
      <c r="J1159">
        <v>75.66</v>
      </c>
      <c r="K1159" t="s">
        <v>21</v>
      </c>
      <c r="L1159">
        <v>7.7</v>
      </c>
      <c r="N1159" t="s">
        <v>35</v>
      </c>
      <c r="O1159">
        <v>5</v>
      </c>
      <c r="P1159" t="s">
        <v>23</v>
      </c>
      <c r="Q1159">
        <v>71.8</v>
      </c>
    </row>
    <row r="1160" spans="1:17" x14ac:dyDescent="0.35">
      <c r="A1160" s="1">
        <v>45821</v>
      </c>
      <c r="B1160" t="s">
        <v>51</v>
      </c>
      <c r="C1160" t="s">
        <v>45</v>
      </c>
      <c r="D1160" t="s">
        <v>52</v>
      </c>
      <c r="E1160" t="s">
        <v>27</v>
      </c>
      <c r="F1160">
        <v>531.48</v>
      </c>
      <c r="G1160">
        <v>566.5</v>
      </c>
      <c r="H1160">
        <v>94.07</v>
      </c>
      <c r="I1160">
        <v>99.32</v>
      </c>
      <c r="J1160">
        <v>82.8</v>
      </c>
      <c r="K1160" t="s">
        <v>88</v>
      </c>
      <c r="L1160">
        <v>9.1999999999999993</v>
      </c>
      <c r="M1160">
        <v>2</v>
      </c>
      <c r="N1160" t="s">
        <v>39</v>
      </c>
      <c r="O1160">
        <v>8</v>
      </c>
      <c r="P1160" t="s">
        <v>23</v>
      </c>
      <c r="Q1160">
        <v>66.7</v>
      </c>
    </row>
    <row r="1161" spans="1:17" x14ac:dyDescent="0.35">
      <c r="A1161" s="1">
        <v>45821</v>
      </c>
      <c r="B1161" t="s">
        <v>64</v>
      </c>
      <c r="C1161" t="s">
        <v>25</v>
      </c>
      <c r="D1161" t="s">
        <v>65</v>
      </c>
      <c r="E1161" t="s">
        <v>27</v>
      </c>
      <c r="F1161">
        <v>297.73</v>
      </c>
      <c r="G1161">
        <v>66.3</v>
      </c>
      <c r="H1161">
        <v>96.91</v>
      </c>
      <c r="I1161">
        <v>97.69</v>
      </c>
      <c r="J1161">
        <v>84.46</v>
      </c>
      <c r="K1161" t="s">
        <v>34</v>
      </c>
      <c r="L1161">
        <v>7.5</v>
      </c>
      <c r="M1161">
        <v>1.8</v>
      </c>
      <c r="N1161" t="s">
        <v>39</v>
      </c>
      <c r="O1161">
        <v>13</v>
      </c>
      <c r="P1161" t="s">
        <v>30</v>
      </c>
      <c r="Q1161">
        <v>62.5</v>
      </c>
    </row>
    <row r="1162" spans="1:17" x14ac:dyDescent="0.35">
      <c r="A1162" s="1">
        <v>45821</v>
      </c>
      <c r="B1162" t="s">
        <v>59</v>
      </c>
      <c r="C1162" t="s">
        <v>60</v>
      </c>
      <c r="D1162" t="s">
        <v>61</v>
      </c>
      <c r="E1162" t="s">
        <v>62</v>
      </c>
      <c r="F1162">
        <v>378.1</v>
      </c>
      <c r="G1162">
        <v>185.2</v>
      </c>
      <c r="H1162">
        <v>90.45</v>
      </c>
      <c r="I1162">
        <v>94.95</v>
      </c>
      <c r="J1162">
        <v>89.42</v>
      </c>
      <c r="K1162" t="s">
        <v>63</v>
      </c>
      <c r="L1162">
        <v>7.5</v>
      </c>
      <c r="N1162" t="s">
        <v>35</v>
      </c>
      <c r="O1162">
        <v>3</v>
      </c>
      <c r="P1162" t="s">
        <v>43</v>
      </c>
      <c r="Q1162">
        <v>74</v>
      </c>
    </row>
    <row r="1163" spans="1:17" x14ac:dyDescent="0.35">
      <c r="A1163" s="1">
        <v>45821</v>
      </c>
      <c r="B1163" t="s">
        <v>86</v>
      </c>
      <c r="C1163" t="s">
        <v>25</v>
      </c>
      <c r="D1163" t="s">
        <v>87</v>
      </c>
      <c r="E1163" t="s">
        <v>27</v>
      </c>
      <c r="F1163">
        <v>643.88</v>
      </c>
      <c r="G1163">
        <v>33.1</v>
      </c>
      <c r="H1163">
        <v>95.26</v>
      </c>
      <c r="I1163">
        <v>97.65</v>
      </c>
      <c r="J1163">
        <v>76.790000000000006</v>
      </c>
      <c r="K1163" t="s">
        <v>34</v>
      </c>
      <c r="L1163">
        <v>8</v>
      </c>
      <c r="M1163">
        <v>2.2000000000000002</v>
      </c>
      <c r="N1163" t="s">
        <v>29</v>
      </c>
      <c r="O1163">
        <v>14</v>
      </c>
      <c r="P1163" t="s">
        <v>30</v>
      </c>
      <c r="Q1163">
        <v>60.8</v>
      </c>
    </row>
    <row r="1164" spans="1:17" x14ac:dyDescent="0.35">
      <c r="A1164" s="1">
        <v>45821</v>
      </c>
      <c r="B1164" t="s">
        <v>40</v>
      </c>
      <c r="C1164" t="s">
        <v>41</v>
      </c>
      <c r="D1164" t="s">
        <v>42</v>
      </c>
      <c r="E1164" t="s">
        <v>27</v>
      </c>
      <c r="F1164">
        <v>204.02</v>
      </c>
      <c r="G1164">
        <v>40.299999999999997</v>
      </c>
      <c r="H1164">
        <v>96.52</v>
      </c>
      <c r="I1164">
        <v>98.02</v>
      </c>
      <c r="J1164">
        <v>80.36</v>
      </c>
      <c r="K1164" t="s">
        <v>47</v>
      </c>
      <c r="L1164">
        <v>8.5</v>
      </c>
      <c r="M1164">
        <v>1.6</v>
      </c>
      <c r="N1164" t="s">
        <v>39</v>
      </c>
      <c r="O1164">
        <v>8</v>
      </c>
      <c r="P1164" t="s">
        <v>43</v>
      </c>
      <c r="Q1164">
        <v>63</v>
      </c>
    </row>
    <row r="1165" spans="1:17" x14ac:dyDescent="0.35">
      <c r="A1165" s="1">
        <v>45821</v>
      </c>
      <c r="B1165" t="s">
        <v>48</v>
      </c>
      <c r="C1165" t="s">
        <v>49</v>
      </c>
      <c r="D1165" t="s">
        <v>50</v>
      </c>
      <c r="E1165" t="s">
        <v>27</v>
      </c>
      <c r="F1165">
        <v>440.78</v>
      </c>
      <c r="G1165">
        <v>23.6</v>
      </c>
      <c r="H1165">
        <v>95.9</v>
      </c>
      <c r="I1165">
        <v>95.47</v>
      </c>
      <c r="J1165">
        <v>79.11</v>
      </c>
      <c r="K1165" t="s">
        <v>34</v>
      </c>
      <c r="L1165">
        <v>9.1</v>
      </c>
      <c r="M1165">
        <v>3.7</v>
      </c>
      <c r="N1165" t="s">
        <v>39</v>
      </c>
      <c r="O1165">
        <v>15</v>
      </c>
      <c r="P1165" t="s">
        <v>43</v>
      </c>
      <c r="Q1165">
        <v>61.6</v>
      </c>
    </row>
    <row r="1166" spans="1:17" x14ac:dyDescent="0.35">
      <c r="A1166" s="1">
        <v>45821</v>
      </c>
      <c r="B1166" t="s">
        <v>55</v>
      </c>
      <c r="C1166" t="s">
        <v>56</v>
      </c>
      <c r="D1166">
        <v>4</v>
      </c>
      <c r="E1166" t="s">
        <v>57</v>
      </c>
      <c r="F1166">
        <v>30</v>
      </c>
      <c r="G1166">
        <v>160.69999999999999</v>
      </c>
      <c r="H1166">
        <v>85.5</v>
      </c>
      <c r="I1166">
        <v>93.65</v>
      </c>
      <c r="J1166">
        <v>72.28</v>
      </c>
      <c r="K1166" t="s">
        <v>63</v>
      </c>
      <c r="L1166">
        <v>7.3</v>
      </c>
      <c r="N1166" t="s">
        <v>35</v>
      </c>
      <c r="O1166">
        <v>4</v>
      </c>
      <c r="P1166" t="s">
        <v>23</v>
      </c>
      <c r="Q1166">
        <v>68.7</v>
      </c>
    </row>
    <row r="1167" spans="1:17" x14ac:dyDescent="0.35">
      <c r="A1167" s="1">
        <v>45821</v>
      </c>
      <c r="B1167" t="s">
        <v>59</v>
      </c>
      <c r="C1167" t="s">
        <v>60</v>
      </c>
      <c r="D1167" t="s">
        <v>61</v>
      </c>
      <c r="E1167" t="s">
        <v>62</v>
      </c>
      <c r="F1167">
        <v>321.81</v>
      </c>
      <c r="G1167">
        <v>170</v>
      </c>
      <c r="H1167">
        <v>88.02</v>
      </c>
      <c r="I1167">
        <v>95.98</v>
      </c>
      <c r="J1167">
        <v>87.61</v>
      </c>
      <c r="K1167" t="s">
        <v>63</v>
      </c>
      <c r="L1167">
        <v>7.8</v>
      </c>
      <c r="N1167" t="s">
        <v>35</v>
      </c>
      <c r="O1167">
        <v>5</v>
      </c>
      <c r="P1167" t="s">
        <v>43</v>
      </c>
      <c r="Q1167">
        <v>73.900000000000006</v>
      </c>
    </row>
    <row r="1168" spans="1:17" x14ac:dyDescent="0.35">
      <c r="A1168" s="1">
        <v>45821</v>
      </c>
      <c r="B1168" t="s">
        <v>55</v>
      </c>
      <c r="C1168" t="s">
        <v>56</v>
      </c>
      <c r="D1168">
        <v>4</v>
      </c>
      <c r="E1168" t="s">
        <v>57</v>
      </c>
      <c r="F1168">
        <v>30</v>
      </c>
      <c r="G1168">
        <v>163</v>
      </c>
      <c r="H1168">
        <v>89.87</v>
      </c>
      <c r="I1168">
        <v>94.01</v>
      </c>
      <c r="J1168">
        <v>74.67</v>
      </c>
      <c r="K1168" t="s">
        <v>58</v>
      </c>
      <c r="L1168">
        <v>7.3</v>
      </c>
      <c r="N1168" t="s">
        <v>35</v>
      </c>
      <c r="O1168">
        <v>4</v>
      </c>
      <c r="P1168" t="s">
        <v>23</v>
      </c>
      <c r="Q1168">
        <v>70.2</v>
      </c>
    </row>
    <row r="1169" spans="1:17" x14ac:dyDescent="0.35">
      <c r="A1169" s="1">
        <v>45821</v>
      </c>
      <c r="B1169" t="s">
        <v>95</v>
      </c>
      <c r="C1169" t="s">
        <v>49</v>
      </c>
      <c r="D1169" t="s">
        <v>96</v>
      </c>
      <c r="E1169" t="s">
        <v>33</v>
      </c>
      <c r="F1169">
        <v>374.29</v>
      </c>
      <c r="G1169">
        <v>178.9</v>
      </c>
      <c r="H1169">
        <v>97.98</v>
      </c>
      <c r="I1169">
        <v>95.76</v>
      </c>
      <c r="J1169">
        <v>79.48</v>
      </c>
      <c r="K1169" t="s">
        <v>28</v>
      </c>
      <c r="L1169">
        <v>8.5</v>
      </c>
      <c r="M1169">
        <v>4.4000000000000004</v>
      </c>
      <c r="N1169" t="s">
        <v>35</v>
      </c>
      <c r="O1169">
        <v>6</v>
      </c>
      <c r="P1169" t="s">
        <v>23</v>
      </c>
      <c r="Q1169">
        <v>63.4</v>
      </c>
    </row>
    <row r="1170" spans="1:17" x14ac:dyDescent="0.35">
      <c r="A1170" s="1">
        <v>45821</v>
      </c>
      <c r="B1170" t="s">
        <v>97</v>
      </c>
      <c r="C1170" t="s">
        <v>72</v>
      </c>
      <c r="D1170" t="s">
        <v>98</v>
      </c>
      <c r="E1170" t="s">
        <v>27</v>
      </c>
      <c r="F1170">
        <v>194.69</v>
      </c>
      <c r="G1170">
        <v>70.099999999999994</v>
      </c>
      <c r="H1170">
        <v>97.81</v>
      </c>
      <c r="I1170">
        <v>95.52</v>
      </c>
      <c r="J1170">
        <v>78.31</v>
      </c>
      <c r="K1170" t="s">
        <v>28</v>
      </c>
      <c r="L1170">
        <v>6.2</v>
      </c>
      <c r="M1170">
        <v>1.9</v>
      </c>
      <c r="N1170" t="s">
        <v>39</v>
      </c>
      <c r="O1170">
        <v>11</v>
      </c>
      <c r="P1170" t="s">
        <v>43</v>
      </c>
      <c r="Q1170">
        <v>59.1</v>
      </c>
    </row>
    <row r="1171" spans="1:17" x14ac:dyDescent="0.35">
      <c r="A1171" s="1">
        <v>45821</v>
      </c>
      <c r="B1171" t="s">
        <v>40</v>
      </c>
      <c r="C1171" t="s">
        <v>41</v>
      </c>
      <c r="D1171" t="s">
        <v>42</v>
      </c>
      <c r="E1171" t="s">
        <v>27</v>
      </c>
      <c r="F1171">
        <v>560.79</v>
      </c>
      <c r="G1171">
        <v>66.900000000000006</v>
      </c>
      <c r="H1171">
        <v>95.87</v>
      </c>
      <c r="I1171">
        <v>97.14</v>
      </c>
      <c r="J1171">
        <v>84.77</v>
      </c>
      <c r="K1171" t="s">
        <v>34</v>
      </c>
      <c r="L1171">
        <v>8.6999999999999993</v>
      </c>
      <c r="M1171">
        <v>1.8</v>
      </c>
      <c r="N1171" t="s">
        <v>29</v>
      </c>
      <c r="O1171">
        <v>8</v>
      </c>
      <c r="P1171" t="s">
        <v>43</v>
      </c>
      <c r="Q1171">
        <v>64.3</v>
      </c>
    </row>
    <row r="1172" spans="1:17" x14ac:dyDescent="0.35">
      <c r="A1172" s="1">
        <v>45821</v>
      </c>
      <c r="B1172" t="s">
        <v>55</v>
      </c>
      <c r="C1172" t="s">
        <v>56</v>
      </c>
      <c r="D1172">
        <v>4</v>
      </c>
      <c r="E1172" t="s">
        <v>57</v>
      </c>
      <c r="F1172">
        <v>30</v>
      </c>
      <c r="G1172">
        <v>161.9</v>
      </c>
      <c r="H1172">
        <v>91.59</v>
      </c>
      <c r="I1172">
        <v>94.69</v>
      </c>
      <c r="J1172">
        <v>79.16</v>
      </c>
      <c r="K1172" t="s">
        <v>58</v>
      </c>
      <c r="L1172">
        <v>7.9</v>
      </c>
      <c r="N1172" t="s">
        <v>35</v>
      </c>
      <c r="O1172">
        <v>4</v>
      </c>
      <c r="P1172" t="s">
        <v>23</v>
      </c>
      <c r="Q1172">
        <v>72.7</v>
      </c>
    </row>
    <row r="1173" spans="1:17" x14ac:dyDescent="0.35">
      <c r="A1173" s="1">
        <v>45821</v>
      </c>
      <c r="B1173" t="s">
        <v>76</v>
      </c>
      <c r="C1173" t="s">
        <v>45</v>
      </c>
      <c r="D1173" t="s">
        <v>77</v>
      </c>
      <c r="E1173" t="s">
        <v>27</v>
      </c>
      <c r="F1173">
        <v>586.36</v>
      </c>
      <c r="G1173">
        <v>374.8</v>
      </c>
      <c r="H1173">
        <v>92.9</v>
      </c>
      <c r="I1173">
        <v>98.24</v>
      </c>
      <c r="J1173">
        <v>81.02</v>
      </c>
      <c r="K1173" t="s">
        <v>47</v>
      </c>
      <c r="L1173">
        <v>9</v>
      </c>
      <c r="M1173">
        <v>3</v>
      </c>
      <c r="N1173" t="s">
        <v>29</v>
      </c>
      <c r="O1173">
        <v>9</v>
      </c>
      <c r="P1173" t="s">
        <v>23</v>
      </c>
      <c r="Q1173">
        <v>65</v>
      </c>
    </row>
    <row r="1174" spans="1:17" x14ac:dyDescent="0.35">
      <c r="A1174" s="1">
        <v>45821</v>
      </c>
      <c r="B1174" t="s">
        <v>55</v>
      </c>
      <c r="C1174" t="s">
        <v>56</v>
      </c>
      <c r="D1174">
        <v>4</v>
      </c>
      <c r="E1174" t="s">
        <v>57</v>
      </c>
      <c r="F1174">
        <v>30</v>
      </c>
      <c r="G1174">
        <v>143</v>
      </c>
      <c r="H1174">
        <v>90.59</v>
      </c>
      <c r="I1174">
        <v>96.29</v>
      </c>
      <c r="J1174">
        <v>74.52</v>
      </c>
      <c r="K1174" t="s">
        <v>58</v>
      </c>
      <c r="L1174">
        <v>6.2</v>
      </c>
      <c r="N1174" t="s">
        <v>35</v>
      </c>
      <c r="O1174">
        <v>2</v>
      </c>
      <c r="P1174" t="s">
        <v>23</v>
      </c>
      <c r="Q1174">
        <v>68.099999999999994</v>
      </c>
    </row>
    <row r="1175" spans="1:17" x14ac:dyDescent="0.35">
      <c r="A1175" s="1">
        <v>45821</v>
      </c>
      <c r="B1175" t="s">
        <v>93</v>
      </c>
      <c r="C1175" t="s">
        <v>37</v>
      </c>
      <c r="D1175" t="s">
        <v>94</v>
      </c>
      <c r="E1175" t="s">
        <v>27</v>
      </c>
      <c r="F1175">
        <v>387.98</v>
      </c>
      <c r="G1175">
        <v>65</v>
      </c>
      <c r="H1175">
        <v>97.47</v>
      </c>
      <c r="I1175">
        <v>93.63</v>
      </c>
      <c r="J1175">
        <v>77.92</v>
      </c>
      <c r="K1175" t="s">
        <v>34</v>
      </c>
      <c r="L1175">
        <v>8.1</v>
      </c>
      <c r="M1175">
        <v>3.2</v>
      </c>
      <c r="N1175" t="s">
        <v>39</v>
      </c>
      <c r="O1175">
        <v>10</v>
      </c>
      <c r="P1175" t="s">
        <v>23</v>
      </c>
      <c r="Q1175">
        <v>60.8</v>
      </c>
    </row>
    <row r="1176" spans="1:17" x14ac:dyDescent="0.35">
      <c r="A1176" s="1">
        <v>45821</v>
      </c>
      <c r="B1176" t="s">
        <v>91</v>
      </c>
      <c r="C1176" t="s">
        <v>67</v>
      </c>
      <c r="D1176" t="s">
        <v>92</v>
      </c>
      <c r="E1176" t="s">
        <v>27</v>
      </c>
      <c r="F1176">
        <v>795.6</v>
      </c>
      <c r="G1176">
        <v>53.1</v>
      </c>
      <c r="H1176">
        <v>94.63</v>
      </c>
      <c r="I1176">
        <v>95.07</v>
      </c>
      <c r="J1176">
        <v>76.209999999999994</v>
      </c>
      <c r="K1176" t="s">
        <v>47</v>
      </c>
      <c r="L1176">
        <v>8.1</v>
      </c>
      <c r="M1176">
        <v>1.6</v>
      </c>
      <c r="N1176" t="s">
        <v>39</v>
      </c>
      <c r="O1176">
        <v>11</v>
      </c>
      <c r="P1176" t="s">
        <v>43</v>
      </c>
      <c r="Q1176">
        <v>61.1</v>
      </c>
    </row>
    <row r="1177" spans="1:17" x14ac:dyDescent="0.35">
      <c r="A1177" s="1">
        <v>45821</v>
      </c>
      <c r="B1177" t="s">
        <v>55</v>
      </c>
      <c r="C1177" t="s">
        <v>56</v>
      </c>
      <c r="D1177">
        <v>4</v>
      </c>
      <c r="E1177" t="s">
        <v>57</v>
      </c>
      <c r="F1177">
        <v>30</v>
      </c>
      <c r="G1177">
        <v>154.9</v>
      </c>
      <c r="H1177">
        <v>91.88</v>
      </c>
      <c r="I1177">
        <v>95.38</v>
      </c>
      <c r="J1177">
        <v>75.180000000000007</v>
      </c>
      <c r="K1177" t="s">
        <v>63</v>
      </c>
      <c r="L1177">
        <v>6</v>
      </c>
      <c r="N1177" t="s">
        <v>35</v>
      </c>
      <c r="O1177">
        <v>3</v>
      </c>
      <c r="P1177" t="s">
        <v>43</v>
      </c>
      <c r="Q1177">
        <v>68.2</v>
      </c>
    </row>
    <row r="1178" spans="1:17" x14ac:dyDescent="0.35">
      <c r="A1178" s="1">
        <v>45821</v>
      </c>
      <c r="B1178" t="s">
        <v>36</v>
      </c>
      <c r="C1178" t="s">
        <v>37</v>
      </c>
      <c r="D1178" t="s">
        <v>38</v>
      </c>
      <c r="E1178" t="s">
        <v>33</v>
      </c>
      <c r="F1178">
        <v>215.34</v>
      </c>
      <c r="G1178">
        <v>134.6</v>
      </c>
      <c r="H1178">
        <v>94.71</v>
      </c>
      <c r="I1178">
        <v>95.01</v>
      </c>
      <c r="J1178">
        <v>78.3</v>
      </c>
      <c r="K1178" t="s">
        <v>34</v>
      </c>
      <c r="L1178">
        <v>8.1</v>
      </c>
      <c r="M1178">
        <v>3.9</v>
      </c>
      <c r="N1178" t="s">
        <v>35</v>
      </c>
      <c r="O1178">
        <v>7</v>
      </c>
      <c r="P1178" t="s">
        <v>23</v>
      </c>
      <c r="Q1178">
        <v>61.6</v>
      </c>
    </row>
    <row r="1179" spans="1:17" x14ac:dyDescent="0.35">
      <c r="A1179" s="1">
        <v>45821</v>
      </c>
      <c r="B1179" t="s">
        <v>82</v>
      </c>
      <c r="C1179" t="s">
        <v>72</v>
      </c>
      <c r="D1179" t="s">
        <v>83</v>
      </c>
      <c r="E1179" t="s">
        <v>20</v>
      </c>
      <c r="F1179">
        <v>242</v>
      </c>
      <c r="G1179">
        <v>148.69999999999999</v>
      </c>
      <c r="H1179">
        <v>88.68</v>
      </c>
      <c r="I1179">
        <v>96.42</v>
      </c>
      <c r="J1179">
        <v>77.63</v>
      </c>
      <c r="K1179" t="s">
        <v>63</v>
      </c>
      <c r="L1179">
        <v>7.1</v>
      </c>
      <c r="N1179" t="s">
        <v>35</v>
      </c>
      <c r="O1179">
        <v>10</v>
      </c>
      <c r="P1179" t="s">
        <v>43</v>
      </c>
      <c r="Q1179">
        <v>70.3</v>
      </c>
    </row>
    <row r="1180" spans="1:17" x14ac:dyDescent="0.35">
      <c r="A1180" s="1">
        <v>45821</v>
      </c>
      <c r="B1180" t="s">
        <v>48</v>
      </c>
      <c r="C1180" t="s">
        <v>49</v>
      </c>
      <c r="D1180" t="s">
        <v>50</v>
      </c>
      <c r="E1180" t="s">
        <v>27</v>
      </c>
      <c r="F1180">
        <v>274.01</v>
      </c>
      <c r="G1180">
        <v>40.5</v>
      </c>
      <c r="H1180">
        <v>93.2</v>
      </c>
      <c r="I1180">
        <v>94.22</v>
      </c>
      <c r="J1180">
        <v>77.97</v>
      </c>
      <c r="K1180" t="s">
        <v>28</v>
      </c>
      <c r="L1180">
        <v>7.7</v>
      </c>
      <c r="M1180">
        <v>2.1</v>
      </c>
      <c r="N1180" t="s">
        <v>39</v>
      </c>
      <c r="O1180">
        <v>14</v>
      </c>
      <c r="P1180" t="s">
        <v>43</v>
      </c>
      <c r="Q1180">
        <v>59.8</v>
      </c>
    </row>
    <row r="1181" spans="1:17" x14ac:dyDescent="0.35">
      <c r="A1181" s="1">
        <v>45821</v>
      </c>
      <c r="B1181" t="s">
        <v>95</v>
      </c>
      <c r="C1181" t="s">
        <v>49</v>
      </c>
      <c r="D1181" t="s">
        <v>96</v>
      </c>
      <c r="E1181" t="s">
        <v>33</v>
      </c>
      <c r="F1181">
        <v>363.38</v>
      </c>
      <c r="G1181">
        <v>72.099999999999994</v>
      </c>
      <c r="H1181">
        <v>93.72</v>
      </c>
      <c r="I1181">
        <v>94.72</v>
      </c>
      <c r="J1181">
        <v>75.8</v>
      </c>
      <c r="K1181" t="s">
        <v>28</v>
      </c>
      <c r="L1181">
        <v>7.5</v>
      </c>
      <c r="M1181">
        <v>3</v>
      </c>
      <c r="N1181" t="s">
        <v>35</v>
      </c>
      <c r="O1181">
        <v>9</v>
      </c>
      <c r="P1181" t="s">
        <v>23</v>
      </c>
      <c r="Q1181">
        <v>59.3</v>
      </c>
    </row>
    <row r="1182" spans="1:17" x14ac:dyDescent="0.35">
      <c r="A1182" s="1">
        <v>45821</v>
      </c>
      <c r="B1182" t="s">
        <v>51</v>
      </c>
      <c r="C1182" t="s">
        <v>45</v>
      </c>
      <c r="D1182" t="s">
        <v>52</v>
      </c>
      <c r="E1182" t="s">
        <v>27</v>
      </c>
      <c r="F1182">
        <v>919.95</v>
      </c>
      <c r="G1182">
        <v>438.9</v>
      </c>
      <c r="H1182">
        <v>93.54</v>
      </c>
      <c r="I1182">
        <v>98.45</v>
      </c>
      <c r="J1182">
        <v>80.2</v>
      </c>
      <c r="K1182" t="s">
        <v>88</v>
      </c>
      <c r="L1182">
        <v>9.1999999999999993</v>
      </c>
      <c r="M1182">
        <v>4.0999999999999996</v>
      </c>
      <c r="N1182" t="s">
        <v>29</v>
      </c>
      <c r="O1182">
        <v>14</v>
      </c>
      <c r="P1182" t="s">
        <v>23</v>
      </c>
      <c r="Q1182">
        <v>64.599999999999994</v>
      </c>
    </row>
    <row r="1183" spans="1:17" x14ac:dyDescent="0.35">
      <c r="A1183" s="1">
        <v>45821</v>
      </c>
      <c r="B1183" t="s">
        <v>55</v>
      </c>
      <c r="C1183" t="s">
        <v>56</v>
      </c>
      <c r="D1183">
        <v>4</v>
      </c>
      <c r="E1183" t="s">
        <v>57</v>
      </c>
      <c r="F1183">
        <v>30</v>
      </c>
      <c r="G1183">
        <v>137.80000000000001</v>
      </c>
      <c r="H1183">
        <v>90.86</v>
      </c>
      <c r="I1183">
        <v>93.18</v>
      </c>
      <c r="J1183">
        <v>71.42</v>
      </c>
      <c r="K1183" t="s">
        <v>58</v>
      </c>
      <c r="L1183">
        <v>7.2</v>
      </c>
      <c r="N1183" t="s">
        <v>35</v>
      </c>
      <c r="O1183">
        <v>4</v>
      </c>
      <c r="P1183" t="s">
        <v>23</v>
      </c>
      <c r="Q1183">
        <v>68.8</v>
      </c>
    </row>
    <row r="1184" spans="1:17" x14ac:dyDescent="0.35">
      <c r="A1184" s="1">
        <v>45821</v>
      </c>
      <c r="B1184" t="s">
        <v>86</v>
      </c>
      <c r="C1184" t="s">
        <v>25</v>
      </c>
      <c r="D1184" t="s">
        <v>87</v>
      </c>
      <c r="E1184" t="s">
        <v>27</v>
      </c>
      <c r="F1184">
        <v>798.48</v>
      </c>
      <c r="G1184">
        <v>34.5</v>
      </c>
      <c r="H1184">
        <v>94.94</v>
      </c>
      <c r="I1184">
        <v>97.86</v>
      </c>
      <c r="J1184">
        <v>75.180000000000007</v>
      </c>
      <c r="K1184" t="s">
        <v>28</v>
      </c>
      <c r="L1184">
        <v>8.5</v>
      </c>
      <c r="M1184">
        <v>3.7</v>
      </c>
      <c r="N1184" t="s">
        <v>29</v>
      </c>
      <c r="O1184">
        <v>12</v>
      </c>
      <c r="P1184" t="s">
        <v>30</v>
      </c>
      <c r="Q1184">
        <v>60.4</v>
      </c>
    </row>
    <row r="1185" spans="1:17" x14ac:dyDescent="0.35">
      <c r="A1185" s="1">
        <v>45821</v>
      </c>
      <c r="B1185" t="s">
        <v>36</v>
      </c>
      <c r="C1185" t="s">
        <v>37</v>
      </c>
      <c r="D1185" t="s">
        <v>38</v>
      </c>
      <c r="E1185" t="s">
        <v>33</v>
      </c>
      <c r="F1185">
        <v>494.48</v>
      </c>
      <c r="G1185">
        <v>227.5</v>
      </c>
      <c r="H1185">
        <v>94.24</v>
      </c>
      <c r="I1185">
        <v>93.65</v>
      </c>
      <c r="J1185">
        <v>75.680000000000007</v>
      </c>
      <c r="K1185" t="s">
        <v>47</v>
      </c>
      <c r="L1185">
        <v>8.6999999999999993</v>
      </c>
      <c r="M1185">
        <v>3.9</v>
      </c>
      <c r="N1185" t="s">
        <v>22</v>
      </c>
      <c r="O1185">
        <v>10</v>
      </c>
      <c r="P1185" t="s">
        <v>23</v>
      </c>
      <c r="Q1185">
        <v>62.5</v>
      </c>
    </row>
    <row r="1186" spans="1:17" x14ac:dyDescent="0.35">
      <c r="A1186" s="1">
        <v>45821</v>
      </c>
      <c r="B1186" t="s">
        <v>55</v>
      </c>
      <c r="C1186" t="s">
        <v>56</v>
      </c>
      <c r="D1186">
        <v>4</v>
      </c>
      <c r="E1186" t="s">
        <v>57</v>
      </c>
      <c r="F1186">
        <v>30</v>
      </c>
      <c r="G1186">
        <v>131.6</v>
      </c>
      <c r="H1186">
        <v>89.47</v>
      </c>
      <c r="I1186">
        <v>93.28</v>
      </c>
      <c r="J1186">
        <v>78.89</v>
      </c>
      <c r="K1186" t="s">
        <v>58</v>
      </c>
      <c r="L1186">
        <v>8</v>
      </c>
      <c r="N1186" t="s">
        <v>35</v>
      </c>
      <c r="O1186">
        <v>4</v>
      </c>
      <c r="P1186" t="s">
        <v>43</v>
      </c>
      <c r="Q1186">
        <v>71.5</v>
      </c>
    </row>
    <row r="1187" spans="1:17" x14ac:dyDescent="0.35">
      <c r="A1187" s="1">
        <v>45821</v>
      </c>
      <c r="B1187" t="s">
        <v>78</v>
      </c>
      <c r="C1187" t="s">
        <v>41</v>
      </c>
      <c r="D1187" t="s">
        <v>79</v>
      </c>
      <c r="E1187" t="s">
        <v>27</v>
      </c>
      <c r="F1187">
        <v>269.92</v>
      </c>
      <c r="G1187">
        <v>32.1</v>
      </c>
      <c r="H1187">
        <v>93.08</v>
      </c>
      <c r="I1187">
        <v>96.19</v>
      </c>
      <c r="J1187">
        <v>83.45</v>
      </c>
      <c r="K1187" t="s">
        <v>47</v>
      </c>
      <c r="L1187">
        <v>7.6</v>
      </c>
      <c r="M1187">
        <v>3.2</v>
      </c>
      <c r="N1187" t="s">
        <v>29</v>
      </c>
      <c r="O1187">
        <v>9</v>
      </c>
      <c r="P1187" t="s">
        <v>43</v>
      </c>
      <c r="Q1187">
        <v>60</v>
      </c>
    </row>
    <row r="1188" spans="1:17" x14ac:dyDescent="0.35">
      <c r="A1188" s="1">
        <v>45821</v>
      </c>
      <c r="B1188" t="s">
        <v>89</v>
      </c>
      <c r="C1188" t="s">
        <v>67</v>
      </c>
      <c r="D1188" t="s">
        <v>90</v>
      </c>
      <c r="E1188" t="s">
        <v>27</v>
      </c>
      <c r="F1188">
        <v>126.88</v>
      </c>
      <c r="G1188">
        <v>21.3</v>
      </c>
      <c r="H1188">
        <v>96.74</v>
      </c>
      <c r="I1188">
        <v>95.03</v>
      </c>
      <c r="J1188">
        <v>81.290000000000006</v>
      </c>
      <c r="K1188" t="s">
        <v>28</v>
      </c>
      <c r="L1188">
        <v>7.5</v>
      </c>
      <c r="M1188">
        <v>3</v>
      </c>
      <c r="N1188" t="s">
        <v>29</v>
      </c>
      <c r="O1188">
        <v>10</v>
      </c>
      <c r="P1188" t="s">
        <v>23</v>
      </c>
      <c r="Q1188">
        <v>59.8</v>
      </c>
    </row>
    <row r="1189" spans="1:17" x14ac:dyDescent="0.35">
      <c r="A1189" s="1">
        <v>45821</v>
      </c>
      <c r="B1189" t="s">
        <v>53</v>
      </c>
      <c r="C1189" t="s">
        <v>41</v>
      </c>
      <c r="D1189" t="s">
        <v>54</v>
      </c>
      <c r="E1189" t="s">
        <v>27</v>
      </c>
      <c r="F1189">
        <v>238.51</v>
      </c>
      <c r="G1189">
        <v>67.7</v>
      </c>
      <c r="H1189">
        <v>97.85</v>
      </c>
      <c r="I1189">
        <v>96.39</v>
      </c>
      <c r="J1189">
        <v>78.27</v>
      </c>
      <c r="K1189" t="s">
        <v>28</v>
      </c>
      <c r="L1189">
        <v>8</v>
      </c>
      <c r="M1189">
        <v>4.4000000000000004</v>
      </c>
      <c r="N1189" t="s">
        <v>39</v>
      </c>
      <c r="O1189">
        <v>9</v>
      </c>
      <c r="P1189" t="s">
        <v>43</v>
      </c>
      <c r="Q1189">
        <v>60.5</v>
      </c>
    </row>
    <row r="1190" spans="1:17" x14ac:dyDescent="0.35">
      <c r="A1190" s="1">
        <v>45821</v>
      </c>
      <c r="B1190" t="s">
        <v>59</v>
      </c>
      <c r="C1190" t="s">
        <v>60</v>
      </c>
      <c r="D1190" t="s">
        <v>61</v>
      </c>
      <c r="E1190" t="s">
        <v>62</v>
      </c>
      <c r="F1190">
        <v>505.75</v>
      </c>
      <c r="G1190">
        <v>169</v>
      </c>
      <c r="H1190">
        <v>91.97</v>
      </c>
      <c r="I1190">
        <v>95.07</v>
      </c>
      <c r="J1190">
        <v>87.77</v>
      </c>
      <c r="K1190" t="s">
        <v>63</v>
      </c>
      <c r="L1190">
        <v>8.8000000000000007</v>
      </c>
      <c r="N1190" t="s">
        <v>35</v>
      </c>
      <c r="O1190">
        <v>3</v>
      </c>
      <c r="P1190" t="s">
        <v>43</v>
      </c>
      <c r="Q1190">
        <v>76.599999999999994</v>
      </c>
    </row>
    <row r="1191" spans="1:17" x14ac:dyDescent="0.35">
      <c r="A1191" s="1">
        <v>45821</v>
      </c>
      <c r="B1191" t="s">
        <v>55</v>
      </c>
      <c r="C1191" t="s">
        <v>56</v>
      </c>
      <c r="D1191">
        <v>4</v>
      </c>
      <c r="E1191" t="s">
        <v>57</v>
      </c>
      <c r="F1191">
        <v>30</v>
      </c>
      <c r="G1191">
        <v>133.9</v>
      </c>
      <c r="H1191">
        <v>88.4</v>
      </c>
      <c r="I1191">
        <v>96.04</v>
      </c>
      <c r="J1191">
        <v>72.48</v>
      </c>
      <c r="K1191" t="s">
        <v>58</v>
      </c>
      <c r="L1191">
        <v>7.5</v>
      </c>
      <c r="N1191" t="s">
        <v>35</v>
      </c>
      <c r="O1191">
        <v>3</v>
      </c>
      <c r="P1191" t="s">
        <v>43</v>
      </c>
      <c r="Q1191">
        <v>69.599999999999994</v>
      </c>
    </row>
    <row r="1192" spans="1:17" x14ac:dyDescent="0.35">
      <c r="A1192" s="1">
        <v>45821</v>
      </c>
      <c r="B1192" t="s">
        <v>74</v>
      </c>
      <c r="C1192" t="s">
        <v>67</v>
      </c>
      <c r="D1192" t="s">
        <v>75</v>
      </c>
      <c r="E1192" t="s">
        <v>27</v>
      </c>
      <c r="F1192">
        <v>591.01</v>
      </c>
      <c r="G1192">
        <v>43.9</v>
      </c>
      <c r="H1192">
        <v>96.39</v>
      </c>
      <c r="I1192">
        <v>93.61</v>
      </c>
      <c r="J1192">
        <v>75.650000000000006</v>
      </c>
      <c r="K1192" t="s">
        <v>28</v>
      </c>
      <c r="L1192">
        <v>8.6</v>
      </c>
      <c r="M1192">
        <v>1.6</v>
      </c>
      <c r="N1192" t="s">
        <v>29</v>
      </c>
      <c r="O1192">
        <v>15</v>
      </c>
      <c r="P1192" t="s">
        <v>23</v>
      </c>
      <c r="Q1192">
        <v>61.7</v>
      </c>
    </row>
    <row r="1193" spans="1:17" x14ac:dyDescent="0.35">
      <c r="A1193" s="1">
        <v>45821</v>
      </c>
      <c r="B1193" t="s">
        <v>93</v>
      </c>
      <c r="C1193" t="s">
        <v>37</v>
      </c>
      <c r="D1193" t="s">
        <v>94</v>
      </c>
      <c r="E1193" t="s">
        <v>27</v>
      </c>
      <c r="F1193">
        <v>221.32</v>
      </c>
      <c r="G1193">
        <v>60.3</v>
      </c>
      <c r="H1193">
        <v>93.34</v>
      </c>
      <c r="I1193">
        <v>93.19</v>
      </c>
      <c r="J1193">
        <v>77.58</v>
      </c>
      <c r="K1193" t="s">
        <v>28</v>
      </c>
      <c r="L1193">
        <v>8.1</v>
      </c>
      <c r="M1193">
        <v>1.6</v>
      </c>
      <c r="N1193" t="s">
        <v>39</v>
      </c>
      <c r="O1193">
        <v>15</v>
      </c>
      <c r="P1193" t="s">
        <v>23</v>
      </c>
      <c r="Q1193">
        <v>61</v>
      </c>
    </row>
    <row r="1194" spans="1:17" x14ac:dyDescent="0.35">
      <c r="A1194" s="1">
        <v>45821</v>
      </c>
      <c r="B1194" t="s">
        <v>59</v>
      </c>
      <c r="C1194" t="s">
        <v>60</v>
      </c>
      <c r="D1194" t="s">
        <v>61</v>
      </c>
      <c r="E1194" t="s">
        <v>62</v>
      </c>
      <c r="F1194">
        <v>345.11</v>
      </c>
      <c r="G1194">
        <v>169.9</v>
      </c>
      <c r="H1194">
        <v>87.58</v>
      </c>
      <c r="I1194">
        <v>95.26</v>
      </c>
      <c r="J1194">
        <v>85.3</v>
      </c>
      <c r="K1194" t="s">
        <v>34</v>
      </c>
      <c r="L1194">
        <v>7.2</v>
      </c>
      <c r="N1194" t="s">
        <v>35</v>
      </c>
      <c r="O1194">
        <v>4</v>
      </c>
      <c r="P1194" t="s">
        <v>43</v>
      </c>
      <c r="Q1194">
        <v>72</v>
      </c>
    </row>
    <row r="1195" spans="1:17" x14ac:dyDescent="0.35">
      <c r="A1195" s="1">
        <v>45821</v>
      </c>
      <c r="B1195" t="s">
        <v>55</v>
      </c>
      <c r="C1195" t="s">
        <v>56</v>
      </c>
      <c r="D1195">
        <v>4</v>
      </c>
      <c r="E1195" t="s">
        <v>57</v>
      </c>
      <c r="F1195">
        <v>30</v>
      </c>
      <c r="G1195">
        <v>151.80000000000001</v>
      </c>
      <c r="H1195">
        <v>86.89</v>
      </c>
      <c r="I1195">
        <v>95.42</v>
      </c>
      <c r="J1195">
        <v>71.37</v>
      </c>
      <c r="K1195" t="s">
        <v>58</v>
      </c>
      <c r="L1195">
        <v>7</v>
      </c>
      <c r="N1195" t="s">
        <v>35</v>
      </c>
      <c r="O1195">
        <v>2</v>
      </c>
      <c r="P1195" t="s">
        <v>23</v>
      </c>
      <c r="Q1195">
        <v>68.400000000000006</v>
      </c>
    </row>
    <row r="1196" spans="1:17" x14ac:dyDescent="0.35">
      <c r="A1196" s="1">
        <v>45821</v>
      </c>
      <c r="B1196" t="s">
        <v>64</v>
      </c>
      <c r="C1196" t="s">
        <v>25</v>
      </c>
      <c r="D1196" t="s">
        <v>65</v>
      </c>
      <c r="E1196" t="s">
        <v>27</v>
      </c>
      <c r="F1196">
        <v>247.78</v>
      </c>
      <c r="G1196">
        <v>35.799999999999997</v>
      </c>
      <c r="H1196">
        <v>95.68</v>
      </c>
      <c r="I1196">
        <v>98.03</v>
      </c>
      <c r="J1196">
        <v>77.7</v>
      </c>
      <c r="K1196" t="s">
        <v>47</v>
      </c>
      <c r="L1196">
        <v>8.4</v>
      </c>
      <c r="M1196">
        <v>3.5</v>
      </c>
      <c r="N1196" t="s">
        <v>29</v>
      </c>
      <c r="O1196">
        <v>13</v>
      </c>
      <c r="P1196" t="s">
        <v>30</v>
      </c>
      <c r="Q1196">
        <v>60.9</v>
      </c>
    </row>
    <row r="1197" spans="1:17" x14ac:dyDescent="0.35">
      <c r="A1197" s="1">
        <v>45821</v>
      </c>
      <c r="B1197" t="s">
        <v>48</v>
      </c>
      <c r="C1197" t="s">
        <v>49</v>
      </c>
      <c r="D1197" t="s">
        <v>50</v>
      </c>
      <c r="E1197" t="s">
        <v>33</v>
      </c>
      <c r="F1197">
        <v>343.05</v>
      </c>
      <c r="G1197">
        <v>172.3</v>
      </c>
      <c r="H1197">
        <v>96.77</v>
      </c>
      <c r="I1197">
        <v>95.67</v>
      </c>
      <c r="J1197">
        <v>79.38</v>
      </c>
      <c r="K1197" t="s">
        <v>47</v>
      </c>
      <c r="L1197">
        <v>7.9</v>
      </c>
      <c r="M1197">
        <v>4.5999999999999996</v>
      </c>
      <c r="N1197" t="s">
        <v>22</v>
      </c>
      <c r="O1197">
        <v>9</v>
      </c>
      <c r="P1197" t="s">
        <v>43</v>
      </c>
      <c r="Q1197">
        <v>62.1</v>
      </c>
    </row>
    <row r="1198" spans="1:17" x14ac:dyDescent="0.35">
      <c r="A1198" s="1">
        <v>45821</v>
      </c>
      <c r="B1198" t="s">
        <v>93</v>
      </c>
      <c r="C1198" t="s">
        <v>37</v>
      </c>
      <c r="D1198" t="s">
        <v>94</v>
      </c>
      <c r="E1198" t="s">
        <v>27</v>
      </c>
      <c r="F1198">
        <v>221.54</v>
      </c>
      <c r="G1198">
        <v>63.3</v>
      </c>
      <c r="H1198">
        <v>95.08</v>
      </c>
      <c r="I1198">
        <v>96.81</v>
      </c>
      <c r="J1198">
        <v>79.23</v>
      </c>
      <c r="K1198" t="s">
        <v>34</v>
      </c>
      <c r="L1198">
        <v>7.3</v>
      </c>
      <c r="M1198">
        <v>4.9000000000000004</v>
      </c>
      <c r="N1198" t="s">
        <v>29</v>
      </c>
      <c r="O1198">
        <v>11</v>
      </c>
      <c r="P1198" t="s">
        <v>23</v>
      </c>
      <c r="Q1198">
        <v>58.7</v>
      </c>
    </row>
    <row r="1199" spans="1:17" x14ac:dyDescent="0.35">
      <c r="A1199" s="1">
        <v>45821</v>
      </c>
      <c r="B1199" t="s">
        <v>40</v>
      </c>
      <c r="C1199" t="s">
        <v>41</v>
      </c>
      <c r="D1199" t="s">
        <v>42</v>
      </c>
      <c r="E1199" t="s">
        <v>27</v>
      </c>
      <c r="F1199">
        <v>373.45</v>
      </c>
      <c r="G1199">
        <v>48.9</v>
      </c>
      <c r="H1199">
        <v>93.69</v>
      </c>
      <c r="I1199">
        <v>96.68</v>
      </c>
      <c r="J1199">
        <v>75.989999999999995</v>
      </c>
      <c r="K1199" t="s">
        <v>47</v>
      </c>
      <c r="L1199">
        <v>7.3</v>
      </c>
      <c r="M1199">
        <v>4.8</v>
      </c>
      <c r="N1199" t="s">
        <v>29</v>
      </c>
      <c r="O1199">
        <v>13</v>
      </c>
      <c r="P1199" t="s">
        <v>43</v>
      </c>
      <c r="Q1199">
        <v>57.7</v>
      </c>
    </row>
    <row r="1200" spans="1:17" x14ac:dyDescent="0.35">
      <c r="A1200" s="1">
        <v>45821</v>
      </c>
      <c r="B1200" t="s">
        <v>80</v>
      </c>
      <c r="C1200" t="s">
        <v>45</v>
      </c>
      <c r="D1200" t="s">
        <v>81</v>
      </c>
      <c r="E1200" t="s">
        <v>27</v>
      </c>
      <c r="F1200">
        <v>177.89</v>
      </c>
      <c r="G1200">
        <v>355.6</v>
      </c>
      <c r="H1200">
        <v>94.93</v>
      </c>
      <c r="I1200">
        <v>99.03</v>
      </c>
      <c r="J1200">
        <v>84.55</v>
      </c>
      <c r="K1200" t="s">
        <v>28</v>
      </c>
      <c r="L1200">
        <v>7.5</v>
      </c>
      <c r="M1200">
        <v>4.2</v>
      </c>
      <c r="N1200" t="s">
        <v>39</v>
      </c>
      <c r="O1200">
        <v>9</v>
      </c>
      <c r="P1200" t="s">
        <v>23</v>
      </c>
      <c r="Q1200">
        <v>62.8</v>
      </c>
    </row>
    <row r="1201" spans="1:17" x14ac:dyDescent="0.35">
      <c r="A1201" s="1">
        <v>45821</v>
      </c>
      <c r="B1201" t="s">
        <v>66</v>
      </c>
      <c r="C1201" t="s">
        <v>67</v>
      </c>
      <c r="D1201" t="s">
        <v>68</v>
      </c>
      <c r="E1201" t="s">
        <v>27</v>
      </c>
      <c r="F1201">
        <v>722.96</v>
      </c>
      <c r="G1201">
        <v>59.8</v>
      </c>
      <c r="H1201">
        <v>97.14</v>
      </c>
      <c r="I1201">
        <v>96.61</v>
      </c>
      <c r="J1201">
        <v>80.959999999999994</v>
      </c>
      <c r="K1201" t="s">
        <v>47</v>
      </c>
      <c r="L1201">
        <v>8.4</v>
      </c>
      <c r="M1201">
        <v>3.3</v>
      </c>
      <c r="N1201" t="s">
        <v>39</v>
      </c>
      <c r="O1201">
        <v>10</v>
      </c>
      <c r="P1201" t="s">
        <v>23</v>
      </c>
      <c r="Q1201">
        <v>62.1</v>
      </c>
    </row>
    <row r="1202" spans="1:17" x14ac:dyDescent="0.35">
      <c r="A1202" s="1">
        <v>45821</v>
      </c>
      <c r="B1202" t="s">
        <v>84</v>
      </c>
      <c r="C1202" t="s">
        <v>18</v>
      </c>
      <c r="D1202" t="s">
        <v>85</v>
      </c>
      <c r="E1202" t="s">
        <v>27</v>
      </c>
      <c r="F1202">
        <v>307.8</v>
      </c>
      <c r="G1202">
        <v>58.2</v>
      </c>
      <c r="H1202">
        <v>93.69</v>
      </c>
      <c r="I1202">
        <v>95.23</v>
      </c>
      <c r="J1202">
        <v>80.11</v>
      </c>
      <c r="K1202" t="s">
        <v>47</v>
      </c>
      <c r="L1202">
        <v>8.3000000000000007</v>
      </c>
      <c r="M1202">
        <v>4.0999999999999996</v>
      </c>
      <c r="N1202" t="s">
        <v>29</v>
      </c>
      <c r="O1202">
        <v>11</v>
      </c>
      <c r="P1202" t="s">
        <v>23</v>
      </c>
      <c r="Q1202">
        <v>60.4</v>
      </c>
    </row>
    <row r="1203" spans="1:17" x14ac:dyDescent="0.35">
      <c r="A1203" s="1">
        <v>45821</v>
      </c>
      <c r="B1203" t="s">
        <v>71</v>
      </c>
      <c r="C1203" t="s">
        <v>72</v>
      </c>
      <c r="D1203" t="s">
        <v>73</v>
      </c>
      <c r="E1203" t="s">
        <v>27</v>
      </c>
      <c r="F1203">
        <v>243.45</v>
      </c>
      <c r="G1203">
        <v>26.8</v>
      </c>
      <c r="H1203">
        <v>93.87</v>
      </c>
      <c r="I1203">
        <v>95.31</v>
      </c>
      <c r="J1203">
        <v>84.29</v>
      </c>
      <c r="K1203" t="s">
        <v>28</v>
      </c>
      <c r="L1203">
        <v>8</v>
      </c>
      <c r="M1203">
        <v>4.9000000000000004</v>
      </c>
      <c r="N1203" t="s">
        <v>29</v>
      </c>
      <c r="O1203">
        <v>11</v>
      </c>
      <c r="P1203" t="s">
        <v>43</v>
      </c>
      <c r="Q1203">
        <v>59.5</v>
      </c>
    </row>
    <row r="1204" spans="1:17" x14ac:dyDescent="0.35">
      <c r="A1204" s="1">
        <v>45821</v>
      </c>
      <c r="B1204" t="s">
        <v>36</v>
      </c>
      <c r="C1204" t="s">
        <v>37</v>
      </c>
      <c r="D1204" t="s">
        <v>38</v>
      </c>
      <c r="E1204" t="s">
        <v>33</v>
      </c>
      <c r="F1204">
        <v>459.82</v>
      </c>
      <c r="G1204">
        <v>84.6</v>
      </c>
      <c r="H1204">
        <v>94.95</v>
      </c>
      <c r="I1204">
        <v>93.96</v>
      </c>
      <c r="J1204">
        <v>79.7</v>
      </c>
      <c r="K1204" t="s">
        <v>47</v>
      </c>
      <c r="L1204">
        <v>8.8000000000000007</v>
      </c>
      <c r="M1204">
        <v>3.4</v>
      </c>
      <c r="N1204" t="s">
        <v>35</v>
      </c>
      <c r="O1204">
        <v>6</v>
      </c>
      <c r="P1204" t="s">
        <v>23</v>
      </c>
      <c r="Q1204">
        <v>62.2</v>
      </c>
    </row>
    <row r="1205" spans="1:17" x14ac:dyDescent="0.35">
      <c r="A1205" s="1">
        <v>45821</v>
      </c>
      <c r="B1205" t="s">
        <v>36</v>
      </c>
      <c r="C1205" t="s">
        <v>37</v>
      </c>
      <c r="D1205" t="s">
        <v>38</v>
      </c>
      <c r="E1205" t="s">
        <v>27</v>
      </c>
      <c r="F1205">
        <v>356.22</v>
      </c>
      <c r="G1205">
        <v>44.9</v>
      </c>
      <c r="H1205">
        <v>95.31</v>
      </c>
      <c r="I1205">
        <v>95.45</v>
      </c>
      <c r="J1205">
        <v>78.23</v>
      </c>
      <c r="K1205" t="s">
        <v>28</v>
      </c>
      <c r="L1205">
        <v>7.5</v>
      </c>
      <c r="M1205">
        <v>1.8</v>
      </c>
      <c r="N1205" t="s">
        <v>39</v>
      </c>
      <c r="O1205">
        <v>8</v>
      </c>
      <c r="P1205" t="s">
        <v>23</v>
      </c>
      <c r="Q1205">
        <v>60.4</v>
      </c>
    </row>
    <row r="1206" spans="1:17" x14ac:dyDescent="0.35">
      <c r="A1206" s="1">
        <v>45821</v>
      </c>
      <c r="B1206" t="s">
        <v>59</v>
      </c>
      <c r="C1206" t="s">
        <v>60</v>
      </c>
      <c r="D1206" t="s">
        <v>61</v>
      </c>
      <c r="E1206" t="s">
        <v>62</v>
      </c>
      <c r="F1206">
        <v>429.8</v>
      </c>
      <c r="G1206">
        <v>175</v>
      </c>
      <c r="H1206">
        <v>88.91</v>
      </c>
      <c r="I1206">
        <v>93.65</v>
      </c>
      <c r="J1206">
        <v>88.41</v>
      </c>
      <c r="K1206" t="s">
        <v>63</v>
      </c>
      <c r="L1206">
        <v>9.1999999999999993</v>
      </c>
      <c r="N1206" t="s">
        <v>35</v>
      </c>
      <c r="O1206">
        <v>3</v>
      </c>
      <c r="P1206" t="s">
        <v>23</v>
      </c>
      <c r="Q1206">
        <v>76.599999999999994</v>
      </c>
    </row>
    <row r="1207" spans="1:17" x14ac:dyDescent="0.35">
      <c r="A1207" s="1">
        <v>45821</v>
      </c>
      <c r="B1207" t="s">
        <v>76</v>
      </c>
      <c r="C1207" t="s">
        <v>45</v>
      </c>
      <c r="D1207" t="s">
        <v>77</v>
      </c>
      <c r="E1207" t="s">
        <v>27</v>
      </c>
      <c r="F1207">
        <v>320.77</v>
      </c>
      <c r="G1207">
        <v>473</v>
      </c>
      <c r="H1207">
        <v>92.59</v>
      </c>
      <c r="I1207">
        <v>98.86</v>
      </c>
      <c r="J1207">
        <v>83.36</v>
      </c>
      <c r="K1207" t="s">
        <v>28</v>
      </c>
      <c r="L1207">
        <v>7.7</v>
      </c>
      <c r="M1207">
        <v>3.7</v>
      </c>
      <c r="N1207" t="s">
        <v>39</v>
      </c>
      <c r="O1207">
        <v>8</v>
      </c>
      <c r="P1207" t="s">
        <v>23</v>
      </c>
      <c r="Q1207">
        <v>62.8</v>
      </c>
    </row>
    <row r="1208" spans="1:17" x14ac:dyDescent="0.35">
      <c r="A1208" s="1">
        <v>45822</v>
      </c>
      <c r="B1208" t="s">
        <v>59</v>
      </c>
      <c r="C1208" t="s">
        <v>60</v>
      </c>
      <c r="D1208" t="s">
        <v>61</v>
      </c>
      <c r="E1208" t="s">
        <v>62</v>
      </c>
      <c r="F1208">
        <v>355.13</v>
      </c>
      <c r="G1208">
        <v>187</v>
      </c>
      <c r="H1208">
        <v>86.08</v>
      </c>
      <c r="I1208">
        <v>94.2</v>
      </c>
      <c r="J1208">
        <v>89.48</v>
      </c>
      <c r="K1208" t="s">
        <v>34</v>
      </c>
      <c r="L1208">
        <v>7.2</v>
      </c>
      <c r="N1208" t="s">
        <v>35</v>
      </c>
      <c r="O1208">
        <v>5</v>
      </c>
      <c r="P1208" t="s">
        <v>23</v>
      </c>
      <c r="Q1208">
        <v>72.400000000000006</v>
      </c>
    </row>
    <row r="1209" spans="1:17" x14ac:dyDescent="0.35">
      <c r="A1209" s="1">
        <v>45822</v>
      </c>
      <c r="B1209" t="s">
        <v>36</v>
      </c>
      <c r="C1209" t="s">
        <v>37</v>
      </c>
      <c r="D1209" t="s">
        <v>38</v>
      </c>
      <c r="E1209" t="s">
        <v>33</v>
      </c>
      <c r="F1209">
        <v>447.05</v>
      </c>
      <c r="G1209">
        <v>187.1</v>
      </c>
      <c r="H1209">
        <v>93.81</v>
      </c>
      <c r="I1209">
        <v>95.74</v>
      </c>
      <c r="J1209">
        <v>76.88</v>
      </c>
      <c r="K1209" t="s">
        <v>47</v>
      </c>
      <c r="L1209">
        <v>8.8000000000000007</v>
      </c>
      <c r="M1209">
        <v>2.7</v>
      </c>
      <c r="N1209" t="s">
        <v>35</v>
      </c>
      <c r="O1209">
        <v>6</v>
      </c>
      <c r="P1209" t="s">
        <v>23</v>
      </c>
      <c r="Q1209">
        <v>63.9</v>
      </c>
    </row>
    <row r="1210" spans="1:17" x14ac:dyDescent="0.35">
      <c r="A1210" s="1">
        <v>45822</v>
      </c>
      <c r="B1210" t="s">
        <v>55</v>
      </c>
      <c r="C1210" t="s">
        <v>56</v>
      </c>
      <c r="D1210">
        <v>4</v>
      </c>
      <c r="E1210" t="s">
        <v>57</v>
      </c>
      <c r="F1210">
        <v>30</v>
      </c>
      <c r="G1210">
        <v>128.1</v>
      </c>
      <c r="H1210">
        <v>88.82</v>
      </c>
      <c r="I1210">
        <v>95.66</v>
      </c>
      <c r="J1210">
        <v>79.22</v>
      </c>
      <c r="K1210" t="s">
        <v>21</v>
      </c>
      <c r="L1210">
        <v>7.9</v>
      </c>
      <c r="N1210" t="s">
        <v>35</v>
      </c>
      <c r="O1210">
        <v>3</v>
      </c>
      <c r="P1210" t="s">
        <v>43</v>
      </c>
      <c r="Q1210">
        <v>71.599999999999994</v>
      </c>
    </row>
    <row r="1211" spans="1:17" x14ac:dyDescent="0.35">
      <c r="A1211" s="1">
        <v>45822</v>
      </c>
      <c r="B1211" t="s">
        <v>59</v>
      </c>
      <c r="C1211" t="s">
        <v>60</v>
      </c>
      <c r="D1211" t="s">
        <v>61</v>
      </c>
      <c r="E1211" t="s">
        <v>62</v>
      </c>
      <c r="F1211">
        <v>404.73</v>
      </c>
      <c r="G1211">
        <v>169.4</v>
      </c>
      <c r="H1211">
        <v>87.06</v>
      </c>
      <c r="I1211">
        <v>95.47</v>
      </c>
      <c r="J1211">
        <v>88.8</v>
      </c>
      <c r="K1211" t="s">
        <v>63</v>
      </c>
      <c r="L1211">
        <v>8.4</v>
      </c>
      <c r="N1211" t="s">
        <v>35</v>
      </c>
      <c r="O1211">
        <v>6</v>
      </c>
      <c r="P1211" t="s">
        <v>43</v>
      </c>
      <c r="Q1211">
        <v>75.099999999999994</v>
      </c>
    </row>
    <row r="1212" spans="1:17" x14ac:dyDescent="0.35">
      <c r="A1212" s="1">
        <v>45822</v>
      </c>
      <c r="B1212" t="s">
        <v>36</v>
      </c>
      <c r="C1212" t="s">
        <v>37</v>
      </c>
      <c r="D1212" t="s">
        <v>38</v>
      </c>
      <c r="E1212" t="s">
        <v>33</v>
      </c>
      <c r="F1212">
        <v>383.67</v>
      </c>
      <c r="G1212">
        <v>147.1</v>
      </c>
      <c r="H1212">
        <v>93.23</v>
      </c>
      <c r="I1212">
        <v>96.51</v>
      </c>
      <c r="J1212">
        <v>73</v>
      </c>
      <c r="K1212" t="s">
        <v>28</v>
      </c>
      <c r="L1212">
        <v>7.5</v>
      </c>
      <c r="M1212">
        <v>4.8</v>
      </c>
      <c r="N1212" t="s">
        <v>35</v>
      </c>
      <c r="O1212">
        <v>7</v>
      </c>
      <c r="P1212" t="s">
        <v>23</v>
      </c>
      <c r="Q1212">
        <v>59.3</v>
      </c>
    </row>
    <row r="1213" spans="1:17" x14ac:dyDescent="0.35">
      <c r="A1213" s="1">
        <v>45822</v>
      </c>
      <c r="B1213" t="s">
        <v>17</v>
      </c>
      <c r="C1213" t="s">
        <v>18</v>
      </c>
      <c r="D1213" t="s">
        <v>19</v>
      </c>
      <c r="E1213" t="s">
        <v>20</v>
      </c>
      <c r="F1213">
        <v>231.82</v>
      </c>
      <c r="G1213">
        <v>201.1</v>
      </c>
      <c r="H1213">
        <v>91.19</v>
      </c>
      <c r="I1213">
        <v>96.54</v>
      </c>
      <c r="J1213">
        <v>75.760000000000005</v>
      </c>
      <c r="K1213" t="s">
        <v>21</v>
      </c>
      <c r="L1213">
        <v>8</v>
      </c>
      <c r="N1213" t="s">
        <v>35</v>
      </c>
      <c r="O1213">
        <v>6</v>
      </c>
      <c r="P1213" t="s">
        <v>23</v>
      </c>
      <c r="Q1213">
        <v>72.7</v>
      </c>
    </row>
    <row r="1214" spans="1:17" x14ac:dyDescent="0.35">
      <c r="A1214" s="1">
        <v>45822</v>
      </c>
      <c r="B1214" t="s">
        <v>48</v>
      </c>
      <c r="C1214" t="s">
        <v>49</v>
      </c>
      <c r="D1214" t="s">
        <v>50</v>
      </c>
      <c r="E1214" t="s">
        <v>27</v>
      </c>
      <c r="F1214">
        <v>210.06</v>
      </c>
      <c r="G1214">
        <v>25.6</v>
      </c>
      <c r="H1214">
        <v>95.92</v>
      </c>
      <c r="I1214">
        <v>94.88</v>
      </c>
      <c r="J1214">
        <v>84.18</v>
      </c>
      <c r="K1214" t="s">
        <v>47</v>
      </c>
      <c r="L1214">
        <v>7.4</v>
      </c>
      <c r="M1214">
        <v>3.8</v>
      </c>
      <c r="N1214" t="s">
        <v>29</v>
      </c>
      <c r="O1214">
        <v>8</v>
      </c>
      <c r="P1214" t="s">
        <v>23</v>
      </c>
      <c r="Q1214">
        <v>59.5</v>
      </c>
    </row>
    <row r="1215" spans="1:17" x14ac:dyDescent="0.35">
      <c r="A1215" s="1">
        <v>45822</v>
      </c>
      <c r="B1215" t="s">
        <v>55</v>
      </c>
      <c r="C1215" t="s">
        <v>56</v>
      </c>
      <c r="D1215">
        <v>4</v>
      </c>
      <c r="E1215" t="s">
        <v>57</v>
      </c>
      <c r="F1215">
        <v>30</v>
      </c>
      <c r="G1215">
        <v>126</v>
      </c>
      <c r="H1215">
        <v>89.09</v>
      </c>
      <c r="I1215">
        <v>93.67</v>
      </c>
      <c r="J1215">
        <v>73.05</v>
      </c>
      <c r="K1215" t="s">
        <v>58</v>
      </c>
      <c r="L1215">
        <v>7.7</v>
      </c>
      <c r="N1215" t="s">
        <v>35</v>
      </c>
      <c r="O1215">
        <v>4</v>
      </c>
      <c r="P1215" t="s">
        <v>23</v>
      </c>
      <c r="Q1215">
        <v>69.599999999999994</v>
      </c>
    </row>
    <row r="1216" spans="1:17" x14ac:dyDescent="0.35">
      <c r="A1216" s="1">
        <v>45822</v>
      </c>
      <c r="B1216" t="s">
        <v>71</v>
      </c>
      <c r="C1216" t="s">
        <v>72</v>
      </c>
      <c r="D1216" t="s">
        <v>73</v>
      </c>
      <c r="E1216" t="s">
        <v>33</v>
      </c>
      <c r="F1216">
        <v>220.57</v>
      </c>
      <c r="G1216">
        <v>73.900000000000006</v>
      </c>
      <c r="H1216">
        <v>95.92</v>
      </c>
      <c r="I1216">
        <v>95.68</v>
      </c>
      <c r="J1216">
        <v>74.22</v>
      </c>
      <c r="K1216" t="s">
        <v>47</v>
      </c>
      <c r="L1216">
        <v>7.5</v>
      </c>
      <c r="M1216">
        <v>2.4</v>
      </c>
      <c r="N1216" t="s">
        <v>35</v>
      </c>
      <c r="O1216">
        <v>9</v>
      </c>
      <c r="P1216" t="s">
        <v>23</v>
      </c>
      <c r="Q1216">
        <v>60</v>
      </c>
    </row>
    <row r="1217" spans="1:17" x14ac:dyDescent="0.35">
      <c r="A1217" s="1">
        <v>45822</v>
      </c>
      <c r="B1217" t="s">
        <v>55</v>
      </c>
      <c r="C1217" t="s">
        <v>56</v>
      </c>
      <c r="D1217">
        <v>4</v>
      </c>
      <c r="E1217" t="s">
        <v>57</v>
      </c>
      <c r="F1217">
        <v>30</v>
      </c>
      <c r="G1217">
        <v>120.6</v>
      </c>
      <c r="H1217">
        <v>91.56</v>
      </c>
      <c r="I1217">
        <v>95.47</v>
      </c>
      <c r="J1217">
        <v>72.83</v>
      </c>
      <c r="K1217" t="s">
        <v>58</v>
      </c>
      <c r="L1217">
        <v>7.9</v>
      </c>
      <c r="N1217" t="s">
        <v>35</v>
      </c>
      <c r="O1217">
        <v>4</v>
      </c>
      <c r="P1217" t="s">
        <v>43</v>
      </c>
      <c r="Q1217">
        <v>70.599999999999994</v>
      </c>
    </row>
    <row r="1218" spans="1:17" x14ac:dyDescent="0.35">
      <c r="A1218" s="1">
        <v>45822</v>
      </c>
      <c r="B1218" t="s">
        <v>36</v>
      </c>
      <c r="C1218" t="s">
        <v>37</v>
      </c>
      <c r="D1218" t="s">
        <v>38</v>
      </c>
      <c r="E1218" t="s">
        <v>33</v>
      </c>
      <c r="F1218">
        <v>484.31</v>
      </c>
      <c r="G1218">
        <v>222.2</v>
      </c>
      <c r="H1218">
        <v>96.51</v>
      </c>
      <c r="I1218">
        <v>94.69</v>
      </c>
      <c r="J1218">
        <v>76.930000000000007</v>
      </c>
      <c r="K1218" t="s">
        <v>34</v>
      </c>
      <c r="L1218">
        <v>8.9</v>
      </c>
      <c r="M1218">
        <v>2.1</v>
      </c>
      <c r="N1218" t="s">
        <v>22</v>
      </c>
      <c r="O1218">
        <v>7</v>
      </c>
      <c r="P1218" t="s">
        <v>23</v>
      </c>
      <c r="Q1218">
        <v>64.8</v>
      </c>
    </row>
    <row r="1219" spans="1:17" x14ac:dyDescent="0.35">
      <c r="A1219" s="1">
        <v>45822</v>
      </c>
      <c r="B1219" t="s">
        <v>93</v>
      </c>
      <c r="C1219" t="s">
        <v>37</v>
      </c>
      <c r="D1219" t="s">
        <v>94</v>
      </c>
      <c r="E1219" t="s">
        <v>27</v>
      </c>
      <c r="F1219">
        <v>224.55</v>
      </c>
      <c r="G1219">
        <v>53.6</v>
      </c>
      <c r="H1219">
        <v>93.48</v>
      </c>
      <c r="I1219">
        <v>96.74</v>
      </c>
      <c r="J1219">
        <v>79.489999999999995</v>
      </c>
      <c r="K1219" t="s">
        <v>34</v>
      </c>
      <c r="L1219">
        <v>7.6</v>
      </c>
      <c r="M1219">
        <v>4.8</v>
      </c>
      <c r="N1219" t="s">
        <v>29</v>
      </c>
      <c r="O1219">
        <v>13</v>
      </c>
      <c r="P1219" t="s">
        <v>23</v>
      </c>
      <c r="Q1219">
        <v>58.8</v>
      </c>
    </row>
    <row r="1220" spans="1:17" x14ac:dyDescent="0.35">
      <c r="A1220" s="1">
        <v>45822</v>
      </c>
      <c r="B1220" t="s">
        <v>59</v>
      </c>
      <c r="C1220" t="s">
        <v>60</v>
      </c>
      <c r="D1220" t="s">
        <v>61</v>
      </c>
      <c r="E1220" t="s">
        <v>62</v>
      </c>
      <c r="F1220">
        <v>361.52</v>
      </c>
      <c r="G1220">
        <v>184.6</v>
      </c>
      <c r="H1220">
        <v>91.35</v>
      </c>
      <c r="I1220">
        <v>96.19</v>
      </c>
      <c r="J1220">
        <v>90.03</v>
      </c>
      <c r="K1220" t="s">
        <v>63</v>
      </c>
      <c r="L1220">
        <v>7.1</v>
      </c>
      <c r="N1220" t="s">
        <v>35</v>
      </c>
      <c r="O1220">
        <v>6</v>
      </c>
      <c r="P1220" t="s">
        <v>23</v>
      </c>
      <c r="Q1220">
        <v>73.7</v>
      </c>
    </row>
    <row r="1221" spans="1:17" x14ac:dyDescent="0.35">
      <c r="A1221" s="1">
        <v>45822</v>
      </c>
      <c r="B1221" t="s">
        <v>91</v>
      </c>
      <c r="C1221" t="s">
        <v>67</v>
      </c>
      <c r="D1221" t="s">
        <v>92</v>
      </c>
      <c r="E1221" t="s">
        <v>27</v>
      </c>
      <c r="F1221">
        <v>377.63</v>
      </c>
      <c r="G1221">
        <v>34.4</v>
      </c>
      <c r="H1221">
        <v>96.97</v>
      </c>
      <c r="I1221">
        <v>94.85</v>
      </c>
      <c r="J1221">
        <v>79.22</v>
      </c>
      <c r="K1221" t="s">
        <v>28</v>
      </c>
      <c r="L1221">
        <v>8.4</v>
      </c>
      <c r="M1221">
        <v>3.9</v>
      </c>
      <c r="N1221" t="s">
        <v>39</v>
      </c>
      <c r="O1221">
        <v>15</v>
      </c>
      <c r="P1221" t="s">
        <v>23</v>
      </c>
      <c r="Q1221">
        <v>60.6</v>
      </c>
    </row>
    <row r="1222" spans="1:17" x14ac:dyDescent="0.35">
      <c r="A1222" s="1">
        <v>45822</v>
      </c>
      <c r="B1222" t="s">
        <v>59</v>
      </c>
      <c r="C1222" t="s">
        <v>60</v>
      </c>
      <c r="D1222" t="s">
        <v>61</v>
      </c>
      <c r="E1222" t="s">
        <v>62</v>
      </c>
      <c r="F1222">
        <v>459.59</v>
      </c>
      <c r="G1222">
        <v>169.8</v>
      </c>
      <c r="H1222">
        <v>91.93</v>
      </c>
      <c r="I1222">
        <v>94.4</v>
      </c>
      <c r="J1222">
        <v>86.58</v>
      </c>
      <c r="K1222" t="s">
        <v>63</v>
      </c>
      <c r="L1222">
        <v>9.1</v>
      </c>
      <c r="N1222" t="s">
        <v>35</v>
      </c>
      <c r="O1222">
        <v>4</v>
      </c>
      <c r="P1222" t="s">
        <v>43</v>
      </c>
      <c r="Q1222">
        <v>76.8</v>
      </c>
    </row>
    <row r="1223" spans="1:17" x14ac:dyDescent="0.35">
      <c r="A1223" s="1">
        <v>45822</v>
      </c>
      <c r="B1223" t="s">
        <v>48</v>
      </c>
      <c r="C1223" t="s">
        <v>49</v>
      </c>
      <c r="D1223" t="s">
        <v>50</v>
      </c>
      <c r="E1223" t="s">
        <v>33</v>
      </c>
      <c r="F1223">
        <v>496.96</v>
      </c>
      <c r="G1223">
        <v>169.6</v>
      </c>
      <c r="H1223">
        <v>92.39</v>
      </c>
      <c r="I1223">
        <v>94.16</v>
      </c>
      <c r="J1223">
        <v>75.739999999999995</v>
      </c>
      <c r="K1223" t="s">
        <v>47</v>
      </c>
      <c r="L1223">
        <v>9.1</v>
      </c>
      <c r="M1223">
        <v>3.1</v>
      </c>
      <c r="N1223" t="s">
        <v>35</v>
      </c>
      <c r="O1223">
        <v>6</v>
      </c>
      <c r="P1223" t="s">
        <v>23</v>
      </c>
      <c r="Q1223">
        <v>63.5</v>
      </c>
    </row>
    <row r="1224" spans="1:17" x14ac:dyDescent="0.35">
      <c r="A1224" s="1">
        <v>45822</v>
      </c>
      <c r="B1224" t="s">
        <v>55</v>
      </c>
      <c r="C1224" t="s">
        <v>56</v>
      </c>
      <c r="D1224">
        <v>4</v>
      </c>
      <c r="E1224" t="s">
        <v>57</v>
      </c>
      <c r="F1224">
        <v>30</v>
      </c>
      <c r="G1224">
        <v>122</v>
      </c>
      <c r="H1224">
        <v>90.04</v>
      </c>
      <c r="I1224">
        <v>95.42</v>
      </c>
      <c r="J1224">
        <v>74.83</v>
      </c>
      <c r="K1224" t="s">
        <v>58</v>
      </c>
      <c r="L1224">
        <v>7.2</v>
      </c>
      <c r="N1224" t="s">
        <v>35</v>
      </c>
      <c r="O1224">
        <v>2</v>
      </c>
      <c r="P1224" t="s">
        <v>43</v>
      </c>
      <c r="Q1224">
        <v>69.400000000000006</v>
      </c>
    </row>
    <row r="1225" spans="1:17" x14ac:dyDescent="0.35">
      <c r="A1225" s="1">
        <v>45822</v>
      </c>
      <c r="B1225" t="s">
        <v>84</v>
      </c>
      <c r="C1225" t="s">
        <v>18</v>
      </c>
      <c r="D1225" t="s">
        <v>85</v>
      </c>
      <c r="E1225" t="s">
        <v>27</v>
      </c>
      <c r="F1225">
        <v>139.04</v>
      </c>
      <c r="G1225">
        <v>32.9</v>
      </c>
      <c r="H1225">
        <v>94.03</v>
      </c>
      <c r="I1225">
        <v>93.31</v>
      </c>
      <c r="J1225">
        <v>77.55</v>
      </c>
      <c r="K1225" t="s">
        <v>47</v>
      </c>
      <c r="L1225">
        <v>7.4</v>
      </c>
      <c r="M1225">
        <v>4.5</v>
      </c>
      <c r="N1225" t="s">
        <v>29</v>
      </c>
      <c r="O1225">
        <v>14</v>
      </c>
      <c r="P1225" t="s">
        <v>23</v>
      </c>
      <c r="Q1225">
        <v>57.5</v>
      </c>
    </row>
    <row r="1226" spans="1:17" x14ac:dyDescent="0.35">
      <c r="A1226" s="1">
        <v>45822</v>
      </c>
      <c r="B1226" t="s">
        <v>55</v>
      </c>
      <c r="C1226" t="s">
        <v>56</v>
      </c>
      <c r="D1226">
        <v>4</v>
      </c>
      <c r="E1226" t="s">
        <v>57</v>
      </c>
      <c r="F1226">
        <v>30</v>
      </c>
      <c r="G1226">
        <v>122.1</v>
      </c>
      <c r="H1226">
        <v>87.71</v>
      </c>
      <c r="I1226">
        <v>94.49</v>
      </c>
      <c r="J1226">
        <v>77.47</v>
      </c>
      <c r="K1226" t="s">
        <v>63</v>
      </c>
      <c r="L1226">
        <v>7.6</v>
      </c>
      <c r="N1226" t="s">
        <v>35</v>
      </c>
      <c r="O1226">
        <v>4</v>
      </c>
      <c r="P1226" t="s">
        <v>43</v>
      </c>
      <c r="Q1226">
        <v>70</v>
      </c>
    </row>
    <row r="1227" spans="1:17" x14ac:dyDescent="0.35">
      <c r="A1227" s="1">
        <v>45822</v>
      </c>
      <c r="B1227" t="s">
        <v>40</v>
      </c>
      <c r="C1227" t="s">
        <v>41</v>
      </c>
      <c r="D1227" t="s">
        <v>42</v>
      </c>
      <c r="E1227" t="s">
        <v>27</v>
      </c>
      <c r="F1227">
        <v>580.62</v>
      </c>
      <c r="G1227">
        <v>46.6</v>
      </c>
      <c r="H1227">
        <v>96.29</v>
      </c>
      <c r="I1227">
        <v>98.41</v>
      </c>
      <c r="J1227">
        <v>76.72</v>
      </c>
      <c r="K1227" t="s">
        <v>28</v>
      </c>
      <c r="L1227">
        <v>8</v>
      </c>
      <c r="M1227">
        <v>4</v>
      </c>
      <c r="N1227" t="s">
        <v>39</v>
      </c>
      <c r="O1227">
        <v>15</v>
      </c>
      <c r="P1227" t="s">
        <v>43</v>
      </c>
      <c r="Q1227">
        <v>60.2</v>
      </c>
    </row>
    <row r="1228" spans="1:17" x14ac:dyDescent="0.35">
      <c r="A1228" s="1">
        <v>45822</v>
      </c>
      <c r="B1228" t="s">
        <v>84</v>
      </c>
      <c r="C1228" t="s">
        <v>18</v>
      </c>
      <c r="D1228" t="s">
        <v>85</v>
      </c>
      <c r="E1228" t="s">
        <v>27</v>
      </c>
      <c r="F1228">
        <v>247.26</v>
      </c>
      <c r="G1228">
        <v>63.9</v>
      </c>
      <c r="H1228">
        <v>96.39</v>
      </c>
      <c r="I1228">
        <v>93.9</v>
      </c>
      <c r="J1228">
        <v>83.98</v>
      </c>
      <c r="K1228" t="s">
        <v>34</v>
      </c>
      <c r="L1228">
        <v>8.1</v>
      </c>
      <c r="M1228">
        <v>4</v>
      </c>
      <c r="N1228" t="s">
        <v>29</v>
      </c>
      <c r="O1228">
        <v>15</v>
      </c>
      <c r="P1228" t="s">
        <v>23</v>
      </c>
      <c r="Q1228">
        <v>61.1</v>
      </c>
    </row>
    <row r="1229" spans="1:17" x14ac:dyDescent="0.35">
      <c r="A1229" s="1">
        <v>45822</v>
      </c>
      <c r="B1229" t="s">
        <v>40</v>
      </c>
      <c r="C1229" t="s">
        <v>41</v>
      </c>
      <c r="D1229" t="s">
        <v>42</v>
      </c>
      <c r="E1229" t="s">
        <v>27</v>
      </c>
      <c r="F1229">
        <v>457.41</v>
      </c>
      <c r="G1229">
        <v>49.7</v>
      </c>
      <c r="H1229">
        <v>94.52</v>
      </c>
      <c r="I1229">
        <v>96.06</v>
      </c>
      <c r="J1229">
        <v>79.05</v>
      </c>
      <c r="K1229" t="s">
        <v>34</v>
      </c>
      <c r="L1229">
        <v>9.3000000000000007</v>
      </c>
      <c r="M1229">
        <v>1.6</v>
      </c>
      <c r="N1229" t="s">
        <v>39</v>
      </c>
      <c r="O1229">
        <v>9</v>
      </c>
      <c r="P1229" t="s">
        <v>43</v>
      </c>
      <c r="Q1229">
        <v>63.7</v>
      </c>
    </row>
    <row r="1230" spans="1:17" x14ac:dyDescent="0.35">
      <c r="A1230" s="1">
        <v>45822</v>
      </c>
      <c r="B1230" t="s">
        <v>59</v>
      </c>
      <c r="C1230" t="s">
        <v>60</v>
      </c>
      <c r="D1230" t="s">
        <v>61</v>
      </c>
      <c r="E1230" t="s">
        <v>62</v>
      </c>
      <c r="F1230">
        <v>490.21</v>
      </c>
      <c r="G1230">
        <v>177.9</v>
      </c>
      <c r="H1230">
        <v>89.13</v>
      </c>
      <c r="I1230">
        <v>96.99</v>
      </c>
      <c r="J1230">
        <v>85.44</v>
      </c>
      <c r="K1230" t="s">
        <v>34</v>
      </c>
      <c r="L1230">
        <v>8.9</v>
      </c>
      <c r="N1230" t="s">
        <v>35</v>
      </c>
      <c r="O1230">
        <v>6</v>
      </c>
      <c r="P1230" t="s">
        <v>23</v>
      </c>
      <c r="Q1230">
        <v>76.099999999999994</v>
      </c>
    </row>
    <row r="1231" spans="1:17" x14ac:dyDescent="0.35">
      <c r="A1231" s="1">
        <v>45822</v>
      </c>
      <c r="B1231" t="s">
        <v>48</v>
      </c>
      <c r="C1231" t="s">
        <v>49</v>
      </c>
      <c r="D1231" t="s">
        <v>50</v>
      </c>
      <c r="E1231" t="s">
        <v>27</v>
      </c>
      <c r="F1231">
        <v>245.11</v>
      </c>
      <c r="G1231">
        <v>69.400000000000006</v>
      </c>
      <c r="H1231">
        <v>93.98</v>
      </c>
      <c r="I1231">
        <v>95.52</v>
      </c>
      <c r="J1231">
        <v>81.03</v>
      </c>
      <c r="K1231" t="s">
        <v>28</v>
      </c>
      <c r="L1231">
        <v>7.9</v>
      </c>
      <c r="M1231">
        <v>2.9</v>
      </c>
      <c r="N1231" t="s">
        <v>29</v>
      </c>
      <c r="O1231">
        <v>14</v>
      </c>
      <c r="P1231" t="s">
        <v>43</v>
      </c>
      <c r="Q1231">
        <v>61</v>
      </c>
    </row>
    <row r="1232" spans="1:17" x14ac:dyDescent="0.35">
      <c r="A1232" s="1">
        <v>45822</v>
      </c>
      <c r="B1232" t="s">
        <v>53</v>
      </c>
      <c r="C1232" t="s">
        <v>41</v>
      </c>
      <c r="D1232" t="s">
        <v>54</v>
      </c>
      <c r="E1232" t="s">
        <v>27</v>
      </c>
      <c r="F1232">
        <v>212.87</v>
      </c>
      <c r="G1232">
        <v>22.3</v>
      </c>
      <c r="H1232">
        <v>93.69</v>
      </c>
      <c r="I1232">
        <v>98.46</v>
      </c>
      <c r="J1232">
        <v>75.92</v>
      </c>
      <c r="K1232" t="s">
        <v>28</v>
      </c>
      <c r="L1232">
        <v>8.1999999999999993</v>
      </c>
      <c r="M1232">
        <v>2.4</v>
      </c>
      <c r="N1232" t="s">
        <v>39</v>
      </c>
      <c r="O1232">
        <v>14</v>
      </c>
      <c r="P1232" t="s">
        <v>43</v>
      </c>
      <c r="Q1232">
        <v>60.5</v>
      </c>
    </row>
    <row r="1233" spans="1:17" x14ac:dyDescent="0.35">
      <c r="A1233" s="1">
        <v>45822</v>
      </c>
      <c r="B1233" t="s">
        <v>66</v>
      </c>
      <c r="C1233" t="s">
        <v>67</v>
      </c>
      <c r="D1233" t="s">
        <v>68</v>
      </c>
      <c r="E1233" t="s">
        <v>27</v>
      </c>
      <c r="F1233">
        <v>716.35</v>
      </c>
      <c r="G1233">
        <v>49.3</v>
      </c>
      <c r="H1233">
        <v>94.79</v>
      </c>
      <c r="I1233">
        <v>95.52</v>
      </c>
      <c r="J1233">
        <v>84.15</v>
      </c>
      <c r="K1233" t="s">
        <v>47</v>
      </c>
      <c r="L1233">
        <v>8.8000000000000007</v>
      </c>
      <c r="M1233">
        <v>4.0999999999999996</v>
      </c>
      <c r="N1233" t="s">
        <v>39</v>
      </c>
      <c r="O1233">
        <v>10</v>
      </c>
      <c r="P1233" t="s">
        <v>43</v>
      </c>
      <c r="Q1233">
        <v>62</v>
      </c>
    </row>
    <row r="1234" spans="1:17" x14ac:dyDescent="0.35">
      <c r="A1234" s="1">
        <v>45822</v>
      </c>
      <c r="B1234" t="s">
        <v>59</v>
      </c>
      <c r="C1234" t="s">
        <v>60</v>
      </c>
      <c r="D1234" t="s">
        <v>61</v>
      </c>
      <c r="E1234" t="s">
        <v>62</v>
      </c>
      <c r="F1234">
        <v>360.14</v>
      </c>
      <c r="G1234">
        <v>175.5</v>
      </c>
      <c r="H1234">
        <v>87.29</v>
      </c>
      <c r="I1234">
        <v>95.95</v>
      </c>
      <c r="J1234">
        <v>87.71</v>
      </c>
      <c r="K1234" t="s">
        <v>34</v>
      </c>
      <c r="L1234">
        <v>7.4</v>
      </c>
      <c r="N1234" t="s">
        <v>35</v>
      </c>
      <c r="O1234">
        <v>6</v>
      </c>
      <c r="P1234" t="s">
        <v>23</v>
      </c>
      <c r="Q1234">
        <v>73</v>
      </c>
    </row>
    <row r="1235" spans="1:17" x14ac:dyDescent="0.35">
      <c r="A1235" s="1">
        <v>45822</v>
      </c>
      <c r="B1235" t="s">
        <v>66</v>
      </c>
      <c r="C1235" t="s">
        <v>67</v>
      </c>
      <c r="D1235" t="s">
        <v>68</v>
      </c>
      <c r="E1235" t="s">
        <v>27</v>
      </c>
      <c r="F1235">
        <v>656.84</v>
      </c>
      <c r="G1235">
        <v>70.900000000000006</v>
      </c>
      <c r="H1235">
        <v>93.61</v>
      </c>
      <c r="I1235">
        <v>93.13</v>
      </c>
      <c r="J1235">
        <v>84.45</v>
      </c>
      <c r="K1235" t="s">
        <v>34</v>
      </c>
      <c r="L1235">
        <v>8.5</v>
      </c>
      <c r="M1235">
        <v>2.8</v>
      </c>
      <c r="N1235" t="s">
        <v>39</v>
      </c>
      <c r="O1235">
        <v>13</v>
      </c>
      <c r="P1235" t="s">
        <v>43</v>
      </c>
      <c r="Q1235">
        <v>62.2</v>
      </c>
    </row>
    <row r="1236" spans="1:17" x14ac:dyDescent="0.35">
      <c r="A1236" s="1">
        <v>45822</v>
      </c>
      <c r="B1236" t="s">
        <v>55</v>
      </c>
      <c r="C1236" t="s">
        <v>56</v>
      </c>
      <c r="D1236">
        <v>4</v>
      </c>
      <c r="E1236" t="s">
        <v>57</v>
      </c>
      <c r="F1236">
        <v>30</v>
      </c>
      <c r="G1236">
        <v>153.5</v>
      </c>
      <c r="H1236">
        <v>85.67</v>
      </c>
      <c r="I1236">
        <v>95.79</v>
      </c>
      <c r="J1236">
        <v>70.44</v>
      </c>
      <c r="K1236" t="s">
        <v>58</v>
      </c>
      <c r="L1236">
        <v>6.5</v>
      </c>
      <c r="N1236" t="s">
        <v>35</v>
      </c>
      <c r="O1236">
        <v>4</v>
      </c>
      <c r="P1236" t="s">
        <v>43</v>
      </c>
      <c r="Q1236">
        <v>67</v>
      </c>
    </row>
    <row r="1237" spans="1:17" x14ac:dyDescent="0.35">
      <c r="A1237" s="1">
        <v>45822</v>
      </c>
      <c r="B1237" t="s">
        <v>48</v>
      </c>
      <c r="C1237" t="s">
        <v>49</v>
      </c>
      <c r="D1237" t="s">
        <v>50</v>
      </c>
      <c r="E1237" t="s">
        <v>27</v>
      </c>
      <c r="F1237">
        <v>292.14</v>
      </c>
      <c r="G1237">
        <v>50.5</v>
      </c>
      <c r="H1237">
        <v>92.34</v>
      </c>
      <c r="I1237">
        <v>94.9</v>
      </c>
      <c r="J1237">
        <v>76.63</v>
      </c>
      <c r="K1237" t="s">
        <v>34</v>
      </c>
      <c r="L1237">
        <v>8.1</v>
      </c>
      <c r="M1237">
        <v>2.8</v>
      </c>
      <c r="N1237" t="s">
        <v>39</v>
      </c>
      <c r="O1237">
        <v>11</v>
      </c>
      <c r="P1237" t="s">
        <v>23</v>
      </c>
      <c r="Q1237">
        <v>59.9</v>
      </c>
    </row>
    <row r="1238" spans="1:17" x14ac:dyDescent="0.35">
      <c r="A1238" s="1">
        <v>45822</v>
      </c>
      <c r="B1238" t="s">
        <v>64</v>
      </c>
      <c r="C1238" t="s">
        <v>25</v>
      </c>
      <c r="D1238" t="s">
        <v>65</v>
      </c>
      <c r="E1238" t="s">
        <v>27</v>
      </c>
      <c r="F1238">
        <v>273.54000000000002</v>
      </c>
      <c r="G1238">
        <v>67.5</v>
      </c>
      <c r="H1238">
        <v>93.96</v>
      </c>
      <c r="I1238">
        <v>97.87</v>
      </c>
      <c r="J1238">
        <v>79.849999999999994</v>
      </c>
      <c r="K1238" t="s">
        <v>47</v>
      </c>
      <c r="L1238">
        <v>7.1</v>
      </c>
      <c r="M1238">
        <v>3.8</v>
      </c>
      <c r="N1238" t="s">
        <v>39</v>
      </c>
      <c r="O1238">
        <v>15</v>
      </c>
      <c r="P1238" t="s">
        <v>30</v>
      </c>
      <c r="Q1238">
        <v>59.3</v>
      </c>
    </row>
    <row r="1239" spans="1:17" x14ac:dyDescent="0.35">
      <c r="A1239" s="1">
        <v>45822</v>
      </c>
      <c r="B1239" t="s">
        <v>78</v>
      </c>
      <c r="C1239" t="s">
        <v>41</v>
      </c>
      <c r="D1239" t="s">
        <v>79</v>
      </c>
      <c r="E1239" t="s">
        <v>27</v>
      </c>
      <c r="F1239">
        <v>243.57</v>
      </c>
      <c r="G1239">
        <v>58</v>
      </c>
      <c r="H1239">
        <v>97.62</v>
      </c>
      <c r="I1239">
        <v>97.86</v>
      </c>
      <c r="J1239">
        <v>76.16</v>
      </c>
      <c r="K1239" t="s">
        <v>34</v>
      </c>
      <c r="L1239">
        <v>7.2</v>
      </c>
      <c r="M1239">
        <v>2.6</v>
      </c>
      <c r="N1239" t="s">
        <v>29</v>
      </c>
      <c r="O1239">
        <v>8</v>
      </c>
      <c r="P1239" t="s">
        <v>43</v>
      </c>
      <c r="Q1239">
        <v>60</v>
      </c>
    </row>
    <row r="1240" spans="1:17" x14ac:dyDescent="0.35">
      <c r="A1240" s="1">
        <v>45822</v>
      </c>
      <c r="B1240" t="s">
        <v>53</v>
      </c>
      <c r="C1240" t="s">
        <v>41</v>
      </c>
      <c r="D1240" t="s">
        <v>54</v>
      </c>
      <c r="E1240" t="s">
        <v>27</v>
      </c>
      <c r="F1240">
        <v>372.98</v>
      </c>
      <c r="G1240">
        <v>36</v>
      </c>
      <c r="H1240">
        <v>96.02</v>
      </c>
      <c r="I1240">
        <v>98.14</v>
      </c>
      <c r="J1240">
        <v>78.3</v>
      </c>
      <c r="K1240" t="s">
        <v>28</v>
      </c>
      <c r="L1240">
        <v>7.7</v>
      </c>
      <c r="M1240">
        <v>3.8</v>
      </c>
      <c r="N1240" t="s">
        <v>29</v>
      </c>
      <c r="O1240">
        <v>8</v>
      </c>
      <c r="P1240" t="s">
        <v>43</v>
      </c>
      <c r="Q1240">
        <v>59.8</v>
      </c>
    </row>
    <row r="1241" spans="1:17" x14ac:dyDescent="0.35">
      <c r="A1241" s="1">
        <v>45822</v>
      </c>
      <c r="B1241" t="s">
        <v>17</v>
      </c>
      <c r="C1241" t="s">
        <v>18</v>
      </c>
      <c r="D1241" t="s">
        <v>19</v>
      </c>
      <c r="E1241" t="s">
        <v>20</v>
      </c>
      <c r="F1241">
        <v>102.32</v>
      </c>
      <c r="G1241">
        <v>114</v>
      </c>
      <c r="H1241">
        <v>93.84</v>
      </c>
      <c r="I1241">
        <v>95.5</v>
      </c>
      <c r="J1241">
        <v>75.42</v>
      </c>
      <c r="K1241" t="s">
        <v>58</v>
      </c>
      <c r="L1241">
        <v>7.2</v>
      </c>
      <c r="N1241" t="s">
        <v>35</v>
      </c>
      <c r="O1241">
        <v>9</v>
      </c>
      <c r="P1241" t="s">
        <v>23</v>
      </c>
      <c r="Q1241">
        <v>70.099999999999994</v>
      </c>
    </row>
    <row r="1242" spans="1:17" x14ac:dyDescent="0.35">
      <c r="A1242" s="1">
        <v>45822</v>
      </c>
      <c r="B1242" t="s">
        <v>97</v>
      </c>
      <c r="C1242" t="s">
        <v>72</v>
      </c>
      <c r="D1242" t="s">
        <v>98</v>
      </c>
      <c r="E1242" t="s">
        <v>33</v>
      </c>
      <c r="F1242">
        <v>149.63999999999999</v>
      </c>
      <c r="G1242">
        <v>79.3</v>
      </c>
      <c r="H1242">
        <v>95.25</v>
      </c>
      <c r="I1242">
        <v>93.46</v>
      </c>
      <c r="J1242">
        <v>71.8</v>
      </c>
      <c r="K1242" t="s">
        <v>28</v>
      </c>
      <c r="L1242">
        <v>6.3</v>
      </c>
      <c r="M1242">
        <v>3.3</v>
      </c>
      <c r="N1242" t="s">
        <v>35</v>
      </c>
      <c r="O1242">
        <v>7</v>
      </c>
      <c r="P1242" t="s">
        <v>23</v>
      </c>
      <c r="Q1242">
        <v>56.6</v>
      </c>
    </row>
    <row r="1243" spans="1:17" x14ac:dyDescent="0.35">
      <c r="A1243" s="1">
        <v>45822</v>
      </c>
      <c r="B1243" t="s">
        <v>91</v>
      </c>
      <c r="C1243" t="s">
        <v>67</v>
      </c>
      <c r="D1243" t="s">
        <v>92</v>
      </c>
      <c r="E1243" t="s">
        <v>27</v>
      </c>
      <c r="F1243">
        <v>576.38</v>
      </c>
      <c r="G1243">
        <v>20.9</v>
      </c>
      <c r="H1243">
        <v>96.22</v>
      </c>
      <c r="I1243">
        <v>93.67</v>
      </c>
      <c r="J1243">
        <v>75.239999999999995</v>
      </c>
      <c r="K1243" t="s">
        <v>28</v>
      </c>
      <c r="L1243">
        <v>8.9</v>
      </c>
      <c r="M1243">
        <v>4.7</v>
      </c>
      <c r="N1243" t="s">
        <v>29</v>
      </c>
      <c r="O1243">
        <v>12</v>
      </c>
      <c r="P1243" t="s">
        <v>43</v>
      </c>
      <c r="Q1243">
        <v>59.6</v>
      </c>
    </row>
    <row r="1244" spans="1:17" x14ac:dyDescent="0.35">
      <c r="A1244" s="1">
        <v>45822</v>
      </c>
      <c r="B1244" t="s">
        <v>93</v>
      </c>
      <c r="C1244" t="s">
        <v>37</v>
      </c>
      <c r="D1244" t="s">
        <v>94</v>
      </c>
      <c r="E1244" t="s">
        <v>27</v>
      </c>
      <c r="F1244">
        <v>271.10000000000002</v>
      </c>
      <c r="G1244">
        <v>22.6</v>
      </c>
      <c r="H1244">
        <v>95.42</v>
      </c>
      <c r="I1244">
        <v>93.18</v>
      </c>
      <c r="J1244">
        <v>84.86</v>
      </c>
      <c r="K1244" t="s">
        <v>34</v>
      </c>
      <c r="L1244">
        <v>7.1</v>
      </c>
      <c r="M1244">
        <v>2.6</v>
      </c>
      <c r="N1244" t="s">
        <v>39</v>
      </c>
      <c r="O1244">
        <v>8</v>
      </c>
      <c r="P1244" t="s">
        <v>23</v>
      </c>
      <c r="Q1244">
        <v>59.5</v>
      </c>
    </row>
    <row r="1245" spans="1:17" x14ac:dyDescent="0.35">
      <c r="A1245" s="1">
        <v>45822</v>
      </c>
      <c r="B1245" t="s">
        <v>53</v>
      </c>
      <c r="C1245" t="s">
        <v>41</v>
      </c>
      <c r="D1245" t="s">
        <v>54</v>
      </c>
      <c r="E1245" t="s">
        <v>27</v>
      </c>
      <c r="F1245">
        <v>370.01</v>
      </c>
      <c r="G1245">
        <v>58.7</v>
      </c>
      <c r="H1245">
        <v>92.99</v>
      </c>
      <c r="I1245">
        <v>96.87</v>
      </c>
      <c r="J1245">
        <v>79.19</v>
      </c>
      <c r="K1245" t="s">
        <v>34</v>
      </c>
      <c r="L1245">
        <v>7.8</v>
      </c>
      <c r="M1245">
        <v>4.2</v>
      </c>
      <c r="N1245" t="s">
        <v>39</v>
      </c>
      <c r="O1245">
        <v>14</v>
      </c>
      <c r="P1245" t="s">
        <v>43</v>
      </c>
      <c r="Q1245">
        <v>59.5</v>
      </c>
    </row>
    <row r="1246" spans="1:17" x14ac:dyDescent="0.35">
      <c r="A1246" s="1">
        <v>45822</v>
      </c>
      <c r="B1246" t="s">
        <v>59</v>
      </c>
      <c r="C1246" t="s">
        <v>60</v>
      </c>
      <c r="D1246" t="s">
        <v>61</v>
      </c>
      <c r="E1246" t="s">
        <v>62</v>
      </c>
      <c r="F1246">
        <v>382.78</v>
      </c>
      <c r="G1246">
        <v>182.6</v>
      </c>
      <c r="H1246">
        <v>89.1</v>
      </c>
      <c r="I1246">
        <v>94.53</v>
      </c>
      <c r="J1246">
        <v>89.48</v>
      </c>
      <c r="K1246" t="s">
        <v>63</v>
      </c>
      <c r="L1246">
        <v>7.8</v>
      </c>
      <c r="N1246" t="s">
        <v>35</v>
      </c>
      <c r="O1246">
        <v>3</v>
      </c>
      <c r="P1246" t="s">
        <v>43</v>
      </c>
      <c r="Q1246">
        <v>74.2</v>
      </c>
    </row>
    <row r="1247" spans="1:17" x14ac:dyDescent="0.35">
      <c r="A1247" s="1">
        <v>45822</v>
      </c>
      <c r="B1247" t="s">
        <v>24</v>
      </c>
      <c r="C1247" t="s">
        <v>25</v>
      </c>
      <c r="D1247" t="s">
        <v>26</v>
      </c>
      <c r="E1247" t="s">
        <v>27</v>
      </c>
      <c r="F1247">
        <v>508.74</v>
      </c>
      <c r="G1247">
        <v>66.7</v>
      </c>
      <c r="H1247">
        <v>96.04</v>
      </c>
      <c r="I1247">
        <v>97.03</v>
      </c>
      <c r="J1247">
        <v>83.95</v>
      </c>
      <c r="K1247" t="s">
        <v>28</v>
      </c>
      <c r="L1247">
        <v>8.6999999999999993</v>
      </c>
      <c r="M1247">
        <v>2.9</v>
      </c>
      <c r="N1247" t="s">
        <v>29</v>
      </c>
      <c r="O1247">
        <v>9</v>
      </c>
      <c r="P1247" t="s">
        <v>30</v>
      </c>
      <c r="Q1247">
        <v>63.4</v>
      </c>
    </row>
    <row r="1248" spans="1:17" x14ac:dyDescent="0.35">
      <c r="A1248" s="1">
        <v>45822</v>
      </c>
      <c r="B1248" t="s">
        <v>40</v>
      </c>
      <c r="C1248" t="s">
        <v>41</v>
      </c>
      <c r="D1248" t="s">
        <v>42</v>
      </c>
      <c r="E1248" t="s">
        <v>27</v>
      </c>
      <c r="F1248">
        <v>435.05</v>
      </c>
      <c r="G1248">
        <v>40.4</v>
      </c>
      <c r="H1248">
        <v>95.86</v>
      </c>
      <c r="I1248">
        <v>96.09</v>
      </c>
      <c r="J1248">
        <v>76.13</v>
      </c>
      <c r="K1248" t="s">
        <v>47</v>
      </c>
      <c r="L1248">
        <v>8.6</v>
      </c>
      <c r="M1248">
        <v>4.5999999999999996</v>
      </c>
      <c r="N1248" t="s">
        <v>29</v>
      </c>
      <c r="O1248">
        <v>11</v>
      </c>
      <c r="P1248" t="s">
        <v>43</v>
      </c>
      <c r="Q1248">
        <v>60.1</v>
      </c>
    </row>
    <row r="1249" spans="1:17" x14ac:dyDescent="0.35">
      <c r="A1249" s="1">
        <v>45822</v>
      </c>
      <c r="B1249" t="s">
        <v>66</v>
      </c>
      <c r="C1249" t="s">
        <v>67</v>
      </c>
      <c r="D1249" t="s">
        <v>68</v>
      </c>
      <c r="E1249" t="s">
        <v>27</v>
      </c>
      <c r="F1249">
        <v>311.11</v>
      </c>
      <c r="G1249">
        <v>70.3</v>
      </c>
      <c r="H1249">
        <v>92.79</v>
      </c>
      <c r="I1249">
        <v>95.38</v>
      </c>
      <c r="J1249">
        <v>75.430000000000007</v>
      </c>
      <c r="K1249" t="s">
        <v>34</v>
      </c>
      <c r="L1249">
        <v>7.4</v>
      </c>
      <c r="M1249">
        <v>2.7</v>
      </c>
      <c r="N1249" t="s">
        <v>29</v>
      </c>
      <c r="O1249">
        <v>14</v>
      </c>
      <c r="P1249" t="s">
        <v>23</v>
      </c>
      <c r="Q1249">
        <v>59.2</v>
      </c>
    </row>
    <row r="1250" spans="1:17" x14ac:dyDescent="0.35">
      <c r="A1250" s="1">
        <v>45822</v>
      </c>
      <c r="B1250" t="s">
        <v>55</v>
      </c>
      <c r="C1250" t="s">
        <v>56</v>
      </c>
      <c r="D1250">
        <v>4</v>
      </c>
      <c r="E1250" t="s">
        <v>57</v>
      </c>
      <c r="F1250">
        <v>30</v>
      </c>
      <c r="G1250">
        <v>154.69999999999999</v>
      </c>
      <c r="H1250">
        <v>89.46</v>
      </c>
      <c r="I1250">
        <v>93.89</v>
      </c>
      <c r="J1250">
        <v>78.41</v>
      </c>
      <c r="K1250" t="s">
        <v>58</v>
      </c>
      <c r="L1250">
        <v>7.1</v>
      </c>
      <c r="N1250" t="s">
        <v>35</v>
      </c>
      <c r="O1250">
        <v>2</v>
      </c>
      <c r="P1250" t="s">
        <v>23</v>
      </c>
      <c r="Q1250">
        <v>70.2</v>
      </c>
    </row>
    <row r="1251" spans="1:17" x14ac:dyDescent="0.35">
      <c r="A1251" s="1">
        <v>45822</v>
      </c>
      <c r="B1251" t="s">
        <v>93</v>
      </c>
      <c r="C1251" t="s">
        <v>37</v>
      </c>
      <c r="D1251" t="s">
        <v>94</v>
      </c>
      <c r="E1251" t="s">
        <v>27</v>
      </c>
      <c r="F1251">
        <v>470.78</v>
      </c>
      <c r="G1251">
        <v>36.9</v>
      </c>
      <c r="H1251">
        <v>96.36</v>
      </c>
      <c r="I1251">
        <v>96.28</v>
      </c>
      <c r="J1251">
        <v>83.15</v>
      </c>
      <c r="K1251" t="s">
        <v>47</v>
      </c>
      <c r="L1251">
        <v>8.1999999999999993</v>
      </c>
      <c r="M1251">
        <v>2.4</v>
      </c>
      <c r="N1251" t="s">
        <v>29</v>
      </c>
      <c r="O1251">
        <v>10</v>
      </c>
      <c r="P1251" t="s">
        <v>23</v>
      </c>
      <c r="Q1251">
        <v>62.1</v>
      </c>
    </row>
    <row r="1252" spans="1:17" x14ac:dyDescent="0.35">
      <c r="A1252" s="1">
        <v>45822</v>
      </c>
      <c r="B1252" t="s">
        <v>59</v>
      </c>
      <c r="C1252" t="s">
        <v>60</v>
      </c>
      <c r="D1252" t="s">
        <v>61</v>
      </c>
      <c r="E1252" t="s">
        <v>62</v>
      </c>
      <c r="F1252">
        <v>539.83000000000004</v>
      </c>
      <c r="G1252">
        <v>189.1</v>
      </c>
      <c r="H1252">
        <v>91.56</v>
      </c>
      <c r="I1252">
        <v>94.45</v>
      </c>
      <c r="J1252">
        <v>90.01</v>
      </c>
      <c r="K1252" t="s">
        <v>34</v>
      </c>
      <c r="L1252">
        <v>8</v>
      </c>
      <c r="N1252" t="s">
        <v>35</v>
      </c>
      <c r="O1252">
        <v>3</v>
      </c>
      <c r="P1252" t="s">
        <v>43</v>
      </c>
      <c r="Q1252">
        <v>75.2</v>
      </c>
    </row>
    <row r="1253" spans="1:17" x14ac:dyDescent="0.35">
      <c r="A1253" s="1">
        <v>45822</v>
      </c>
      <c r="B1253" t="s">
        <v>69</v>
      </c>
      <c r="C1253" t="s">
        <v>18</v>
      </c>
      <c r="D1253" t="s">
        <v>70</v>
      </c>
      <c r="E1253" t="s">
        <v>20</v>
      </c>
      <c r="F1253">
        <v>182.72</v>
      </c>
      <c r="G1253">
        <v>127.6</v>
      </c>
      <c r="H1253">
        <v>91.26</v>
      </c>
      <c r="I1253">
        <v>93.25</v>
      </c>
      <c r="J1253">
        <v>78.33</v>
      </c>
      <c r="K1253" t="s">
        <v>63</v>
      </c>
      <c r="L1253">
        <v>7.8</v>
      </c>
      <c r="N1253" t="s">
        <v>35</v>
      </c>
      <c r="O1253">
        <v>10</v>
      </c>
      <c r="P1253" t="s">
        <v>23</v>
      </c>
      <c r="Q1253">
        <v>71.2</v>
      </c>
    </row>
    <row r="1254" spans="1:17" x14ac:dyDescent="0.35">
      <c r="A1254" s="1">
        <v>45822</v>
      </c>
      <c r="B1254" t="s">
        <v>78</v>
      </c>
      <c r="C1254" t="s">
        <v>41</v>
      </c>
      <c r="D1254" t="s">
        <v>79</v>
      </c>
      <c r="E1254" t="s">
        <v>27</v>
      </c>
      <c r="F1254">
        <v>479.78</v>
      </c>
      <c r="G1254">
        <v>46.2</v>
      </c>
      <c r="H1254">
        <v>94.75</v>
      </c>
      <c r="I1254">
        <v>96.07</v>
      </c>
      <c r="J1254">
        <v>82.23</v>
      </c>
      <c r="K1254" t="s">
        <v>28</v>
      </c>
      <c r="L1254">
        <v>9.4</v>
      </c>
      <c r="M1254">
        <v>2.2000000000000002</v>
      </c>
      <c r="N1254" t="s">
        <v>39</v>
      </c>
      <c r="O1254">
        <v>14</v>
      </c>
      <c r="P1254" t="s">
        <v>43</v>
      </c>
      <c r="Q1254">
        <v>64</v>
      </c>
    </row>
    <row r="1255" spans="1:17" x14ac:dyDescent="0.35">
      <c r="A1255" s="1">
        <v>45822</v>
      </c>
      <c r="B1255" t="s">
        <v>48</v>
      </c>
      <c r="C1255" t="s">
        <v>49</v>
      </c>
      <c r="D1255" t="s">
        <v>50</v>
      </c>
      <c r="E1255" t="s">
        <v>33</v>
      </c>
      <c r="F1255">
        <v>321.63</v>
      </c>
      <c r="G1255">
        <v>196.1</v>
      </c>
      <c r="H1255">
        <v>97.55</v>
      </c>
      <c r="I1255">
        <v>93.61</v>
      </c>
      <c r="J1255">
        <v>75.010000000000005</v>
      </c>
      <c r="K1255" t="s">
        <v>28</v>
      </c>
      <c r="L1255">
        <v>7.1</v>
      </c>
      <c r="M1255">
        <v>4.9000000000000004</v>
      </c>
      <c r="N1255" t="s">
        <v>22</v>
      </c>
      <c r="O1255">
        <v>7</v>
      </c>
      <c r="P1255" t="s">
        <v>23</v>
      </c>
      <c r="Q1255">
        <v>59.6</v>
      </c>
    </row>
    <row r="1256" spans="1:17" x14ac:dyDescent="0.35">
      <c r="A1256" s="1">
        <v>45822</v>
      </c>
      <c r="B1256" t="s">
        <v>86</v>
      </c>
      <c r="C1256" t="s">
        <v>25</v>
      </c>
      <c r="D1256" t="s">
        <v>87</v>
      </c>
      <c r="E1256" t="s">
        <v>27</v>
      </c>
      <c r="F1256">
        <v>705.37</v>
      </c>
      <c r="G1256">
        <v>19.7</v>
      </c>
      <c r="H1256">
        <v>94.01</v>
      </c>
      <c r="I1256">
        <v>97.98</v>
      </c>
      <c r="J1256">
        <v>78.91</v>
      </c>
      <c r="K1256" t="s">
        <v>34</v>
      </c>
      <c r="L1256">
        <v>9.1</v>
      </c>
      <c r="M1256">
        <v>1.7</v>
      </c>
      <c r="N1256" t="s">
        <v>29</v>
      </c>
      <c r="O1256">
        <v>14</v>
      </c>
      <c r="P1256" t="s">
        <v>30</v>
      </c>
      <c r="Q1256">
        <v>62.9</v>
      </c>
    </row>
    <row r="1257" spans="1:17" x14ac:dyDescent="0.35">
      <c r="A1257" s="1">
        <v>45822</v>
      </c>
      <c r="B1257" t="s">
        <v>53</v>
      </c>
      <c r="C1257" t="s">
        <v>41</v>
      </c>
      <c r="D1257" t="s">
        <v>54</v>
      </c>
      <c r="E1257" t="s">
        <v>27</v>
      </c>
      <c r="F1257">
        <v>619.99</v>
      </c>
      <c r="G1257">
        <v>60.8</v>
      </c>
      <c r="H1257">
        <v>93.11</v>
      </c>
      <c r="I1257">
        <v>96.03</v>
      </c>
      <c r="J1257">
        <v>83.32</v>
      </c>
      <c r="K1257" t="s">
        <v>28</v>
      </c>
      <c r="L1257">
        <v>9</v>
      </c>
      <c r="M1257">
        <v>2.2000000000000002</v>
      </c>
      <c r="N1257" t="s">
        <v>29</v>
      </c>
      <c r="O1257">
        <v>9</v>
      </c>
      <c r="P1257" t="s">
        <v>43</v>
      </c>
      <c r="Q1257">
        <v>63.5</v>
      </c>
    </row>
    <row r="1258" spans="1:17" x14ac:dyDescent="0.35">
      <c r="A1258" s="1">
        <v>45822</v>
      </c>
      <c r="B1258" t="s">
        <v>44</v>
      </c>
      <c r="C1258" t="s">
        <v>45</v>
      </c>
      <c r="D1258" t="s">
        <v>46</v>
      </c>
      <c r="E1258" t="s">
        <v>33</v>
      </c>
      <c r="F1258">
        <v>306.73</v>
      </c>
      <c r="G1258">
        <v>485.5</v>
      </c>
      <c r="H1258">
        <v>92.68</v>
      </c>
      <c r="I1258">
        <v>98.6</v>
      </c>
      <c r="J1258">
        <v>75.319999999999993</v>
      </c>
      <c r="K1258" t="s">
        <v>34</v>
      </c>
      <c r="L1258">
        <v>7.3</v>
      </c>
      <c r="M1258">
        <v>4.7</v>
      </c>
      <c r="N1258" t="s">
        <v>35</v>
      </c>
      <c r="O1258">
        <v>5</v>
      </c>
      <c r="P1258" t="s">
        <v>23</v>
      </c>
      <c r="Q1258">
        <v>60.1</v>
      </c>
    </row>
    <row r="1259" spans="1:17" x14ac:dyDescent="0.35">
      <c r="A1259" s="1">
        <v>45822</v>
      </c>
      <c r="B1259" t="s">
        <v>24</v>
      </c>
      <c r="C1259" t="s">
        <v>25</v>
      </c>
      <c r="D1259" t="s">
        <v>26</v>
      </c>
      <c r="E1259" t="s">
        <v>27</v>
      </c>
      <c r="F1259">
        <v>311.91000000000003</v>
      </c>
      <c r="G1259">
        <v>45.3</v>
      </c>
      <c r="H1259">
        <v>96.58</v>
      </c>
      <c r="I1259">
        <v>96.7</v>
      </c>
      <c r="J1259">
        <v>81.14</v>
      </c>
      <c r="K1259" t="s">
        <v>34</v>
      </c>
      <c r="L1259">
        <v>8.1</v>
      </c>
      <c r="M1259">
        <v>4.5</v>
      </c>
      <c r="N1259" t="s">
        <v>39</v>
      </c>
      <c r="O1259">
        <v>13</v>
      </c>
      <c r="P1259" t="s">
        <v>30</v>
      </c>
      <c r="Q1259">
        <v>60.5</v>
      </c>
    </row>
    <row r="1260" spans="1:17" x14ac:dyDescent="0.35">
      <c r="A1260" s="1">
        <v>45822</v>
      </c>
      <c r="B1260" t="s">
        <v>86</v>
      </c>
      <c r="C1260" t="s">
        <v>25</v>
      </c>
      <c r="D1260" t="s">
        <v>87</v>
      </c>
      <c r="E1260" t="s">
        <v>27</v>
      </c>
      <c r="F1260">
        <v>661.47</v>
      </c>
      <c r="G1260">
        <v>67.2</v>
      </c>
      <c r="H1260">
        <v>92.99</v>
      </c>
      <c r="I1260">
        <v>97.08</v>
      </c>
      <c r="J1260">
        <v>84.88</v>
      </c>
      <c r="K1260" t="s">
        <v>28</v>
      </c>
      <c r="L1260">
        <v>8.1999999999999993</v>
      </c>
      <c r="M1260">
        <v>2.2999999999999998</v>
      </c>
      <c r="N1260" t="s">
        <v>29</v>
      </c>
      <c r="O1260">
        <v>15</v>
      </c>
      <c r="P1260" t="s">
        <v>30</v>
      </c>
      <c r="Q1260">
        <v>62.6</v>
      </c>
    </row>
    <row r="1261" spans="1:17" x14ac:dyDescent="0.35">
      <c r="A1261" s="1">
        <v>45822</v>
      </c>
      <c r="B1261" t="s">
        <v>93</v>
      </c>
      <c r="C1261" t="s">
        <v>37</v>
      </c>
      <c r="D1261" t="s">
        <v>94</v>
      </c>
      <c r="E1261" t="s">
        <v>33</v>
      </c>
      <c r="F1261">
        <v>332.86</v>
      </c>
      <c r="G1261">
        <v>106.5</v>
      </c>
      <c r="H1261">
        <v>95.27</v>
      </c>
      <c r="I1261">
        <v>96.15</v>
      </c>
      <c r="J1261">
        <v>76.52</v>
      </c>
      <c r="K1261" t="s">
        <v>28</v>
      </c>
      <c r="L1261">
        <v>7.5</v>
      </c>
      <c r="M1261">
        <v>4.3</v>
      </c>
      <c r="N1261" t="s">
        <v>35</v>
      </c>
      <c r="O1261">
        <v>6</v>
      </c>
      <c r="P1261" t="s">
        <v>23</v>
      </c>
      <c r="Q1261">
        <v>59.7</v>
      </c>
    </row>
    <row r="1262" spans="1:17" x14ac:dyDescent="0.35">
      <c r="A1262" s="1">
        <v>45822</v>
      </c>
      <c r="B1262" t="s">
        <v>48</v>
      </c>
      <c r="C1262" t="s">
        <v>49</v>
      </c>
      <c r="D1262" t="s">
        <v>50</v>
      </c>
      <c r="E1262" t="s">
        <v>33</v>
      </c>
      <c r="F1262">
        <v>293.69</v>
      </c>
      <c r="G1262">
        <v>166.1</v>
      </c>
      <c r="H1262">
        <v>94.55</v>
      </c>
      <c r="I1262">
        <v>94.69</v>
      </c>
      <c r="J1262">
        <v>72.08</v>
      </c>
      <c r="K1262" t="s">
        <v>34</v>
      </c>
      <c r="L1262">
        <v>7.1</v>
      </c>
      <c r="M1262">
        <v>4.4000000000000004</v>
      </c>
      <c r="N1262" t="s">
        <v>35</v>
      </c>
      <c r="O1262">
        <v>9</v>
      </c>
      <c r="P1262" t="s">
        <v>43</v>
      </c>
      <c r="Q1262">
        <v>59.1</v>
      </c>
    </row>
    <row r="1263" spans="1:17" x14ac:dyDescent="0.35">
      <c r="A1263" s="1">
        <v>45822</v>
      </c>
      <c r="B1263" t="s">
        <v>59</v>
      </c>
      <c r="C1263" t="s">
        <v>60</v>
      </c>
      <c r="D1263" t="s">
        <v>61</v>
      </c>
      <c r="E1263" t="s">
        <v>62</v>
      </c>
      <c r="F1263">
        <v>408.51</v>
      </c>
      <c r="G1263">
        <v>181.5</v>
      </c>
      <c r="H1263">
        <v>91.14</v>
      </c>
      <c r="I1263">
        <v>96.3</v>
      </c>
      <c r="J1263">
        <v>91.23</v>
      </c>
      <c r="K1263" t="s">
        <v>34</v>
      </c>
      <c r="L1263">
        <v>9</v>
      </c>
      <c r="N1263" t="s">
        <v>35</v>
      </c>
      <c r="O1263">
        <v>5</v>
      </c>
      <c r="P1263" t="s">
        <v>43</v>
      </c>
      <c r="Q1263">
        <v>77.7</v>
      </c>
    </row>
    <row r="1264" spans="1:17" x14ac:dyDescent="0.35">
      <c r="A1264" s="1">
        <v>45822</v>
      </c>
      <c r="B1264" t="s">
        <v>64</v>
      </c>
      <c r="C1264" t="s">
        <v>25</v>
      </c>
      <c r="D1264" t="s">
        <v>65</v>
      </c>
      <c r="E1264" t="s">
        <v>27</v>
      </c>
      <c r="F1264">
        <v>776.89</v>
      </c>
      <c r="G1264">
        <v>29.6</v>
      </c>
      <c r="H1264">
        <v>96.91</v>
      </c>
      <c r="I1264">
        <v>97.22</v>
      </c>
      <c r="J1264">
        <v>76.22</v>
      </c>
      <c r="K1264" t="s">
        <v>34</v>
      </c>
      <c r="L1264">
        <v>8.1</v>
      </c>
      <c r="M1264">
        <v>1.7</v>
      </c>
      <c r="N1264" t="s">
        <v>29</v>
      </c>
      <c r="O1264">
        <v>12</v>
      </c>
      <c r="P1264" t="s">
        <v>30</v>
      </c>
      <c r="Q1264">
        <v>61.3</v>
      </c>
    </row>
    <row r="1265" spans="1:17" x14ac:dyDescent="0.35">
      <c r="A1265" s="1">
        <v>45822</v>
      </c>
      <c r="B1265" t="s">
        <v>69</v>
      </c>
      <c r="C1265" t="s">
        <v>18</v>
      </c>
      <c r="D1265" t="s">
        <v>70</v>
      </c>
      <c r="E1265" t="s">
        <v>20</v>
      </c>
      <c r="F1265">
        <v>121.04</v>
      </c>
      <c r="G1265">
        <v>149.4</v>
      </c>
      <c r="H1265">
        <v>94.69</v>
      </c>
      <c r="I1265">
        <v>96.33</v>
      </c>
      <c r="J1265">
        <v>74.489999999999995</v>
      </c>
      <c r="K1265" t="s">
        <v>58</v>
      </c>
      <c r="L1265">
        <v>7.5</v>
      </c>
      <c r="N1265" t="s">
        <v>22</v>
      </c>
      <c r="O1265">
        <v>5</v>
      </c>
      <c r="P1265" t="s">
        <v>23</v>
      </c>
      <c r="Q1265">
        <v>71.7</v>
      </c>
    </row>
    <row r="1266" spans="1:17" x14ac:dyDescent="0.35">
      <c r="A1266" s="1">
        <v>45822</v>
      </c>
      <c r="B1266" t="s">
        <v>55</v>
      </c>
      <c r="C1266" t="s">
        <v>56</v>
      </c>
      <c r="D1266">
        <v>4</v>
      </c>
      <c r="E1266" t="s">
        <v>57</v>
      </c>
      <c r="F1266">
        <v>30</v>
      </c>
      <c r="G1266">
        <v>124</v>
      </c>
      <c r="H1266">
        <v>88</v>
      </c>
      <c r="I1266">
        <v>96.47</v>
      </c>
      <c r="J1266">
        <v>71.819999999999993</v>
      </c>
      <c r="K1266" t="s">
        <v>63</v>
      </c>
      <c r="L1266">
        <v>6.8</v>
      </c>
      <c r="N1266" t="s">
        <v>35</v>
      </c>
      <c r="O1266">
        <v>3</v>
      </c>
      <c r="P1266" t="s">
        <v>23</v>
      </c>
      <c r="Q1266">
        <v>67.8</v>
      </c>
    </row>
    <row r="1267" spans="1:17" x14ac:dyDescent="0.35">
      <c r="A1267" s="1">
        <v>45822</v>
      </c>
      <c r="B1267" t="s">
        <v>59</v>
      </c>
      <c r="C1267" t="s">
        <v>60</v>
      </c>
      <c r="D1267" t="s">
        <v>61</v>
      </c>
      <c r="E1267" t="s">
        <v>62</v>
      </c>
      <c r="F1267">
        <v>432.5</v>
      </c>
      <c r="G1267">
        <v>175.4</v>
      </c>
      <c r="H1267">
        <v>90.66</v>
      </c>
      <c r="I1267">
        <v>94.88</v>
      </c>
      <c r="J1267">
        <v>90.85</v>
      </c>
      <c r="K1267" t="s">
        <v>34</v>
      </c>
      <c r="L1267">
        <v>9</v>
      </c>
      <c r="N1267" t="s">
        <v>35</v>
      </c>
      <c r="O1267">
        <v>6</v>
      </c>
      <c r="P1267" t="s">
        <v>23</v>
      </c>
      <c r="Q1267">
        <v>77.3</v>
      </c>
    </row>
    <row r="1268" spans="1:17" x14ac:dyDescent="0.35">
      <c r="A1268" s="1">
        <v>45822</v>
      </c>
      <c r="B1268" t="s">
        <v>74</v>
      </c>
      <c r="C1268" t="s">
        <v>67</v>
      </c>
      <c r="D1268" t="s">
        <v>75</v>
      </c>
      <c r="E1268" t="s">
        <v>27</v>
      </c>
      <c r="F1268">
        <v>377.84</v>
      </c>
      <c r="G1268">
        <v>46.6</v>
      </c>
      <c r="H1268">
        <v>95.72</v>
      </c>
      <c r="I1268">
        <v>95.63</v>
      </c>
      <c r="J1268">
        <v>81.96</v>
      </c>
      <c r="K1268" t="s">
        <v>47</v>
      </c>
      <c r="L1268">
        <v>8.3000000000000007</v>
      </c>
      <c r="M1268">
        <v>2.4</v>
      </c>
      <c r="N1268" t="s">
        <v>29</v>
      </c>
      <c r="O1268">
        <v>15</v>
      </c>
      <c r="P1268" t="s">
        <v>23</v>
      </c>
      <c r="Q1268">
        <v>62</v>
      </c>
    </row>
    <row r="1269" spans="1:17" x14ac:dyDescent="0.35">
      <c r="A1269" s="1">
        <v>45822</v>
      </c>
      <c r="B1269" t="s">
        <v>17</v>
      </c>
      <c r="C1269" t="s">
        <v>18</v>
      </c>
      <c r="D1269" t="s">
        <v>19</v>
      </c>
      <c r="E1269" t="s">
        <v>20</v>
      </c>
      <c r="F1269">
        <v>309.29000000000002</v>
      </c>
      <c r="G1269">
        <v>94.1</v>
      </c>
      <c r="H1269">
        <v>92.25</v>
      </c>
      <c r="I1269">
        <v>96.4</v>
      </c>
      <c r="J1269">
        <v>70.97</v>
      </c>
      <c r="K1269" t="s">
        <v>58</v>
      </c>
      <c r="L1269">
        <v>7.3</v>
      </c>
      <c r="N1269" t="s">
        <v>35</v>
      </c>
      <c r="O1269">
        <v>7</v>
      </c>
      <c r="P1269" t="s">
        <v>23</v>
      </c>
      <c r="Q1269">
        <v>68.8</v>
      </c>
    </row>
    <row r="1270" spans="1:17" x14ac:dyDescent="0.35">
      <c r="A1270" s="1">
        <v>45822</v>
      </c>
      <c r="B1270" t="s">
        <v>59</v>
      </c>
      <c r="C1270" t="s">
        <v>60</v>
      </c>
      <c r="D1270" t="s">
        <v>61</v>
      </c>
      <c r="E1270" t="s">
        <v>62</v>
      </c>
      <c r="F1270">
        <v>351.35</v>
      </c>
      <c r="G1270">
        <v>186.6</v>
      </c>
      <c r="H1270">
        <v>89.03</v>
      </c>
      <c r="I1270">
        <v>93.63</v>
      </c>
      <c r="J1270">
        <v>90.5</v>
      </c>
      <c r="K1270" t="s">
        <v>63</v>
      </c>
      <c r="L1270">
        <v>7.2</v>
      </c>
      <c r="N1270" t="s">
        <v>35</v>
      </c>
      <c r="O1270">
        <v>6</v>
      </c>
      <c r="P1270" t="s">
        <v>23</v>
      </c>
      <c r="Q1270">
        <v>73</v>
      </c>
    </row>
    <row r="1271" spans="1:17" x14ac:dyDescent="0.35">
      <c r="A1271" s="1">
        <v>45822</v>
      </c>
      <c r="B1271" t="s">
        <v>93</v>
      </c>
      <c r="C1271" t="s">
        <v>37</v>
      </c>
      <c r="D1271" t="s">
        <v>94</v>
      </c>
      <c r="E1271" t="s">
        <v>27</v>
      </c>
      <c r="F1271">
        <v>364.91</v>
      </c>
      <c r="G1271">
        <v>46.1</v>
      </c>
      <c r="H1271">
        <v>96.36</v>
      </c>
      <c r="I1271">
        <v>96.24</v>
      </c>
      <c r="J1271">
        <v>78.099999999999994</v>
      </c>
      <c r="K1271" t="s">
        <v>28</v>
      </c>
      <c r="L1271">
        <v>8.5</v>
      </c>
      <c r="M1271">
        <v>2.1</v>
      </c>
      <c r="N1271" t="s">
        <v>39</v>
      </c>
      <c r="O1271">
        <v>11</v>
      </c>
      <c r="P1271" t="s">
        <v>23</v>
      </c>
      <c r="Q1271">
        <v>62.1</v>
      </c>
    </row>
    <row r="1272" spans="1:17" x14ac:dyDescent="0.35">
      <c r="A1272" s="1">
        <v>45822</v>
      </c>
      <c r="B1272" t="s">
        <v>59</v>
      </c>
      <c r="C1272" t="s">
        <v>60</v>
      </c>
      <c r="D1272" t="s">
        <v>61</v>
      </c>
      <c r="E1272" t="s">
        <v>62</v>
      </c>
      <c r="F1272">
        <v>363.94</v>
      </c>
      <c r="G1272">
        <v>176.6</v>
      </c>
      <c r="H1272">
        <v>88.9</v>
      </c>
      <c r="I1272">
        <v>96.24</v>
      </c>
      <c r="J1272">
        <v>87.41</v>
      </c>
      <c r="K1272" t="s">
        <v>34</v>
      </c>
      <c r="L1272">
        <v>7.2</v>
      </c>
      <c r="N1272" t="s">
        <v>35</v>
      </c>
      <c r="O1272">
        <v>4</v>
      </c>
      <c r="P1272" t="s">
        <v>43</v>
      </c>
      <c r="Q1272">
        <v>72.900000000000006</v>
      </c>
    </row>
    <row r="1273" spans="1:17" x14ac:dyDescent="0.35">
      <c r="A1273" s="1">
        <v>45822</v>
      </c>
      <c r="B1273" t="s">
        <v>84</v>
      </c>
      <c r="C1273" t="s">
        <v>18</v>
      </c>
      <c r="D1273" t="s">
        <v>85</v>
      </c>
      <c r="E1273" t="s">
        <v>33</v>
      </c>
      <c r="F1273">
        <v>116.18</v>
      </c>
      <c r="G1273">
        <v>98.1</v>
      </c>
      <c r="H1273">
        <v>92.48</v>
      </c>
      <c r="I1273">
        <v>95.35</v>
      </c>
      <c r="J1273">
        <v>71.180000000000007</v>
      </c>
      <c r="K1273" t="s">
        <v>47</v>
      </c>
      <c r="L1273">
        <v>8</v>
      </c>
      <c r="M1273">
        <v>1.9</v>
      </c>
      <c r="N1273" t="s">
        <v>22</v>
      </c>
      <c r="O1273">
        <v>7</v>
      </c>
      <c r="P1273" t="s">
        <v>23</v>
      </c>
      <c r="Q1273">
        <v>60.5</v>
      </c>
    </row>
    <row r="1274" spans="1:17" x14ac:dyDescent="0.35">
      <c r="A1274" s="1">
        <v>45822</v>
      </c>
      <c r="B1274" t="s">
        <v>95</v>
      </c>
      <c r="C1274" t="s">
        <v>49</v>
      </c>
      <c r="D1274" t="s">
        <v>96</v>
      </c>
      <c r="E1274" t="s">
        <v>27</v>
      </c>
      <c r="F1274">
        <v>276.31</v>
      </c>
      <c r="G1274">
        <v>67.400000000000006</v>
      </c>
      <c r="H1274">
        <v>95.04</v>
      </c>
      <c r="I1274">
        <v>93.14</v>
      </c>
      <c r="J1274">
        <v>82.4</v>
      </c>
      <c r="K1274" t="s">
        <v>34</v>
      </c>
      <c r="L1274">
        <v>8.1999999999999993</v>
      </c>
      <c r="M1274">
        <v>1.5</v>
      </c>
      <c r="N1274" t="s">
        <v>29</v>
      </c>
      <c r="O1274">
        <v>11</v>
      </c>
      <c r="P1274" t="s">
        <v>43</v>
      </c>
      <c r="Q1274">
        <v>62.4</v>
      </c>
    </row>
    <row r="1275" spans="1:17" x14ac:dyDescent="0.35">
      <c r="A1275" s="1">
        <v>45822</v>
      </c>
      <c r="B1275" t="s">
        <v>55</v>
      </c>
      <c r="C1275" t="s">
        <v>56</v>
      </c>
      <c r="D1275">
        <v>4</v>
      </c>
      <c r="E1275" t="s">
        <v>57</v>
      </c>
      <c r="F1275">
        <v>30</v>
      </c>
      <c r="G1275">
        <v>143.4</v>
      </c>
      <c r="H1275">
        <v>91.92</v>
      </c>
      <c r="I1275">
        <v>93.59</v>
      </c>
      <c r="J1275">
        <v>78.84</v>
      </c>
      <c r="K1275" t="s">
        <v>58</v>
      </c>
      <c r="L1275">
        <v>7</v>
      </c>
      <c r="N1275" t="s">
        <v>35</v>
      </c>
      <c r="O1275">
        <v>5</v>
      </c>
      <c r="P1275" t="s">
        <v>23</v>
      </c>
      <c r="Q1275">
        <v>70.3</v>
      </c>
    </row>
    <row r="1276" spans="1:17" x14ac:dyDescent="0.35">
      <c r="A1276" s="1">
        <v>45822</v>
      </c>
      <c r="B1276" t="s">
        <v>36</v>
      </c>
      <c r="C1276" t="s">
        <v>37</v>
      </c>
      <c r="D1276" t="s">
        <v>38</v>
      </c>
      <c r="E1276" t="s">
        <v>33</v>
      </c>
      <c r="F1276">
        <v>278.02</v>
      </c>
      <c r="G1276">
        <v>124.3</v>
      </c>
      <c r="H1276">
        <v>97.89</v>
      </c>
      <c r="I1276">
        <v>95.15</v>
      </c>
      <c r="J1276">
        <v>71.05</v>
      </c>
      <c r="K1276" t="s">
        <v>47</v>
      </c>
      <c r="L1276">
        <v>7.5</v>
      </c>
      <c r="M1276">
        <v>2.6</v>
      </c>
      <c r="N1276" t="s">
        <v>35</v>
      </c>
      <c r="O1276">
        <v>5</v>
      </c>
      <c r="P1276" t="s">
        <v>23</v>
      </c>
      <c r="Q1276">
        <v>60.6</v>
      </c>
    </row>
    <row r="1277" spans="1:17" x14ac:dyDescent="0.35">
      <c r="A1277" s="1">
        <v>45822</v>
      </c>
      <c r="B1277" t="s">
        <v>76</v>
      </c>
      <c r="C1277" t="s">
        <v>45</v>
      </c>
      <c r="D1277" t="s">
        <v>77</v>
      </c>
      <c r="E1277" t="s">
        <v>33</v>
      </c>
      <c r="F1277">
        <v>327.22000000000003</v>
      </c>
      <c r="G1277">
        <v>449.7</v>
      </c>
      <c r="H1277">
        <v>95.06</v>
      </c>
      <c r="I1277">
        <v>98.51</v>
      </c>
      <c r="J1277">
        <v>75.349999999999994</v>
      </c>
      <c r="K1277" t="s">
        <v>34</v>
      </c>
      <c r="L1277">
        <v>8</v>
      </c>
      <c r="M1277">
        <v>4.4000000000000004</v>
      </c>
      <c r="N1277" t="s">
        <v>35</v>
      </c>
      <c r="O1277">
        <v>8</v>
      </c>
      <c r="P1277" t="s">
        <v>23</v>
      </c>
      <c r="Q1277">
        <v>61.9</v>
      </c>
    </row>
    <row r="1278" spans="1:17" x14ac:dyDescent="0.35">
      <c r="A1278" s="1">
        <v>45822</v>
      </c>
      <c r="B1278" t="s">
        <v>91</v>
      </c>
      <c r="C1278" t="s">
        <v>67</v>
      </c>
      <c r="D1278" t="s">
        <v>92</v>
      </c>
      <c r="E1278" t="s">
        <v>27</v>
      </c>
      <c r="F1278">
        <v>399.58</v>
      </c>
      <c r="G1278">
        <v>32.5</v>
      </c>
      <c r="H1278">
        <v>96.47</v>
      </c>
      <c r="I1278">
        <v>95.92</v>
      </c>
      <c r="J1278">
        <v>80.83</v>
      </c>
      <c r="K1278" t="s">
        <v>34</v>
      </c>
      <c r="L1278">
        <v>7.4</v>
      </c>
      <c r="M1278">
        <v>4.0999999999999996</v>
      </c>
      <c r="N1278" t="s">
        <v>39</v>
      </c>
      <c r="O1278">
        <v>15</v>
      </c>
      <c r="P1278" t="s">
        <v>43</v>
      </c>
      <c r="Q1278">
        <v>59.1</v>
      </c>
    </row>
    <row r="1279" spans="1:17" x14ac:dyDescent="0.35">
      <c r="A1279" s="1">
        <v>45822</v>
      </c>
      <c r="B1279" t="s">
        <v>53</v>
      </c>
      <c r="C1279" t="s">
        <v>41</v>
      </c>
      <c r="D1279" t="s">
        <v>54</v>
      </c>
      <c r="E1279" t="s">
        <v>27</v>
      </c>
      <c r="F1279">
        <v>519.02</v>
      </c>
      <c r="G1279">
        <v>67.8</v>
      </c>
      <c r="H1279">
        <v>92.84</v>
      </c>
      <c r="I1279">
        <v>96.97</v>
      </c>
      <c r="J1279">
        <v>75.459999999999994</v>
      </c>
      <c r="K1279" t="s">
        <v>47</v>
      </c>
      <c r="L1279">
        <v>9.4</v>
      </c>
      <c r="M1279">
        <v>2</v>
      </c>
      <c r="N1279" t="s">
        <v>29</v>
      </c>
      <c r="O1279">
        <v>10</v>
      </c>
      <c r="P1279" t="s">
        <v>43</v>
      </c>
      <c r="Q1279">
        <v>63.2</v>
      </c>
    </row>
    <row r="1280" spans="1:17" x14ac:dyDescent="0.35">
      <c r="A1280" s="1">
        <v>45822</v>
      </c>
      <c r="B1280" t="s">
        <v>48</v>
      </c>
      <c r="C1280" t="s">
        <v>49</v>
      </c>
      <c r="D1280" t="s">
        <v>50</v>
      </c>
      <c r="E1280" t="s">
        <v>33</v>
      </c>
      <c r="F1280">
        <v>467.2</v>
      </c>
      <c r="G1280">
        <v>235</v>
      </c>
      <c r="H1280">
        <v>97.68</v>
      </c>
      <c r="I1280">
        <v>95.27</v>
      </c>
      <c r="J1280">
        <v>78.86</v>
      </c>
      <c r="K1280" t="s">
        <v>47</v>
      </c>
      <c r="L1280">
        <v>9.3000000000000007</v>
      </c>
      <c r="M1280">
        <v>1.7</v>
      </c>
      <c r="N1280" t="s">
        <v>35</v>
      </c>
      <c r="O1280">
        <v>7</v>
      </c>
      <c r="P1280" t="s">
        <v>23</v>
      </c>
      <c r="Q1280">
        <v>66.3</v>
      </c>
    </row>
    <row r="1281" spans="1:17" x14ac:dyDescent="0.35">
      <c r="A1281" s="1">
        <v>45822</v>
      </c>
      <c r="B1281" t="s">
        <v>59</v>
      </c>
      <c r="C1281" t="s">
        <v>60</v>
      </c>
      <c r="D1281" t="s">
        <v>61</v>
      </c>
      <c r="E1281" t="s">
        <v>62</v>
      </c>
      <c r="F1281">
        <v>392.24</v>
      </c>
      <c r="G1281">
        <v>184.9</v>
      </c>
      <c r="H1281">
        <v>89.21</v>
      </c>
      <c r="I1281">
        <v>95.8</v>
      </c>
      <c r="J1281">
        <v>87.64</v>
      </c>
      <c r="K1281" t="s">
        <v>34</v>
      </c>
      <c r="L1281">
        <v>7.3</v>
      </c>
      <c r="N1281" t="s">
        <v>35</v>
      </c>
      <c r="O1281">
        <v>5</v>
      </c>
      <c r="P1281" t="s">
        <v>23</v>
      </c>
      <c r="Q1281">
        <v>73.099999999999994</v>
      </c>
    </row>
    <row r="1282" spans="1:17" x14ac:dyDescent="0.35">
      <c r="A1282" s="1">
        <v>45822</v>
      </c>
      <c r="B1282" t="s">
        <v>89</v>
      </c>
      <c r="C1282" t="s">
        <v>67</v>
      </c>
      <c r="D1282" t="s">
        <v>90</v>
      </c>
      <c r="E1282" t="s">
        <v>27</v>
      </c>
      <c r="F1282">
        <v>158.53</v>
      </c>
      <c r="G1282">
        <v>61.9</v>
      </c>
      <c r="H1282">
        <v>95.6</v>
      </c>
      <c r="I1282">
        <v>95.31</v>
      </c>
      <c r="J1282">
        <v>79.77</v>
      </c>
      <c r="K1282" t="s">
        <v>34</v>
      </c>
      <c r="L1282">
        <v>7</v>
      </c>
      <c r="M1282">
        <v>4.2</v>
      </c>
      <c r="N1282" t="s">
        <v>29</v>
      </c>
      <c r="O1282">
        <v>12</v>
      </c>
      <c r="P1282" t="s">
        <v>43</v>
      </c>
      <c r="Q1282">
        <v>58.5</v>
      </c>
    </row>
    <row r="1283" spans="1:17" x14ac:dyDescent="0.35">
      <c r="A1283" s="1">
        <v>45822</v>
      </c>
      <c r="B1283" t="s">
        <v>53</v>
      </c>
      <c r="C1283" t="s">
        <v>41</v>
      </c>
      <c r="D1283" t="s">
        <v>54</v>
      </c>
      <c r="E1283" t="s">
        <v>27</v>
      </c>
      <c r="F1283">
        <v>475.72</v>
      </c>
      <c r="G1283">
        <v>37.9</v>
      </c>
      <c r="H1283">
        <v>93.07</v>
      </c>
      <c r="I1283">
        <v>97.33</v>
      </c>
      <c r="J1283">
        <v>76.87</v>
      </c>
      <c r="K1283" t="s">
        <v>47</v>
      </c>
      <c r="L1283">
        <v>8.5</v>
      </c>
      <c r="M1283">
        <v>2.1</v>
      </c>
      <c r="N1283" t="s">
        <v>29</v>
      </c>
      <c r="O1283">
        <v>8</v>
      </c>
      <c r="P1283" t="s">
        <v>43</v>
      </c>
      <c r="Q1283">
        <v>61.4</v>
      </c>
    </row>
    <row r="1284" spans="1:17" x14ac:dyDescent="0.35">
      <c r="A1284" s="1">
        <v>45822</v>
      </c>
      <c r="B1284" t="s">
        <v>82</v>
      </c>
      <c r="C1284" t="s">
        <v>72</v>
      </c>
      <c r="D1284" t="s">
        <v>83</v>
      </c>
      <c r="E1284" t="s">
        <v>20</v>
      </c>
      <c r="F1284">
        <v>166.22</v>
      </c>
      <c r="G1284">
        <v>157.19999999999999</v>
      </c>
      <c r="H1284">
        <v>91.27</v>
      </c>
      <c r="I1284">
        <v>93.18</v>
      </c>
      <c r="J1284">
        <v>70.489999999999995</v>
      </c>
      <c r="K1284" t="s">
        <v>21</v>
      </c>
      <c r="L1284">
        <v>6.5</v>
      </c>
      <c r="N1284" t="s">
        <v>35</v>
      </c>
      <c r="O1284">
        <v>7</v>
      </c>
      <c r="P1284" t="s">
        <v>23</v>
      </c>
      <c r="Q1284">
        <v>67.7</v>
      </c>
    </row>
    <row r="1285" spans="1:17" x14ac:dyDescent="0.35">
      <c r="A1285" s="1">
        <v>45822</v>
      </c>
      <c r="B1285" t="s">
        <v>71</v>
      </c>
      <c r="C1285" t="s">
        <v>72</v>
      </c>
      <c r="D1285" t="s">
        <v>73</v>
      </c>
      <c r="E1285" t="s">
        <v>33</v>
      </c>
      <c r="F1285">
        <v>160.5</v>
      </c>
      <c r="G1285">
        <v>80</v>
      </c>
      <c r="H1285">
        <v>94.75</v>
      </c>
      <c r="I1285">
        <v>96.96</v>
      </c>
      <c r="J1285">
        <v>72.63</v>
      </c>
      <c r="K1285" t="s">
        <v>47</v>
      </c>
      <c r="L1285">
        <v>6.4</v>
      </c>
      <c r="M1285">
        <v>4.2</v>
      </c>
      <c r="N1285" t="s">
        <v>35</v>
      </c>
      <c r="O1285">
        <v>7</v>
      </c>
      <c r="P1285" t="s">
        <v>23</v>
      </c>
      <c r="Q1285">
        <v>56.8</v>
      </c>
    </row>
    <row r="1286" spans="1:17" x14ac:dyDescent="0.35">
      <c r="A1286" s="1">
        <v>45822</v>
      </c>
      <c r="B1286" t="s">
        <v>55</v>
      </c>
      <c r="C1286" t="s">
        <v>56</v>
      </c>
      <c r="D1286">
        <v>4</v>
      </c>
      <c r="E1286" t="s">
        <v>57</v>
      </c>
      <c r="F1286">
        <v>30</v>
      </c>
      <c r="G1286">
        <v>149.19999999999999</v>
      </c>
      <c r="H1286">
        <v>88.94</v>
      </c>
      <c r="I1286">
        <v>93.86</v>
      </c>
      <c r="J1286">
        <v>77.66</v>
      </c>
      <c r="K1286" t="s">
        <v>21</v>
      </c>
      <c r="L1286">
        <v>6.5</v>
      </c>
      <c r="N1286" t="s">
        <v>35</v>
      </c>
      <c r="O1286">
        <v>5</v>
      </c>
      <c r="P1286" t="s">
        <v>23</v>
      </c>
      <c r="Q1286">
        <v>68.599999999999994</v>
      </c>
    </row>
    <row r="1287" spans="1:17" x14ac:dyDescent="0.35">
      <c r="A1287" s="1">
        <v>45822</v>
      </c>
      <c r="B1287" t="s">
        <v>59</v>
      </c>
      <c r="C1287" t="s">
        <v>60</v>
      </c>
      <c r="D1287" t="s">
        <v>61</v>
      </c>
      <c r="E1287" t="s">
        <v>62</v>
      </c>
      <c r="F1287">
        <v>345.14</v>
      </c>
      <c r="G1287">
        <v>177.6</v>
      </c>
      <c r="H1287">
        <v>86.59</v>
      </c>
      <c r="I1287">
        <v>96.94</v>
      </c>
      <c r="J1287">
        <v>89.43</v>
      </c>
      <c r="K1287" t="s">
        <v>34</v>
      </c>
      <c r="L1287">
        <v>7.7</v>
      </c>
      <c r="N1287" t="s">
        <v>35</v>
      </c>
      <c r="O1287">
        <v>3</v>
      </c>
      <c r="P1287" t="s">
        <v>23</v>
      </c>
      <c r="Q1287">
        <v>74</v>
      </c>
    </row>
    <row r="1288" spans="1:17" x14ac:dyDescent="0.35">
      <c r="A1288" s="1">
        <v>45822</v>
      </c>
      <c r="B1288" t="s">
        <v>51</v>
      </c>
      <c r="C1288" t="s">
        <v>45</v>
      </c>
      <c r="D1288" t="s">
        <v>52</v>
      </c>
      <c r="E1288" t="s">
        <v>33</v>
      </c>
      <c r="F1288">
        <v>962.37</v>
      </c>
      <c r="G1288">
        <v>560.79999999999995</v>
      </c>
      <c r="H1288">
        <v>92.58</v>
      </c>
      <c r="I1288">
        <v>98.74</v>
      </c>
      <c r="J1288">
        <v>78.31</v>
      </c>
      <c r="K1288" t="s">
        <v>88</v>
      </c>
      <c r="L1288">
        <v>8.1999999999999993</v>
      </c>
      <c r="M1288">
        <v>3.3</v>
      </c>
      <c r="N1288" t="s">
        <v>22</v>
      </c>
      <c r="O1288">
        <v>6</v>
      </c>
      <c r="P1288" t="s">
        <v>23</v>
      </c>
      <c r="Q1288">
        <v>63.1</v>
      </c>
    </row>
    <row r="1289" spans="1:17" x14ac:dyDescent="0.35">
      <c r="A1289" s="1">
        <v>45822</v>
      </c>
      <c r="B1289" t="s">
        <v>76</v>
      </c>
      <c r="C1289" t="s">
        <v>45</v>
      </c>
      <c r="D1289" t="s">
        <v>77</v>
      </c>
      <c r="E1289" t="s">
        <v>27</v>
      </c>
      <c r="F1289">
        <v>333.44</v>
      </c>
      <c r="G1289">
        <v>247.9</v>
      </c>
      <c r="H1289">
        <v>94.83</v>
      </c>
      <c r="I1289">
        <v>98.41</v>
      </c>
      <c r="J1289">
        <v>76.98</v>
      </c>
      <c r="K1289" t="s">
        <v>34</v>
      </c>
      <c r="L1289">
        <v>7.6</v>
      </c>
      <c r="M1289">
        <v>2.6</v>
      </c>
      <c r="N1289" t="s">
        <v>39</v>
      </c>
      <c r="O1289">
        <v>12</v>
      </c>
      <c r="P1289" t="s">
        <v>23</v>
      </c>
      <c r="Q1289">
        <v>62.6</v>
      </c>
    </row>
    <row r="1290" spans="1:17" x14ac:dyDescent="0.35">
      <c r="A1290" s="1">
        <v>45822</v>
      </c>
      <c r="B1290" t="s">
        <v>24</v>
      </c>
      <c r="C1290" t="s">
        <v>25</v>
      </c>
      <c r="D1290" t="s">
        <v>26</v>
      </c>
      <c r="E1290" t="s">
        <v>27</v>
      </c>
      <c r="F1290">
        <v>718.96</v>
      </c>
      <c r="G1290">
        <v>44.7</v>
      </c>
      <c r="H1290">
        <v>97.5</v>
      </c>
      <c r="I1290">
        <v>97.74</v>
      </c>
      <c r="J1290">
        <v>78.069999999999993</v>
      </c>
      <c r="K1290" t="s">
        <v>34</v>
      </c>
      <c r="L1290">
        <v>8.5</v>
      </c>
      <c r="M1290">
        <v>2.2000000000000002</v>
      </c>
      <c r="N1290" t="s">
        <v>39</v>
      </c>
      <c r="O1290">
        <v>11</v>
      </c>
      <c r="P1290" t="s">
        <v>30</v>
      </c>
      <c r="Q1290">
        <v>62.5</v>
      </c>
    </row>
    <row r="1291" spans="1:17" x14ac:dyDescent="0.35">
      <c r="A1291" s="1">
        <v>45822</v>
      </c>
      <c r="B1291" t="s">
        <v>74</v>
      </c>
      <c r="C1291" t="s">
        <v>67</v>
      </c>
      <c r="D1291" t="s">
        <v>75</v>
      </c>
      <c r="E1291" t="s">
        <v>27</v>
      </c>
      <c r="F1291">
        <v>786.1</v>
      </c>
      <c r="G1291">
        <v>51.9</v>
      </c>
      <c r="H1291">
        <v>94.94</v>
      </c>
      <c r="I1291">
        <v>93.43</v>
      </c>
      <c r="J1291">
        <v>79.37</v>
      </c>
      <c r="K1291" t="s">
        <v>34</v>
      </c>
      <c r="L1291">
        <v>8.1999999999999993</v>
      </c>
      <c r="M1291">
        <v>2.1</v>
      </c>
      <c r="N1291" t="s">
        <v>29</v>
      </c>
      <c r="O1291">
        <v>8</v>
      </c>
      <c r="P1291" t="s">
        <v>43</v>
      </c>
      <c r="Q1291">
        <v>61.3</v>
      </c>
    </row>
    <row r="1292" spans="1:17" x14ac:dyDescent="0.35">
      <c r="A1292" s="1">
        <v>45822</v>
      </c>
      <c r="B1292" t="s">
        <v>66</v>
      </c>
      <c r="C1292" t="s">
        <v>67</v>
      </c>
      <c r="D1292" t="s">
        <v>68</v>
      </c>
      <c r="E1292" t="s">
        <v>27</v>
      </c>
      <c r="F1292">
        <v>458.09</v>
      </c>
      <c r="G1292">
        <v>69.8</v>
      </c>
      <c r="H1292">
        <v>95.18</v>
      </c>
      <c r="I1292">
        <v>96.67</v>
      </c>
      <c r="J1292">
        <v>75.22</v>
      </c>
      <c r="K1292" t="s">
        <v>47</v>
      </c>
      <c r="L1292">
        <v>9.1</v>
      </c>
      <c r="M1292">
        <v>2.8</v>
      </c>
      <c r="N1292" t="s">
        <v>39</v>
      </c>
      <c r="O1292">
        <v>10</v>
      </c>
      <c r="P1292" t="s">
        <v>23</v>
      </c>
      <c r="Q1292">
        <v>62.5</v>
      </c>
    </row>
    <row r="1293" spans="1:17" x14ac:dyDescent="0.35">
      <c r="A1293" s="1">
        <v>45822</v>
      </c>
      <c r="B1293" t="s">
        <v>91</v>
      </c>
      <c r="C1293" t="s">
        <v>67</v>
      </c>
      <c r="D1293" t="s">
        <v>92</v>
      </c>
      <c r="E1293" t="s">
        <v>27</v>
      </c>
      <c r="F1293">
        <v>160.9</v>
      </c>
      <c r="G1293">
        <v>40.1</v>
      </c>
      <c r="H1293">
        <v>97.94</v>
      </c>
      <c r="I1293">
        <v>93.1</v>
      </c>
      <c r="J1293">
        <v>81.819999999999993</v>
      </c>
      <c r="K1293" t="s">
        <v>28</v>
      </c>
      <c r="L1293">
        <v>6.4</v>
      </c>
      <c r="M1293">
        <v>2.7</v>
      </c>
      <c r="N1293" t="s">
        <v>39</v>
      </c>
      <c r="O1293">
        <v>8</v>
      </c>
      <c r="P1293" t="s">
        <v>43</v>
      </c>
      <c r="Q1293">
        <v>58.5</v>
      </c>
    </row>
    <row r="1294" spans="1:17" x14ac:dyDescent="0.35">
      <c r="A1294" s="1">
        <v>45822</v>
      </c>
      <c r="B1294" t="s">
        <v>55</v>
      </c>
      <c r="C1294" t="s">
        <v>56</v>
      </c>
      <c r="D1294">
        <v>4</v>
      </c>
      <c r="E1294" t="s">
        <v>57</v>
      </c>
      <c r="F1294">
        <v>30</v>
      </c>
      <c r="G1294">
        <v>138.30000000000001</v>
      </c>
      <c r="H1294">
        <v>88.83</v>
      </c>
      <c r="I1294">
        <v>94.9</v>
      </c>
      <c r="J1294">
        <v>71.53</v>
      </c>
      <c r="K1294" t="s">
        <v>21</v>
      </c>
      <c r="L1294">
        <v>7.4</v>
      </c>
      <c r="N1294" t="s">
        <v>35</v>
      </c>
      <c r="O1294">
        <v>2</v>
      </c>
      <c r="P1294" t="s">
        <v>23</v>
      </c>
      <c r="Q1294">
        <v>69.099999999999994</v>
      </c>
    </row>
    <row r="1295" spans="1:17" x14ac:dyDescent="0.35">
      <c r="A1295" s="1">
        <v>45822</v>
      </c>
      <c r="B1295" t="s">
        <v>86</v>
      </c>
      <c r="C1295" t="s">
        <v>25</v>
      </c>
      <c r="D1295" t="s">
        <v>87</v>
      </c>
      <c r="E1295" t="s">
        <v>27</v>
      </c>
      <c r="F1295">
        <v>334.66</v>
      </c>
      <c r="G1295">
        <v>19.399999999999999</v>
      </c>
      <c r="H1295">
        <v>96.86</v>
      </c>
      <c r="I1295">
        <v>97.47</v>
      </c>
      <c r="J1295">
        <v>78.349999999999994</v>
      </c>
      <c r="K1295" t="s">
        <v>34</v>
      </c>
      <c r="L1295">
        <v>7.2</v>
      </c>
      <c r="M1295">
        <v>1.9</v>
      </c>
      <c r="N1295" t="s">
        <v>39</v>
      </c>
      <c r="O1295">
        <v>8</v>
      </c>
      <c r="P1295" t="s">
        <v>30</v>
      </c>
      <c r="Q1295">
        <v>59.9</v>
      </c>
    </row>
    <row r="1296" spans="1:17" x14ac:dyDescent="0.35">
      <c r="A1296" s="1">
        <v>45822</v>
      </c>
      <c r="B1296" t="s">
        <v>55</v>
      </c>
      <c r="C1296" t="s">
        <v>56</v>
      </c>
      <c r="D1296">
        <v>4</v>
      </c>
      <c r="E1296" t="s">
        <v>57</v>
      </c>
      <c r="F1296">
        <v>30</v>
      </c>
      <c r="G1296">
        <v>126</v>
      </c>
      <c r="H1296">
        <v>86.83</v>
      </c>
      <c r="I1296">
        <v>93.62</v>
      </c>
      <c r="J1296">
        <v>70.33</v>
      </c>
      <c r="K1296" t="s">
        <v>63</v>
      </c>
      <c r="L1296">
        <v>7.6</v>
      </c>
      <c r="N1296" t="s">
        <v>35</v>
      </c>
      <c r="O1296">
        <v>3</v>
      </c>
      <c r="P1296" t="s">
        <v>43</v>
      </c>
      <c r="Q1296">
        <v>68.400000000000006</v>
      </c>
    </row>
    <row r="1297" spans="1:17" x14ac:dyDescent="0.35">
      <c r="A1297" s="1">
        <v>45822</v>
      </c>
      <c r="B1297" t="s">
        <v>71</v>
      </c>
      <c r="C1297" t="s">
        <v>72</v>
      </c>
      <c r="D1297" t="s">
        <v>73</v>
      </c>
      <c r="E1297" t="s">
        <v>27</v>
      </c>
      <c r="F1297">
        <v>288.33999999999997</v>
      </c>
      <c r="G1297">
        <v>43.8</v>
      </c>
      <c r="H1297">
        <v>94.73</v>
      </c>
      <c r="I1297">
        <v>96.96</v>
      </c>
      <c r="J1297">
        <v>78.739999999999995</v>
      </c>
      <c r="K1297" t="s">
        <v>28</v>
      </c>
      <c r="L1297">
        <v>7.8</v>
      </c>
      <c r="M1297">
        <v>3.1</v>
      </c>
      <c r="N1297" t="s">
        <v>39</v>
      </c>
      <c r="O1297">
        <v>11</v>
      </c>
      <c r="P1297" t="s">
        <v>43</v>
      </c>
      <c r="Q1297">
        <v>60.2</v>
      </c>
    </row>
    <row r="1298" spans="1:17" x14ac:dyDescent="0.35">
      <c r="A1298" s="1">
        <v>45822</v>
      </c>
      <c r="B1298" t="s">
        <v>55</v>
      </c>
      <c r="C1298" t="s">
        <v>56</v>
      </c>
      <c r="D1298">
        <v>4</v>
      </c>
      <c r="E1298" t="s">
        <v>57</v>
      </c>
      <c r="F1298">
        <v>30</v>
      </c>
      <c r="G1298">
        <v>140.9</v>
      </c>
      <c r="H1298">
        <v>85.55</v>
      </c>
      <c r="I1298">
        <v>93.56</v>
      </c>
      <c r="J1298">
        <v>73.13</v>
      </c>
      <c r="K1298" t="s">
        <v>63</v>
      </c>
      <c r="L1298">
        <v>7.8</v>
      </c>
      <c r="N1298" t="s">
        <v>35</v>
      </c>
      <c r="O1298">
        <v>4</v>
      </c>
      <c r="P1298" t="s">
        <v>43</v>
      </c>
      <c r="Q1298">
        <v>69.400000000000006</v>
      </c>
    </row>
    <row r="1299" spans="1:17" x14ac:dyDescent="0.35">
      <c r="A1299" s="1">
        <v>45822</v>
      </c>
      <c r="B1299" t="s">
        <v>44</v>
      </c>
      <c r="C1299" t="s">
        <v>45</v>
      </c>
      <c r="D1299" t="s">
        <v>46</v>
      </c>
      <c r="E1299" t="s">
        <v>27</v>
      </c>
      <c r="F1299">
        <v>355.09</v>
      </c>
      <c r="G1299">
        <v>561.5</v>
      </c>
      <c r="H1299">
        <v>95.19</v>
      </c>
      <c r="I1299">
        <v>98.96</v>
      </c>
      <c r="J1299">
        <v>75.52</v>
      </c>
      <c r="K1299" t="s">
        <v>34</v>
      </c>
      <c r="L1299">
        <v>7.5</v>
      </c>
      <c r="M1299">
        <v>3.2</v>
      </c>
      <c r="N1299" t="s">
        <v>39</v>
      </c>
      <c r="O1299">
        <v>10</v>
      </c>
      <c r="P1299" t="s">
        <v>23</v>
      </c>
      <c r="Q1299">
        <v>62</v>
      </c>
    </row>
    <row r="1300" spans="1:17" x14ac:dyDescent="0.35">
      <c r="A1300" s="1">
        <v>45823</v>
      </c>
      <c r="B1300" t="s">
        <v>101</v>
      </c>
      <c r="C1300" t="s">
        <v>45</v>
      </c>
      <c r="D1300" t="s">
        <v>102</v>
      </c>
      <c r="E1300" t="s">
        <v>33</v>
      </c>
      <c r="F1300">
        <v>414.39</v>
      </c>
      <c r="G1300">
        <v>1706.1</v>
      </c>
      <c r="H1300">
        <v>92.9</v>
      </c>
      <c r="I1300">
        <v>98.03</v>
      </c>
      <c r="J1300">
        <v>76.81</v>
      </c>
      <c r="K1300" t="s">
        <v>88</v>
      </c>
      <c r="L1300">
        <v>8.1</v>
      </c>
      <c r="M1300">
        <v>4.5999999999999996</v>
      </c>
      <c r="N1300" t="s">
        <v>35</v>
      </c>
      <c r="O1300">
        <v>7</v>
      </c>
      <c r="P1300" t="s">
        <v>23</v>
      </c>
      <c r="Q1300">
        <v>61.7</v>
      </c>
    </row>
    <row r="1301" spans="1:17" x14ac:dyDescent="0.35">
      <c r="A1301" s="1">
        <v>45823</v>
      </c>
      <c r="B1301" t="s">
        <v>86</v>
      </c>
      <c r="C1301" t="s">
        <v>25</v>
      </c>
      <c r="D1301" t="s">
        <v>87</v>
      </c>
      <c r="E1301" t="s">
        <v>27</v>
      </c>
      <c r="F1301">
        <v>679.47</v>
      </c>
      <c r="G1301">
        <v>48.4</v>
      </c>
      <c r="H1301">
        <v>93.8</v>
      </c>
      <c r="I1301">
        <v>96.99</v>
      </c>
      <c r="J1301">
        <v>76.23</v>
      </c>
      <c r="K1301" t="s">
        <v>47</v>
      </c>
      <c r="L1301">
        <v>9.1</v>
      </c>
      <c r="M1301">
        <v>5</v>
      </c>
      <c r="N1301" t="s">
        <v>39</v>
      </c>
      <c r="O1301">
        <v>11</v>
      </c>
      <c r="P1301" t="s">
        <v>30</v>
      </c>
      <c r="Q1301">
        <v>60.6</v>
      </c>
    </row>
    <row r="1302" spans="1:17" x14ac:dyDescent="0.35">
      <c r="A1302" s="1">
        <v>45823</v>
      </c>
      <c r="B1302" t="s">
        <v>59</v>
      </c>
      <c r="C1302" t="s">
        <v>60</v>
      </c>
      <c r="D1302" t="s">
        <v>61</v>
      </c>
      <c r="E1302" t="s">
        <v>62</v>
      </c>
      <c r="F1302">
        <v>536.34</v>
      </c>
      <c r="G1302">
        <v>174.5</v>
      </c>
      <c r="H1302">
        <v>87.23</v>
      </c>
      <c r="I1302">
        <v>95.21</v>
      </c>
      <c r="J1302">
        <v>85.46</v>
      </c>
      <c r="K1302" t="s">
        <v>63</v>
      </c>
      <c r="L1302">
        <v>8.6</v>
      </c>
      <c r="N1302" t="s">
        <v>35</v>
      </c>
      <c r="O1302">
        <v>4</v>
      </c>
      <c r="P1302" t="s">
        <v>43</v>
      </c>
      <c r="Q1302">
        <v>74.8</v>
      </c>
    </row>
    <row r="1303" spans="1:17" x14ac:dyDescent="0.35">
      <c r="A1303" s="1">
        <v>45823</v>
      </c>
      <c r="B1303" t="s">
        <v>97</v>
      </c>
      <c r="C1303" t="s">
        <v>72</v>
      </c>
      <c r="D1303" t="s">
        <v>98</v>
      </c>
      <c r="E1303" t="s">
        <v>33</v>
      </c>
      <c r="F1303">
        <v>132.11000000000001</v>
      </c>
      <c r="G1303">
        <v>211.4</v>
      </c>
      <c r="H1303">
        <v>92.13</v>
      </c>
      <c r="I1303">
        <v>93.66</v>
      </c>
      <c r="J1303">
        <v>79.06</v>
      </c>
      <c r="K1303" t="s">
        <v>34</v>
      </c>
      <c r="L1303">
        <v>7.5</v>
      </c>
      <c r="M1303">
        <v>3.2</v>
      </c>
      <c r="N1303" t="s">
        <v>35</v>
      </c>
      <c r="O1303">
        <v>9</v>
      </c>
      <c r="P1303" t="s">
        <v>43</v>
      </c>
      <c r="Q1303">
        <v>61.2</v>
      </c>
    </row>
    <row r="1304" spans="1:17" x14ac:dyDescent="0.35">
      <c r="A1304" s="1">
        <v>45823</v>
      </c>
      <c r="B1304" t="s">
        <v>64</v>
      </c>
      <c r="C1304" t="s">
        <v>25</v>
      </c>
      <c r="D1304" t="s">
        <v>65</v>
      </c>
      <c r="E1304" t="s">
        <v>27</v>
      </c>
      <c r="F1304">
        <v>280.86</v>
      </c>
      <c r="G1304">
        <v>54.2</v>
      </c>
      <c r="H1304">
        <v>94.78</v>
      </c>
      <c r="I1304">
        <v>97.91</v>
      </c>
      <c r="J1304">
        <v>80.180000000000007</v>
      </c>
      <c r="K1304" t="s">
        <v>47</v>
      </c>
      <c r="L1304">
        <v>7.1</v>
      </c>
      <c r="M1304">
        <v>2.4</v>
      </c>
      <c r="N1304" t="s">
        <v>39</v>
      </c>
      <c r="O1304">
        <v>9</v>
      </c>
      <c r="P1304" t="s">
        <v>30</v>
      </c>
      <c r="Q1304">
        <v>60.1</v>
      </c>
    </row>
    <row r="1305" spans="1:17" x14ac:dyDescent="0.35">
      <c r="A1305" s="1">
        <v>45823</v>
      </c>
      <c r="B1305" t="s">
        <v>24</v>
      </c>
      <c r="C1305" t="s">
        <v>25</v>
      </c>
      <c r="D1305" t="s">
        <v>26</v>
      </c>
      <c r="E1305" t="s">
        <v>27</v>
      </c>
      <c r="F1305">
        <v>641.08000000000004</v>
      </c>
      <c r="G1305">
        <v>39.200000000000003</v>
      </c>
      <c r="H1305">
        <v>95.66</v>
      </c>
      <c r="I1305">
        <v>96.86</v>
      </c>
      <c r="J1305">
        <v>83.86</v>
      </c>
      <c r="K1305" t="s">
        <v>47</v>
      </c>
      <c r="L1305">
        <v>8.5</v>
      </c>
      <c r="M1305">
        <v>1.7</v>
      </c>
      <c r="N1305" t="s">
        <v>29</v>
      </c>
      <c r="O1305">
        <v>12</v>
      </c>
      <c r="P1305" t="s">
        <v>30</v>
      </c>
      <c r="Q1305">
        <v>63.2</v>
      </c>
    </row>
    <row r="1306" spans="1:17" x14ac:dyDescent="0.35">
      <c r="A1306" s="1">
        <v>45823</v>
      </c>
      <c r="B1306" t="s">
        <v>59</v>
      </c>
      <c r="C1306" t="s">
        <v>60</v>
      </c>
      <c r="D1306" t="s">
        <v>61</v>
      </c>
      <c r="E1306" t="s">
        <v>62</v>
      </c>
      <c r="F1306">
        <v>367.23</v>
      </c>
      <c r="G1306">
        <v>179.7</v>
      </c>
      <c r="H1306">
        <v>87.72</v>
      </c>
      <c r="I1306">
        <v>95.68</v>
      </c>
      <c r="J1306">
        <v>90.59</v>
      </c>
      <c r="K1306" t="s">
        <v>63</v>
      </c>
      <c r="L1306">
        <v>8.3000000000000007</v>
      </c>
      <c r="N1306" t="s">
        <v>35</v>
      </c>
      <c r="O1306">
        <v>4</v>
      </c>
      <c r="P1306" t="s">
        <v>43</v>
      </c>
      <c r="Q1306">
        <v>75.400000000000006</v>
      </c>
    </row>
    <row r="1307" spans="1:17" x14ac:dyDescent="0.35">
      <c r="A1307" s="1">
        <v>45823</v>
      </c>
      <c r="B1307" t="s">
        <v>99</v>
      </c>
      <c r="C1307" t="s">
        <v>72</v>
      </c>
      <c r="D1307" t="s">
        <v>100</v>
      </c>
      <c r="E1307" t="s">
        <v>27</v>
      </c>
      <c r="F1307">
        <v>228.66</v>
      </c>
      <c r="G1307">
        <v>41.5</v>
      </c>
      <c r="H1307">
        <v>92.74</v>
      </c>
      <c r="I1307">
        <v>95.58</v>
      </c>
      <c r="J1307">
        <v>84.43</v>
      </c>
      <c r="K1307" t="s">
        <v>28</v>
      </c>
      <c r="L1307">
        <v>8.1</v>
      </c>
      <c r="M1307">
        <v>2.6</v>
      </c>
      <c r="N1307" t="s">
        <v>39</v>
      </c>
      <c r="O1307">
        <v>15</v>
      </c>
      <c r="P1307" t="s">
        <v>43</v>
      </c>
      <c r="Q1307">
        <v>61.4</v>
      </c>
    </row>
    <row r="1308" spans="1:17" x14ac:dyDescent="0.35">
      <c r="A1308" s="1">
        <v>45823</v>
      </c>
      <c r="B1308" t="s">
        <v>82</v>
      </c>
      <c r="C1308" t="s">
        <v>72</v>
      </c>
      <c r="D1308" t="s">
        <v>83</v>
      </c>
      <c r="E1308" t="s">
        <v>20</v>
      </c>
      <c r="F1308">
        <v>218.82</v>
      </c>
      <c r="G1308">
        <v>128</v>
      </c>
      <c r="H1308">
        <v>89.52</v>
      </c>
      <c r="I1308">
        <v>93.74</v>
      </c>
      <c r="J1308">
        <v>74</v>
      </c>
      <c r="K1308" t="s">
        <v>63</v>
      </c>
      <c r="L1308">
        <v>7.9</v>
      </c>
      <c r="N1308" t="s">
        <v>35</v>
      </c>
      <c r="O1308">
        <v>5</v>
      </c>
      <c r="P1308" t="s">
        <v>43</v>
      </c>
      <c r="Q1308">
        <v>70.3</v>
      </c>
    </row>
    <row r="1309" spans="1:17" x14ac:dyDescent="0.35">
      <c r="A1309" s="1">
        <v>45823</v>
      </c>
      <c r="B1309" t="s">
        <v>59</v>
      </c>
      <c r="C1309" t="s">
        <v>60</v>
      </c>
      <c r="D1309" t="s">
        <v>61</v>
      </c>
      <c r="E1309" t="s">
        <v>62</v>
      </c>
      <c r="F1309">
        <v>468.29</v>
      </c>
      <c r="G1309">
        <v>180.6</v>
      </c>
      <c r="H1309">
        <v>90.1</v>
      </c>
      <c r="I1309">
        <v>96.35</v>
      </c>
      <c r="J1309">
        <v>88.64</v>
      </c>
      <c r="K1309" t="s">
        <v>34</v>
      </c>
      <c r="L1309">
        <v>9.1999999999999993</v>
      </c>
      <c r="N1309" t="s">
        <v>35</v>
      </c>
      <c r="O1309">
        <v>6</v>
      </c>
      <c r="P1309" t="s">
        <v>23</v>
      </c>
      <c r="Q1309">
        <v>77.400000000000006</v>
      </c>
    </row>
    <row r="1310" spans="1:17" x14ac:dyDescent="0.35">
      <c r="A1310" s="1">
        <v>45823</v>
      </c>
      <c r="B1310" t="s">
        <v>55</v>
      </c>
      <c r="C1310" t="s">
        <v>56</v>
      </c>
      <c r="D1310">
        <v>4</v>
      </c>
      <c r="E1310" t="s">
        <v>57</v>
      </c>
      <c r="F1310">
        <v>30</v>
      </c>
      <c r="G1310">
        <v>166.9</v>
      </c>
      <c r="H1310">
        <v>89.84</v>
      </c>
      <c r="I1310">
        <v>94.34</v>
      </c>
      <c r="J1310">
        <v>76.95</v>
      </c>
      <c r="K1310" t="s">
        <v>21</v>
      </c>
      <c r="L1310">
        <v>6.7</v>
      </c>
      <c r="N1310" t="s">
        <v>35</v>
      </c>
      <c r="O1310">
        <v>3</v>
      </c>
      <c r="P1310" t="s">
        <v>43</v>
      </c>
      <c r="Q1310">
        <v>69.599999999999994</v>
      </c>
    </row>
    <row r="1311" spans="1:17" x14ac:dyDescent="0.35">
      <c r="A1311" s="1">
        <v>45823</v>
      </c>
      <c r="B1311" t="s">
        <v>99</v>
      </c>
      <c r="C1311" t="s">
        <v>72</v>
      </c>
      <c r="D1311" t="s">
        <v>100</v>
      </c>
      <c r="E1311" t="s">
        <v>27</v>
      </c>
      <c r="F1311">
        <v>74.319999999999993</v>
      </c>
      <c r="G1311">
        <v>33.700000000000003</v>
      </c>
      <c r="H1311">
        <v>94.36</v>
      </c>
      <c r="I1311">
        <v>95.72</v>
      </c>
      <c r="J1311">
        <v>75.430000000000007</v>
      </c>
      <c r="K1311" t="s">
        <v>47</v>
      </c>
      <c r="L1311">
        <v>7.7</v>
      </c>
      <c r="M1311">
        <v>4.7</v>
      </c>
      <c r="N1311" t="s">
        <v>29</v>
      </c>
      <c r="O1311">
        <v>10</v>
      </c>
      <c r="P1311" t="s">
        <v>23</v>
      </c>
      <c r="Q1311">
        <v>58</v>
      </c>
    </row>
    <row r="1312" spans="1:17" x14ac:dyDescent="0.35">
      <c r="A1312" s="1">
        <v>45823</v>
      </c>
      <c r="B1312" t="s">
        <v>64</v>
      </c>
      <c r="C1312" t="s">
        <v>25</v>
      </c>
      <c r="D1312" t="s">
        <v>65</v>
      </c>
      <c r="E1312" t="s">
        <v>27</v>
      </c>
      <c r="F1312">
        <v>768.75</v>
      </c>
      <c r="G1312">
        <v>31.8</v>
      </c>
      <c r="H1312">
        <v>95.21</v>
      </c>
      <c r="I1312">
        <v>96.12</v>
      </c>
      <c r="J1312">
        <v>84.95</v>
      </c>
      <c r="K1312" t="s">
        <v>28</v>
      </c>
      <c r="L1312">
        <v>8.1999999999999993</v>
      </c>
      <c r="M1312">
        <v>4.4000000000000004</v>
      </c>
      <c r="N1312" t="s">
        <v>29</v>
      </c>
      <c r="O1312">
        <v>9</v>
      </c>
      <c r="P1312" t="s">
        <v>30</v>
      </c>
      <c r="Q1312">
        <v>60.7</v>
      </c>
    </row>
    <row r="1313" spans="1:17" x14ac:dyDescent="0.35">
      <c r="A1313" s="1">
        <v>45823</v>
      </c>
      <c r="B1313" t="s">
        <v>55</v>
      </c>
      <c r="C1313" t="s">
        <v>56</v>
      </c>
      <c r="D1313">
        <v>4</v>
      </c>
      <c r="E1313" t="s">
        <v>57</v>
      </c>
      <c r="F1313">
        <v>30</v>
      </c>
      <c r="G1313">
        <v>150.69999999999999</v>
      </c>
      <c r="H1313">
        <v>89.54</v>
      </c>
      <c r="I1313">
        <v>93.79</v>
      </c>
      <c r="J1313">
        <v>75.900000000000006</v>
      </c>
      <c r="K1313" t="s">
        <v>21</v>
      </c>
      <c r="L1313">
        <v>6.2</v>
      </c>
      <c r="N1313" t="s">
        <v>35</v>
      </c>
      <c r="O1313">
        <v>5</v>
      </c>
      <c r="P1313" t="s">
        <v>23</v>
      </c>
      <c r="Q1313">
        <v>67.8</v>
      </c>
    </row>
    <row r="1314" spans="1:17" x14ac:dyDescent="0.35">
      <c r="A1314" s="1">
        <v>45823</v>
      </c>
      <c r="B1314" t="s">
        <v>44</v>
      </c>
      <c r="C1314" t="s">
        <v>45</v>
      </c>
      <c r="D1314" t="s">
        <v>46</v>
      </c>
      <c r="E1314" t="s">
        <v>33</v>
      </c>
      <c r="F1314">
        <v>435.9</v>
      </c>
      <c r="G1314">
        <v>480.2</v>
      </c>
      <c r="H1314">
        <v>97.01</v>
      </c>
      <c r="I1314">
        <v>98.8</v>
      </c>
      <c r="J1314">
        <v>75.11</v>
      </c>
      <c r="K1314" t="s">
        <v>34</v>
      </c>
      <c r="L1314">
        <v>9</v>
      </c>
      <c r="M1314">
        <v>2.5</v>
      </c>
      <c r="N1314" t="s">
        <v>35</v>
      </c>
      <c r="O1314">
        <v>5</v>
      </c>
      <c r="P1314" t="s">
        <v>23</v>
      </c>
      <c r="Q1314">
        <v>65.2</v>
      </c>
    </row>
    <row r="1315" spans="1:17" x14ac:dyDescent="0.35">
      <c r="A1315" s="1">
        <v>45823</v>
      </c>
      <c r="B1315" t="s">
        <v>78</v>
      </c>
      <c r="C1315" t="s">
        <v>41</v>
      </c>
      <c r="D1315" t="s">
        <v>79</v>
      </c>
      <c r="E1315" t="s">
        <v>27</v>
      </c>
      <c r="F1315">
        <v>241.88</v>
      </c>
      <c r="G1315">
        <v>18.5</v>
      </c>
      <c r="H1315">
        <v>97.17</v>
      </c>
      <c r="I1315">
        <v>96.13</v>
      </c>
      <c r="J1315">
        <v>83.53</v>
      </c>
      <c r="K1315" t="s">
        <v>34</v>
      </c>
      <c r="L1315">
        <v>8.4</v>
      </c>
      <c r="M1315">
        <v>2.7</v>
      </c>
      <c r="N1315" t="s">
        <v>39</v>
      </c>
      <c r="O1315">
        <v>11</v>
      </c>
      <c r="P1315" t="s">
        <v>43</v>
      </c>
      <c r="Q1315">
        <v>62</v>
      </c>
    </row>
    <row r="1316" spans="1:17" x14ac:dyDescent="0.35">
      <c r="A1316" s="1">
        <v>45823</v>
      </c>
      <c r="B1316" t="s">
        <v>91</v>
      </c>
      <c r="C1316" t="s">
        <v>67</v>
      </c>
      <c r="D1316" t="s">
        <v>92</v>
      </c>
      <c r="E1316" t="s">
        <v>27</v>
      </c>
      <c r="F1316">
        <v>118.71</v>
      </c>
      <c r="G1316">
        <v>57.4</v>
      </c>
      <c r="H1316">
        <v>95.35</v>
      </c>
      <c r="I1316">
        <v>93.6</v>
      </c>
      <c r="J1316">
        <v>78.900000000000006</v>
      </c>
      <c r="K1316" t="s">
        <v>34</v>
      </c>
      <c r="L1316">
        <v>7.7</v>
      </c>
      <c r="M1316">
        <v>3.5</v>
      </c>
      <c r="N1316" t="s">
        <v>29</v>
      </c>
      <c r="O1316">
        <v>10</v>
      </c>
      <c r="P1316" t="s">
        <v>23</v>
      </c>
      <c r="Q1316">
        <v>59.6</v>
      </c>
    </row>
    <row r="1317" spans="1:17" x14ac:dyDescent="0.35">
      <c r="A1317" s="1">
        <v>45823</v>
      </c>
      <c r="B1317" t="s">
        <v>93</v>
      </c>
      <c r="C1317" t="s">
        <v>37</v>
      </c>
      <c r="D1317" t="s">
        <v>94</v>
      </c>
      <c r="E1317" t="s">
        <v>27</v>
      </c>
      <c r="F1317">
        <v>300.69</v>
      </c>
      <c r="G1317">
        <v>43.7</v>
      </c>
      <c r="H1317">
        <v>93.88</v>
      </c>
      <c r="I1317">
        <v>93.24</v>
      </c>
      <c r="J1317">
        <v>79.95</v>
      </c>
      <c r="K1317" t="s">
        <v>47</v>
      </c>
      <c r="L1317">
        <v>7.5</v>
      </c>
      <c r="M1317">
        <v>4.3</v>
      </c>
      <c r="N1317" t="s">
        <v>39</v>
      </c>
      <c r="O1317">
        <v>8</v>
      </c>
      <c r="P1317" t="s">
        <v>23</v>
      </c>
      <c r="Q1317">
        <v>58.3</v>
      </c>
    </row>
    <row r="1318" spans="1:17" x14ac:dyDescent="0.35">
      <c r="A1318" s="1">
        <v>45823</v>
      </c>
      <c r="B1318" t="s">
        <v>80</v>
      </c>
      <c r="C1318" t="s">
        <v>45</v>
      </c>
      <c r="D1318" t="s">
        <v>81</v>
      </c>
      <c r="E1318" t="s">
        <v>33</v>
      </c>
      <c r="F1318">
        <v>934.12</v>
      </c>
      <c r="G1318">
        <v>451.5</v>
      </c>
      <c r="H1318">
        <v>93.31</v>
      </c>
      <c r="I1318">
        <v>98.04</v>
      </c>
      <c r="J1318">
        <v>73.63</v>
      </c>
      <c r="K1318" t="s">
        <v>47</v>
      </c>
      <c r="L1318">
        <v>8.6999999999999993</v>
      </c>
      <c r="M1318">
        <v>2.2000000000000002</v>
      </c>
      <c r="N1318" t="s">
        <v>22</v>
      </c>
      <c r="O1318">
        <v>9</v>
      </c>
      <c r="P1318" t="s">
        <v>23</v>
      </c>
      <c r="Q1318">
        <v>63.9</v>
      </c>
    </row>
    <row r="1319" spans="1:17" x14ac:dyDescent="0.35">
      <c r="A1319" s="1">
        <v>45823</v>
      </c>
      <c r="B1319" t="s">
        <v>48</v>
      </c>
      <c r="C1319" t="s">
        <v>49</v>
      </c>
      <c r="D1319" t="s">
        <v>50</v>
      </c>
      <c r="E1319" t="s">
        <v>27</v>
      </c>
      <c r="F1319">
        <v>440.63</v>
      </c>
      <c r="G1319">
        <v>47.2</v>
      </c>
      <c r="H1319">
        <v>94.43</v>
      </c>
      <c r="I1319">
        <v>96.03</v>
      </c>
      <c r="J1319">
        <v>77.86</v>
      </c>
      <c r="K1319" t="s">
        <v>28</v>
      </c>
      <c r="L1319">
        <v>9.1999999999999993</v>
      </c>
      <c r="M1319">
        <v>4.5999999999999996</v>
      </c>
      <c r="N1319" t="s">
        <v>29</v>
      </c>
      <c r="O1319">
        <v>14</v>
      </c>
      <c r="P1319" t="s">
        <v>23</v>
      </c>
      <c r="Q1319">
        <v>61.3</v>
      </c>
    </row>
    <row r="1320" spans="1:17" x14ac:dyDescent="0.35">
      <c r="A1320" s="1">
        <v>45823</v>
      </c>
      <c r="B1320" t="s">
        <v>51</v>
      </c>
      <c r="C1320" t="s">
        <v>45</v>
      </c>
      <c r="D1320" t="s">
        <v>52</v>
      </c>
      <c r="E1320" t="s">
        <v>27</v>
      </c>
      <c r="F1320">
        <v>850.69</v>
      </c>
      <c r="G1320">
        <v>435.2</v>
      </c>
      <c r="H1320">
        <v>95.26</v>
      </c>
      <c r="I1320">
        <v>98.19</v>
      </c>
      <c r="J1320">
        <v>80.03</v>
      </c>
      <c r="K1320" t="s">
        <v>88</v>
      </c>
      <c r="L1320">
        <v>8.4</v>
      </c>
      <c r="M1320">
        <v>2.9</v>
      </c>
      <c r="N1320" t="s">
        <v>39</v>
      </c>
      <c r="O1320">
        <v>11</v>
      </c>
      <c r="P1320" t="s">
        <v>23</v>
      </c>
      <c r="Q1320">
        <v>64.3</v>
      </c>
    </row>
    <row r="1321" spans="1:17" x14ac:dyDescent="0.35">
      <c r="A1321" s="1">
        <v>45823</v>
      </c>
      <c r="B1321" t="s">
        <v>74</v>
      </c>
      <c r="C1321" t="s">
        <v>67</v>
      </c>
      <c r="D1321" t="s">
        <v>75</v>
      </c>
      <c r="E1321" t="s">
        <v>27</v>
      </c>
      <c r="F1321">
        <v>166.09</v>
      </c>
      <c r="G1321">
        <v>60.6</v>
      </c>
      <c r="H1321">
        <v>92.16</v>
      </c>
      <c r="I1321">
        <v>94.64</v>
      </c>
      <c r="J1321">
        <v>75.37</v>
      </c>
      <c r="K1321" t="s">
        <v>34</v>
      </c>
      <c r="L1321">
        <v>6.2</v>
      </c>
      <c r="M1321">
        <v>2.6</v>
      </c>
      <c r="N1321" t="s">
        <v>39</v>
      </c>
      <c r="O1321">
        <v>10</v>
      </c>
      <c r="P1321" t="s">
        <v>43</v>
      </c>
      <c r="Q1321">
        <v>56.8</v>
      </c>
    </row>
    <row r="1322" spans="1:17" x14ac:dyDescent="0.35">
      <c r="A1322" s="1">
        <v>45823</v>
      </c>
      <c r="B1322" t="s">
        <v>80</v>
      </c>
      <c r="C1322" t="s">
        <v>45</v>
      </c>
      <c r="D1322" t="s">
        <v>81</v>
      </c>
      <c r="E1322" t="s">
        <v>27</v>
      </c>
      <c r="F1322">
        <v>556.14</v>
      </c>
      <c r="G1322">
        <v>424.4</v>
      </c>
      <c r="H1322">
        <v>95.56</v>
      </c>
      <c r="I1322">
        <v>99.22</v>
      </c>
      <c r="J1322">
        <v>77.22</v>
      </c>
      <c r="K1322" t="s">
        <v>34</v>
      </c>
      <c r="L1322">
        <v>8.1</v>
      </c>
      <c r="M1322">
        <v>2.8</v>
      </c>
      <c r="N1322" t="s">
        <v>39</v>
      </c>
      <c r="O1322">
        <v>8</v>
      </c>
      <c r="P1322" t="s">
        <v>23</v>
      </c>
      <c r="Q1322">
        <v>63.6</v>
      </c>
    </row>
    <row r="1323" spans="1:17" x14ac:dyDescent="0.35">
      <c r="A1323" s="1">
        <v>45823</v>
      </c>
      <c r="B1323" t="s">
        <v>93</v>
      </c>
      <c r="C1323" t="s">
        <v>37</v>
      </c>
      <c r="D1323" t="s">
        <v>94</v>
      </c>
      <c r="E1323" t="s">
        <v>27</v>
      </c>
      <c r="F1323">
        <v>385.75</v>
      </c>
      <c r="G1323">
        <v>36.6</v>
      </c>
      <c r="H1323">
        <v>95.72</v>
      </c>
      <c r="I1323">
        <v>95.27</v>
      </c>
      <c r="J1323">
        <v>79.900000000000006</v>
      </c>
      <c r="K1323" t="s">
        <v>47</v>
      </c>
      <c r="L1323">
        <v>8.1</v>
      </c>
      <c r="M1323">
        <v>4.9000000000000004</v>
      </c>
      <c r="N1323" t="s">
        <v>39</v>
      </c>
      <c r="O1323">
        <v>11</v>
      </c>
      <c r="P1323" t="s">
        <v>23</v>
      </c>
      <c r="Q1323">
        <v>59.4</v>
      </c>
    </row>
    <row r="1324" spans="1:17" x14ac:dyDescent="0.35">
      <c r="A1324" s="1">
        <v>45823</v>
      </c>
      <c r="B1324" t="s">
        <v>48</v>
      </c>
      <c r="C1324" t="s">
        <v>49</v>
      </c>
      <c r="D1324" t="s">
        <v>50</v>
      </c>
      <c r="E1324" t="s">
        <v>27</v>
      </c>
      <c r="F1324">
        <v>409.95</v>
      </c>
      <c r="G1324">
        <v>52.4</v>
      </c>
      <c r="H1324">
        <v>94.59</v>
      </c>
      <c r="I1324">
        <v>96.37</v>
      </c>
      <c r="J1324">
        <v>79.069999999999993</v>
      </c>
      <c r="K1324" t="s">
        <v>28</v>
      </c>
      <c r="L1324">
        <v>8.5</v>
      </c>
      <c r="M1324">
        <v>2</v>
      </c>
      <c r="N1324" t="s">
        <v>39</v>
      </c>
      <c r="O1324">
        <v>11</v>
      </c>
      <c r="P1324" t="s">
        <v>23</v>
      </c>
      <c r="Q1324">
        <v>62.2</v>
      </c>
    </row>
    <row r="1325" spans="1:17" x14ac:dyDescent="0.35">
      <c r="A1325" s="1">
        <v>45823</v>
      </c>
      <c r="B1325" t="s">
        <v>69</v>
      </c>
      <c r="C1325" t="s">
        <v>18</v>
      </c>
      <c r="D1325" t="s">
        <v>70</v>
      </c>
      <c r="E1325" t="s">
        <v>20</v>
      </c>
      <c r="F1325">
        <v>316.76</v>
      </c>
      <c r="G1325">
        <v>239.5</v>
      </c>
      <c r="H1325">
        <v>91.24</v>
      </c>
      <c r="I1325">
        <v>95.03</v>
      </c>
      <c r="J1325">
        <v>73.88</v>
      </c>
      <c r="K1325" t="s">
        <v>21</v>
      </c>
      <c r="L1325">
        <v>8.5</v>
      </c>
      <c r="N1325" t="s">
        <v>35</v>
      </c>
      <c r="O1325">
        <v>7</v>
      </c>
      <c r="P1325" t="s">
        <v>23</v>
      </c>
      <c r="Q1325">
        <v>73</v>
      </c>
    </row>
    <row r="1326" spans="1:17" x14ac:dyDescent="0.35">
      <c r="A1326" s="1">
        <v>45823</v>
      </c>
      <c r="B1326" t="s">
        <v>53</v>
      </c>
      <c r="C1326" t="s">
        <v>41</v>
      </c>
      <c r="D1326" t="s">
        <v>54</v>
      </c>
      <c r="E1326" t="s">
        <v>27</v>
      </c>
      <c r="F1326">
        <v>395.09</v>
      </c>
      <c r="G1326">
        <v>62.8</v>
      </c>
      <c r="H1326">
        <v>94.51</v>
      </c>
      <c r="I1326">
        <v>97.82</v>
      </c>
      <c r="J1326">
        <v>75</v>
      </c>
      <c r="K1326" t="s">
        <v>34</v>
      </c>
      <c r="L1326">
        <v>7.1</v>
      </c>
      <c r="M1326">
        <v>4</v>
      </c>
      <c r="N1326" t="s">
        <v>29</v>
      </c>
      <c r="O1326">
        <v>8</v>
      </c>
      <c r="P1326" t="s">
        <v>43</v>
      </c>
      <c r="Q1326">
        <v>58.3</v>
      </c>
    </row>
    <row r="1327" spans="1:17" x14ac:dyDescent="0.35">
      <c r="A1327" s="1">
        <v>45823</v>
      </c>
      <c r="B1327" t="s">
        <v>55</v>
      </c>
      <c r="C1327" t="s">
        <v>56</v>
      </c>
      <c r="D1327">
        <v>4</v>
      </c>
      <c r="E1327" t="s">
        <v>57</v>
      </c>
      <c r="F1327">
        <v>30</v>
      </c>
      <c r="G1327">
        <v>135.30000000000001</v>
      </c>
      <c r="H1327">
        <v>87.97</v>
      </c>
      <c r="I1327">
        <v>95.77</v>
      </c>
      <c r="J1327">
        <v>74.14</v>
      </c>
      <c r="K1327" t="s">
        <v>21</v>
      </c>
      <c r="L1327">
        <v>6.7</v>
      </c>
      <c r="N1327" t="s">
        <v>35</v>
      </c>
      <c r="O1327">
        <v>3</v>
      </c>
      <c r="P1327" t="s">
        <v>23</v>
      </c>
      <c r="Q1327">
        <v>68.2</v>
      </c>
    </row>
    <row r="1328" spans="1:17" x14ac:dyDescent="0.35">
      <c r="A1328" s="1">
        <v>45823</v>
      </c>
      <c r="B1328" t="s">
        <v>48</v>
      </c>
      <c r="C1328" t="s">
        <v>49</v>
      </c>
      <c r="D1328" t="s">
        <v>50</v>
      </c>
      <c r="E1328" t="s">
        <v>27</v>
      </c>
      <c r="F1328">
        <v>327.58999999999997</v>
      </c>
      <c r="G1328">
        <v>36.1</v>
      </c>
      <c r="H1328">
        <v>93.09</v>
      </c>
      <c r="I1328">
        <v>94.7</v>
      </c>
      <c r="J1328">
        <v>83.93</v>
      </c>
      <c r="K1328" t="s">
        <v>28</v>
      </c>
      <c r="L1328">
        <v>7.5</v>
      </c>
      <c r="M1328">
        <v>4.4000000000000004</v>
      </c>
      <c r="N1328" t="s">
        <v>29</v>
      </c>
      <c r="O1328">
        <v>9</v>
      </c>
      <c r="P1328" t="s">
        <v>23</v>
      </c>
      <c r="Q1328">
        <v>58.9</v>
      </c>
    </row>
    <row r="1329" spans="1:17" x14ac:dyDescent="0.35">
      <c r="A1329" s="1">
        <v>45823</v>
      </c>
      <c r="B1329" t="s">
        <v>97</v>
      </c>
      <c r="C1329" t="s">
        <v>72</v>
      </c>
      <c r="D1329" t="s">
        <v>98</v>
      </c>
      <c r="E1329" t="s">
        <v>27</v>
      </c>
      <c r="F1329">
        <v>73.89</v>
      </c>
      <c r="G1329">
        <v>60.3</v>
      </c>
      <c r="H1329">
        <v>94.76</v>
      </c>
      <c r="I1329">
        <v>93.5</v>
      </c>
      <c r="J1329">
        <v>83.58</v>
      </c>
      <c r="K1329" t="s">
        <v>34</v>
      </c>
      <c r="L1329">
        <v>6.9</v>
      </c>
      <c r="M1329">
        <v>5</v>
      </c>
      <c r="N1329" t="s">
        <v>29</v>
      </c>
      <c r="O1329">
        <v>10</v>
      </c>
      <c r="P1329" t="s">
        <v>23</v>
      </c>
      <c r="Q1329">
        <v>58</v>
      </c>
    </row>
    <row r="1330" spans="1:17" x14ac:dyDescent="0.35">
      <c r="A1330" s="1">
        <v>45823</v>
      </c>
      <c r="B1330" t="s">
        <v>53</v>
      </c>
      <c r="C1330" t="s">
        <v>41</v>
      </c>
      <c r="D1330" t="s">
        <v>54</v>
      </c>
      <c r="E1330" t="s">
        <v>27</v>
      </c>
      <c r="F1330">
        <v>524.44000000000005</v>
      </c>
      <c r="G1330">
        <v>43.3</v>
      </c>
      <c r="H1330">
        <v>97.5</v>
      </c>
      <c r="I1330">
        <v>97.34</v>
      </c>
      <c r="J1330">
        <v>75.75</v>
      </c>
      <c r="K1330" t="s">
        <v>34</v>
      </c>
      <c r="L1330">
        <v>8.6</v>
      </c>
      <c r="M1330">
        <v>3</v>
      </c>
      <c r="N1330" t="s">
        <v>29</v>
      </c>
      <c r="O1330">
        <v>11</v>
      </c>
      <c r="P1330" t="s">
        <v>43</v>
      </c>
      <c r="Q1330">
        <v>61.6</v>
      </c>
    </row>
    <row r="1331" spans="1:17" x14ac:dyDescent="0.35">
      <c r="A1331" s="1">
        <v>45823</v>
      </c>
      <c r="B1331" t="s">
        <v>40</v>
      </c>
      <c r="C1331" t="s">
        <v>41</v>
      </c>
      <c r="D1331" t="s">
        <v>42</v>
      </c>
      <c r="E1331" t="s">
        <v>27</v>
      </c>
      <c r="F1331">
        <v>639.05999999999995</v>
      </c>
      <c r="G1331">
        <v>58.2</v>
      </c>
      <c r="H1331">
        <v>93.36</v>
      </c>
      <c r="I1331">
        <v>98.04</v>
      </c>
      <c r="J1331">
        <v>82.94</v>
      </c>
      <c r="K1331" t="s">
        <v>47</v>
      </c>
      <c r="L1331">
        <v>9.1999999999999993</v>
      </c>
      <c r="M1331">
        <v>2</v>
      </c>
      <c r="N1331" t="s">
        <v>29</v>
      </c>
      <c r="O1331">
        <v>15</v>
      </c>
      <c r="P1331" t="s">
        <v>43</v>
      </c>
      <c r="Q1331">
        <v>64.2</v>
      </c>
    </row>
    <row r="1332" spans="1:17" x14ac:dyDescent="0.35">
      <c r="A1332" s="1">
        <v>45823</v>
      </c>
      <c r="B1332" t="s">
        <v>36</v>
      </c>
      <c r="C1332" t="s">
        <v>37</v>
      </c>
      <c r="D1332" t="s">
        <v>38</v>
      </c>
      <c r="E1332" t="s">
        <v>27</v>
      </c>
      <c r="F1332">
        <v>231.92</v>
      </c>
      <c r="G1332">
        <v>23.8</v>
      </c>
      <c r="H1332">
        <v>92.13</v>
      </c>
      <c r="I1332">
        <v>93.62</v>
      </c>
      <c r="J1332">
        <v>80</v>
      </c>
      <c r="K1332" t="s">
        <v>28</v>
      </c>
      <c r="L1332">
        <v>7.4</v>
      </c>
      <c r="M1332">
        <v>3.9</v>
      </c>
      <c r="N1332" t="s">
        <v>29</v>
      </c>
      <c r="O1332">
        <v>8</v>
      </c>
      <c r="P1332" t="s">
        <v>23</v>
      </c>
      <c r="Q1332">
        <v>57.8</v>
      </c>
    </row>
    <row r="1333" spans="1:17" x14ac:dyDescent="0.35">
      <c r="A1333" s="1">
        <v>45823</v>
      </c>
      <c r="B1333" t="s">
        <v>48</v>
      </c>
      <c r="C1333" t="s">
        <v>49</v>
      </c>
      <c r="D1333" t="s">
        <v>50</v>
      </c>
      <c r="E1333" t="s">
        <v>33</v>
      </c>
      <c r="F1333">
        <v>246.19</v>
      </c>
      <c r="G1333">
        <v>201.9</v>
      </c>
      <c r="H1333">
        <v>97.37</v>
      </c>
      <c r="I1333">
        <v>95.7</v>
      </c>
      <c r="J1333">
        <v>71.150000000000006</v>
      </c>
      <c r="K1333" t="s">
        <v>28</v>
      </c>
      <c r="L1333">
        <v>7.8</v>
      </c>
      <c r="M1333">
        <v>1.7</v>
      </c>
      <c r="N1333" t="s">
        <v>22</v>
      </c>
      <c r="O1333">
        <v>6</v>
      </c>
      <c r="P1333" t="s">
        <v>43</v>
      </c>
      <c r="Q1333">
        <v>62.6</v>
      </c>
    </row>
    <row r="1334" spans="1:17" x14ac:dyDescent="0.35">
      <c r="A1334" s="1">
        <v>45823</v>
      </c>
      <c r="B1334" t="s">
        <v>40</v>
      </c>
      <c r="C1334" t="s">
        <v>41</v>
      </c>
      <c r="D1334" t="s">
        <v>42</v>
      </c>
      <c r="E1334" t="s">
        <v>27</v>
      </c>
      <c r="F1334">
        <v>645.33000000000004</v>
      </c>
      <c r="G1334">
        <v>40.799999999999997</v>
      </c>
      <c r="H1334">
        <v>96.54</v>
      </c>
      <c r="I1334">
        <v>96.79</v>
      </c>
      <c r="J1334">
        <v>78.2</v>
      </c>
      <c r="K1334" t="s">
        <v>47</v>
      </c>
      <c r="L1334">
        <v>8.1</v>
      </c>
      <c r="M1334">
        <v>3.2</v>
      </c>
      <c r="N1334" t="s">
        <v>29</v>
      </c>
      <c r="O1334">
        <v>12</v>
      </c>
      <c r="P1334" t="s">
        <v>43</v>
      </c>
      <c r="Q1334">
        <v>60.8</v>
      </c>
    </row>
    <row r="1335" spans="1:17" x14ac:dyDescent="0.35">
      <c r="A1335" s="1">
        <v>45823</v>
      </c>
      <c r="B1335" t="s">
        <v>59</v>
      </c>
      <c r="C1335" t="s">
        <v>60</v>
      </c>
      <c r="D1335" t="s">
        <v>61</v>
      </c>
      <c r="E1335" t="s">
        <v>62</v>
      </c>
      <c r="F1335">
        <v>321.19</v>
      </c>
      <c r="G1335">
        <v>185.1</v>
      </c>
      <c r="H1335">
        <v>90.2</v>
      </c>
      <c r="I1335">
        <v>93.19</v>
      </c>
      <c r="J1335">
        <v>91.18</v>
      </c>
      <c r="K1335" t="s">
        <v>63</v>
      </c>
      <c r="L1335">
        <v>8.3000000000000007</v>
      </c>
      <c r="N1335" t="s">
        <v>35</v>
      </c>
      <c r="O1335">
        <v>5</v>
      </c>
      <c r="P1335" t="s">
        <v>23</v>
      </c>
      <c r="Q1335">
        <v>75.5</v>
      </c>
    </row>
    <row r="1336" spans="1:17" x14ac:dyDescent="0.35">
      <c r="A1336" s="1">
        <v>45823</v>
      </c>
      <c r="B1336" t="s">
        <v>31</v>
      </c>
      <c r="C1336" t="s">
        <v>18</v>
      </c>
      <c r="D1336" t="s">
        <v>32</v>
      </c>
      <c r="E1336" t="s">
        <v>33</v>
      </c>
      <c r="F1336">
        <v>306.89999999999998</v>
      </c>
      <c r="G1336">
        <v>115.7</v>
      </c>
      <c r="H1336">
        <v>92.95</v>
      </c>
      <c r="I1336">
        <v>93.88</v>
      </c>
      <c r="J1336">
        <v>75.849999999999994</v>
      </c>
      <c r="K1336" t="s">
        <v>28</v>
      </c>
      <c r="L1336">
        <v>7.9</v>
      </c>
      <c r="M1336">
        <v>4.3</v>
      </c>
      <c r="N1336" t="s">
        <v>22</v>
      </c>
      <c r="O1336">
        <v>8</v>
      </c>
      <c r="P1336" t="s">
        <v>23</v>
      </c>
      <c r="Q1336">
        <v>59.7</v>
      </c>
    </row>
    <row r="1337" spans="1:17" x14ac:dyDescent="0.35">
      <c r="A1337" s="1">
        <v>45823</v>
      </c>
      <c r="B1337" t="s">
        <v>59</v>
      </c>
      <c r="C1337" t="s">
        <v>60</v>
      </c>
      <c r="D1337" t="s">
        <v>61</v>
      </c>
      <c r="E1337" t="s">
        <v>62</v>
      </c>
      <c r="F1337">
        <v>394.9</v>
      </c>
      <c r="G1337">
        <v>190.1</v>
      </c>
      <c r="H1337">
        <v>88.56</v>
      </c>
      <c r="I1337">
        <v>96.52</v>
      </c>
      <c r="J1337">
        <v>91.05</v>
      </c>
      <c r="K1337" t="s">
        <v>34</v>
      </c>
      <c r="L1337">
        <v>8.1999999999999993</v>
      </c>
      <c r="N1337" t="s">
        <v>35</v>
      </c>
      <c r="O1337">
        <v>6</v>
      </c>
      <c r="P1337" t="s">
        <v>23</v>
      </c>
      <c r="Q1337">
        <v>75.599999999999994</v>
      </c>
    </row>
    <row r="1338" spans="1:17" x14ac:dyDescent="0.35">
      <c r="A1338" s="1">
        <v>45823</v>
      </c>
      <c r="B1338" t="s">
        <v>78</v>
      </c>
      <c r="C1338" t="s">
        <v>41</v>
      </c>
      <c r="D1338" t="s">
        <v>79</v>
      </c>
      <c r="E1338" t="s">
        <v>27</v>
      </c>
      <c r="F1338">
        <v>630</v>
      </c>
      <c r="G1338">
        <v>55.5</v>
      </c>
      <c r="H1338">
        <v>92.03</v>
      </c>
      <c r="I1338">
        <v>97.12</v>
      </c>
      <c r="J1338">
        <v>78.14</v>
      </c>
      <c r="K1338" t="s">
        <v>47</v>
      </c>
      <c r="L1338">
        <v>8.1999999999999993</v>
      </c>
      <c r="M1338">
        <v>2.2000000000000002</v>
      </c>
      <c r="N1338" t="s">
        <v>29</v>
      </c>
      <c r="O1338">
        <v>12</v>
      </c>
      <c r="P1338" t="s">
        <v>43</v>
      </c>
      <c r="Q1338">
        <v>61.2</v>
      </c>
    </row>
    <row r="1339" spans="1:17" x14ac:dyDescent="0.35">
      <c r="A1339" s="1">
        <v>45823</v>
      </c>
      <c r="B1339" t="s">
        <v>93</v>
      </c>
      <c r="C1339" t="s">
        <v>37</v>
      </c>
      <c r="D1339" t="s">
        <v>94</v>
      </c>
      <c r="E1339" t="s">
        <v>33</v>
      </c>
      <c r="F1339">
        <v>393.38</v>
      </c>
      <c r="G1339">
        <v>178.8</v>
      </c>
      <c r="H1339">
        <v>93.41</v>
      </c>
      <c r="I1339">
        <v>96.68</v>
      </c>
      <c r="J1339">
        <v>77.400000000000006</v>
      </c>
      <c r="K1339" t="s">
        <v>28</v>
      </c>
      <c r="L1339">
        <v>8.3000000000000007</v>
      </c>
      <c r="M1339">
        <v>2.6</v>
      </c>
      <c r="N1339" t="s">
        <v>22</v>
      </c>
      <c r="O1339">
        <v>6</v>
      </c>
      <c r="P1339" t="s">
        <v>23</v>
      </c>
      <c r="Q1339">
        <v>63.3</v>
      </c>
    </row>
    <row r="1340" spans="1:17" x14ac:dyDescent="0.35">
      <c r="A1340" s="1">
        <v>45823</v>
      </c>
      <c r="B1340" t="s">
        <v>84</v>
      </c>
      <c r="C1340" t="s">
        <v>18</v>
      </c>
      <c r="D1340" t="s">
        <v>85</v>
      </c>
      <c r="E1340" t="s">
        <v>33</v>
      </c>
      <c r="F1340">
        <v>129.75</v>
      </c>
      <c r="G1340">
        <v>173.2</v>
      </c>
      <c r="H1340">
        <v>95.78</v>
      </c>
      <c r="I1340">
        <v>94.53</v>
      </c>
      <c r="J1340">
        <v>73.09</v>
      </c>
      <c r="K1340" t="s">
        <v>47</v>
      </c>
      <c r="L1340">
        <v>7.9</v>
      </c>
      <c r="M1340">
        <v>3.9</v>
      </c>
      <c r="N1340" t="s">
        <v>22</v>
      </c>
      <c r="O1340">
        <v>10</v>
      </c>
      <c r="P1340" t="s">
        <v>23</v>
      </c>
      <c r="Q1340">
        <v>61.1</v>
      </c>
    </row>
    <row r="1341" spans="1:17" x14ac:dyDescent="0.35">
      <c r="A1341" s="1">
        <v>45823</v>
      </c>
      <c r="B1341" t="s">
        <v>36</v>
      </c>
      <c r="C1341" t="s">
        <v>37</v>
      </c>
      <c r="D1341" t="s">
        <v>38</v>
      </c>
      <c r="E1341" t="s">
        <v>27</v>
      </c>
      <c r="F1341">
        <v>341.43</v>
      </c>
      <c r="G1341">
        <v>35.799999999999997</v>
      </c>
      <c r="H1341">
        <v>97.77</v>
      </c>
      <c r="I1341">
        <v>95.56</v>
      </c>
      <c r="J1341">
        <v>78.05</v>
      </c>
      <c r="K1341" t="s">
        <v>47</v>
      </c>
      <c r="L1341">
        <v>7.2</v>
      </c>
      <c r="M1341">
        <v>3.4</v>
      </c>
      <c r="N1341" t="s">
        <v>29</v>
      </c>
      <c r="O1341">
        <v>15</v>
      </c>
      <c r="P1341" t="s">
        <v>23</v>
      </c>
      <c r="Q1341">
        <v>59</v>
      </c>
    </row>
    <row r="1342" spans="1:17" x14ac:dyDescent="0.35">
      <c r="A1342" s="1">
        <v>45823</v>
      </c>
      <c r="B1342" t="s">
        <v>93</v>
      </c>
      <c r="C1342" t="s">
        <v>37</v>
      </c>
      <c r="D1342" t="s">
        <v>94</v>
      </c>
      <c r="E1342" t="s">
        <v>27</v>
      </c>
      <c r="F1342">
        <v>319.14</v>
      </c>
      <c r="G1342">
        <v>70.7</v>
      </c>
      <c r="H1342">
        <v>95.47</v>
      </c>
      <c r="I1342">
        <v>95.84</v>
      </c>
      <c r="J1342">
        <v>81.63</v>
      </c>
      <c r="K1342" t="s">
        <v>47</v>
      </c>
      <c r="L1342">
        <v>8.1999999999999993</v>
      </c>
      <c r="M1342">
        <v>1.7</v>
      </c>
      <c r="N1342" t="s">
        <v>29</v>
      </c>
      <c r="O1342">
        <v>10</v>
      </c>
      <c r="P1342" t="s">
        <v>23</v>
      </c>
      <c r="Q1342">
        <v>62.8</v>
      </c>
    </row>
    <row r="1343" spans="1:17" x14ac:dyDescent="0.35">
      <c r="A1343" s="1">
        <v>45823</v>
      </c>
      <c r="B1343" t="s">
        <v>76</v>
      </c>
      <c r="C1343" t="s">
        <v>45</v>
      </c>
      <c r="D1343" t="s">
        <v>77</v>
      </c>
      <c r="E1343" t="s">
        <v>33</v>
      </c>
      <c r="F1343">
        <v>471.46</v>
      </c>
      <c r="G1343">
        <v>268.2</v>
      </c>
      <c r="H1343">
        <v>92.06</v>
      </c>
      <c r="I1343">
        <v>98.79</v>
      </c>
      <c r="J1343">
        <v>73.12</v>
      </c>
      <c r="K1343" t="s">
        <v>34</v>
      </c>
      <c r="L1343">
        <v>8</v>
      </c>
      <c r="M1343">
        <v>4.0999999999999996</v>
      </c>
      <c r="N1343" t="s">
        <v>35</v>
      </c>
      <c r="O1343">
        <v>10</v>
      </c>
      <c r="P1343" t="s">
        <v>23</v>
      </c>
      <c r="Q1343">
        <v>61.3</v>
      </c>
    </row>
    <row r="1344" spans="1:17" x14ac:dyDescent="0.35">
      <c r="A1344" s="1">
        <v>45823</v>
      </c>
      <c r="B1344" t="s">
        <v>69</v>
      </c>
      <c r="C1344" t="s">
        <v>18</v>
      </c>
      <c r="D1344" t="s">
        <v>70</v>
      </c>
      <c r="E1344" t="s">
        <v>20</v>
      </c>
      <c r="F1344">
        <v>106.85</v>
      </c>
      <c r="G1344">
        <v>230.7</v>
      </c>
      <c r="H1344">
        <v>89.08</v>
      </c>
      <c r="I1344">
        <v>95.85</v>
      </c>
      <c r="J1344">
        <v>74.47</v>
      </c>
      <c r="K1344" t="s">
        <v>21</v>
      </c>
      <c r="L1344">
        <v>7.2</v>
      </c>
      <c r="N1344" t="s">
        <v>22</v>
      </c>
      <c r="O1344">
        <v>8</v>
      </c>
      <c r="P1344" t="s">
        <v>23</v>
      </c>
      <c r="Q1344">
        <v>70.3</v>
      </c>
    </row>
    <row r="1345" spans="1:17" x14ac:dyDescent="0.35">
      <c r="A1345" s="1">
        <v>45823</v>
      </c>
      <c r="B1345" t="s">
        <v>24</v>
      </c>
      <c r="C1345" t="s">
        <v>25</v>
      </c>
      <c r="D1345" t="s">
        <v>26</v>
      </c>
      <c r="E1345" t="s">
        <v>27</v>
      </c>
      <c r="F1345">
        <v>250.65</v>
      </c>
      <c r="G1345">
        <v>30.1</v>
      </c>
      <c r="H1345">
        <v>92.94</v>
      </c>
      <c r="I1345">
        <v>96.77</v>
      </c>
      <c r="J1345">
        <v>84.37</v>
      </c>
      <c r="K1345" t="s">
        <v>47</v>
      </c>
      <c r="L1345">
        <v>7.7</v>
      </c>
      <c r="M1345">
        <v>4.9000000000000004</v>
      </c>
      <c r="N1345" t="s">
        <v>29</v>
      </c>
      <c r="O1345">
        <v>15</v>
      </c>
      <c r="P1345" t="s">
        <v>30</v>
      </c>
      <c r="Q1345">
        <v>59.2</v>
      </c>
    </row>
    <row r="1346" spans="1:17" x14ac:dyDescent="0.35">
      <c r="A1346" s="1">
        <v>45823</v>
      </c>
      <c r="B1346" t="s">
        <v>95</v>
      </c>
      <c r="C1346" t="s">
        <v>49</v>
      </c>
      <c r="D1346" t="s">
        <v>96</v>
      </c>
      <c r="E1346" t="s">
        <v>27</v>
      </c>
      <c r="F1346">
        <v>303.38</v>
      </c>
      <c r="G1346">
        <v>63.7</v>
      </c>
      <c r="H1346">
        <v>95.7</v>
      </c>
      <c r="I1346">
        <v>96.25</v>
      </c>
      <c r="J1346">
        <v>82.06</v>
      </c>
      <c r="K1346" t="s">
        <v>34</v>
      </c>
      <c r="L1346">
        <v>8.4</v>
      </c>
      <c r="M1346">
        <v>3.6</v>
      </c>
      <c r="N1346" t="s">
        <v>39</v>
      </c>
      <c r="O1346">
        <v>13</v>
      </c>
      <c r="P1346" t="s">
        <v>43</v>
      </c>
      <c r="Q1346">
        <v>61.9</v>
      </c>
    </row>
    <row r="1347" spans="1:17" x14ac:dyDescent="0.35">
      <c r="A1347" s="1">
        <v>45823</v>
      </c>
      <c r="B1347" t="s">
        <v>36</v>
      </c>
      <c r="C1347" t="s">
        <v>37</v>
      </c>
      <c r="D1347" t="s">
        <v>38</v>
      </c>
      <c r="E1347" t="s">
        <v>27</v>
      </c>
      <c r="F1347">
        <v>228.31</v>
      </c>
      <c r="G1347">
        <v>30.5</v>
      </c>
      <c r="H1347">
        <v>92.46</v>
      </c>
      <c r="I1347">
        <v>95.42</v>
      </c>
      <c r="J1347">
        <v>81.14</v>
      </c>
      <c r="K1347" t="s">
        <v>28</v>
      </c>
      <c r="L1347">
        <v>7.6</v>
      </c>
      <c r="M1347">
        <v>4.2</v>
      </c>
      <c r="N1347" t="s">
        <v>29</v>
      </c>
      <c r="O1347">
        <v>12</v>
      </c>
      <c r="P1347" t="s">
        <v>23</v>
      </c>
      <c r="Q1347">
        <v>58.6</v>
      </c>
    </row>
    <row r="1348" spans="1:17" x14ac:dyDescent="0.35">
      <c r="A1348" s="1">
        <v>45823</v>
      </c>
      <c r="B1348" t="s">
        <v>93</v>
      </c>
      <c r="C1348" t="s">
        <v>37</v>
      </c>
      <c r="D1348" t="s">
        <v>94</v>
      </c>
      <c r="E1348" t="s">
        <v>33</v>
      </c>
      <c r="F1348">
        <v>285.37</v>
      </c>
      <c r="G1348">
        <v>165.4</v>
      </c>
      <c r="H1348">
        <v>96.8</v>
      </c>
      <c r="I1348">
        <v>94.15</v>
      </c>
      <c r="J1348">
        <v>78.84</v>
      </c>
      <c r="K1348" t="s">
        <v>47</v>
      </c>
      <c r="L1348">
        <v>7.8</v>
      </c>
      <c r="M1348">
        <v>2.1</v>
      </c>
      <c r="N1348" t="s">
        <v>35</v>
      </c>
      <c r="O1348">
        <v>10</v>
      </c>
      <c r="P1348" t="s">
        <v>23</v>
      </c>
      <c r="Q1348">
        <v>63.2</v>
      </c>
    </row>
    <row r="1349" spans="1:17" x14ac:dyDescent="0.35">
      <c r="A1349" s="1">
        <v>45823</v>
      </c>
      <c r="B1349" t="s">
        <v>91</v>
      </c>
      <c r="C1349" t="s">
        <v>67</v>
      </c>
      <c r="D1349" t="s">
        <v>92</v>
      </c>
      <c r="E1349" t="s">
        <v>27</v>
      </c>
      <c r="F1349">
        <v>790.13</v>
      </c>
      <c r="G1349">
        <v>65.3</v>
      </c>
      <c r="H1349">
        <v>93.05</v>
      </c>
      <c r="I1349">
        <v>96.64</v>
      </c>
      <c r="J1349">
        <v>78.489999999999995</v>
      </c>
      <c r="K1349" t="s">
        <v>34</v>
      </c>
      <c r="L1349">
        <v>8.6</v>
      </c>
      <c r="M1349">
        <v>3</v>
      </c>
      <c r="N1349" t="s">
        <v>39</v>
      </c>
      <c r="O1349">
        <v>12</v>
      </c>
      <c r="P1349" t="s">
        <v>43</v>
      </c>
      <c r="Q1349">
        <v>61.7</v>
      </c>
    </row>
    <row r="1350" spans="1:17" x14ac:dyDescent="0.35">
      <c r="A1350" s="1">
        <v>45823</v>
      </c>
      <c r="B1350" t="s">
        <v>82</v>
      </c>
      <c r="C1350" t="s">
        <v>72</v>
      </c>
      <c r="D1350" t="s">
        <v>83</v>
      </c>
      <c r="E1350" t="s">
        <v>20</v>
      </c>
      <c r="F1350">
        <v>292.64</v>
      </c>
      <c r="G1350">
        <v>86.3</v>
      </c>
      <c r="H1350">
        <v>88.67</v>
      </c>
      <c r="I1350">
        <v>93.53</v>
      </c>
      <c r="J1350">
        <v>78.2</v>
      </c>
      <c r="K1350" t="s">
        <v>58</v>
      </c>
      <c r="L1350">
        <v>7.9</v>
      </c>
      <c r="N1350" t="s">
        <v>35</v>
      </c>
      <c r="O1350">
        <v>10</v>
      </c>
      <c r="P1350" t="s">
        <v>43</v>
      </c>
      <c r="Q1350">
        <v>69.900000000000006</v>
      </c>
    </row>
    <row r="1351" spans="1:17" x14ac:dyDescent="0.35">
      <c r="A1351" s="1">
        <v>45823</v>
      </c>
      <c r="B1351" t="s">
        <v>24</v>
      </c>
      <c r="C1351" t="s">
        <v>25</v>
      </c>
      <c r="D1351" t="s">
        <v>26</v>
      </c>
      <c r="E1351" t="s">
        <v>27</v>
      </c>
      <c r="F1351">
        <v>809.95</v>
      </c>
      <c r="G1351">
        <v>70.400000000000006</v>
      </c>
      <c r="H1351">
        <v>92.47</v>
      </c>
      <c r="I1351">
        <v>97.43</v>
      </c>
      <c r="J1351">
        <v>77.180000000000007</v>
      </c>
      <c r="K1351" t="s">
        <v>47</v>
      </c>
      <c r="L1351">
        <v>8.4</v>
      </c>
      <c r="M1351">
        <v>2.8</v>
      </c>
      <c r="N1351" t="s">
        <v>29</v>
      </c>
      <c r="O1351">
        <v>12</v>
      </c>
      <c r="P1351" t="s">
        <v>30</v>
      </c>
      <c r="Q1351">
        <v>61.4</v>
      </c>
    </row>
    <row r="1352" spans="1:17" x14ac:dyDescent="0.35">
      <c r="A1352" s="1">
        <v>45823</v>
      </c>
      <c r="B1352" t="s">
        <v>89</v>
      </c>
      <c r="C1352" t="s">
        <v>67</v>
      </c>
      <c r="D1352" t="s">
        <v>90</v>
      </c>
      <c r="E1352" t="s">
        <v>27</v>
      </c>
      <c r="F1352">
        <v>357.25</v>
      </c>
      <c r="G1352">
        <v>21.3</v>
      </c>
      <c r="H1352">
        <v>97.98</v>
      </c>
      <c r="I1352">
        <v>93.85</v>
      </c>
      <c r="J1352">
        <v>81.569999999999993</v>
      </c>
      <c r="K1352" t="s">
        <v>28</v>
      </c>
      <c r="L1352">
        <v>8.1999999999999993</v>
      </c>
      <c r="M1352">
        <v>3.9</v>
      </c>
      <c r="N1352" t="s">
        <v>29</v>
      </c>
      <c r="O1352">
        <v>10</v>
      </c>
      <c r="P1352" t="s">
        <v>43</v>
      </c>
      <c r="Q1352">
        <v>60.4</v>
      </c>
    </row>
    <row r="1353" spans="1:17" x14ac:dyDescent="0.35">
      <c r="A1353" s="1">
        <v>45823</v>
      </c>
      <c r="B1353" t="s">
        <v>89</v>
      </c>
      <c r="C1353" t="s">
        <v>67</v>
      </c>
      <c r="D1353" t="s">
        <v>90</v>
      </c>
      <c r="E1353" t="s">
        <v>27</v>
      </c>
      <c r="F1353">
        <v>259.36</v>
      </c>
      <c r="G1353">
        <v>34.799999999999997</v>
      </c>
      <c r="H1353">
        <v>95.12</v>
      </c>
      <c r="I1353">
        <v>93.93</v>
      </c>
      <c r="J1353">
        <v>75.92</v>
      </c>
      <c r="K1353" t="s">
        <v>47</v>
      </c>
      <c r="L1353">
        <v>7.9</v>
      </c>
      <c r="M1353">
        <v>4.2</v>
      </c>
      <c r="N1353" t="s">
        <v>39</v>
      </c>
      <c r="O1353">
        <v>10</v>
      </c>
      <c r="P1353" t="s">
        <v>23</v>
      </c>
      <c r="Q1353">
        <v>58.6</v>
      </c>
    </row>
    <row r="1354" spans="1:17" x14ac:dyDescent="0.35">
      <c r="A1354" s="1">
        <v>45823</v>
      </c>
      <c r="B1354" t="s">
        <v>101</v>
      </c>
      <c r="C1354" t="s">
        <v>45</v>
      </c>
      <c r="D1354" t="s">
        <v>102</v>
      </c>
      <c r="E1354" t="s">
        <v>27</v>
      </c>
      <c r="F1354">
        <v>647.4</v>
      </c>
      <c r="G1354">
        <v>1145.8</v>
      </c>
      <c r="H1354">
        <v>92.71</v>
      </c>
      <c r="I1354">
        <v>98.01</v>
      </c>
      <c r="J1354">
        <v>83.18</v>
      </c>
      <c r="K1354" t="s">
        <v>47</v>
      </c>
      <c r="L1354">
        <v>8.9</v>
      </c>
      <c r="M1354">
        <v>4.9000000000000004</v>
      </c>
      <c r="N1354" t="s">
        <v>29</v>
      </c>
      <c r="O1354">
        <v>11</v>
      </c>
      <c r="P1354" t="s">
        <v>23</v>
      </c>
      <c r="Q1354">
        <v>63.9</v>
      </c>
    </row>
    <row r="1355" spans="1:17" x14ac:dyDescent="0.35">
      <c r="A1355" s="1">
        <v>45823</v>
      </c>
      <c r="B1355" t="s">
        <v>95</v>
      </c>
      <c r="C1355" t="s">
        <v>49</v>
      </c>
      <c r="D1355" t="s">
        <v>96</v>
      </c>
      <c r="E1355" t="s">
        <v>27</v>
      </c>
      <c r="F1355">
        <v>405.84</v>
      </c>
      <c r="G1355">
        <v>37.4</v>
      </c>
      <c r="H1355">
        <v>92.92</v>
      </c>
      <c r="I1355">
        <v>95.43</v>
      </c>
      <c r="J1355">
        <v>80.430000000000007</v>
      </c>
      <c r="K1355" t="s">
        <v>47</v>
      </c>
      <c r="L1355">
        <v>8.6</v>
      </c>
      <c r="M1355">
        <v>4</v>
      </c>
      <c r="N1355" t="s">
        <v>29</v>
      </c>
      <c r="O1355">
        <v>14</v>
      </c>
      <c r="P1355" t="s">
        <v>23</v>
      </c>
      <c r="Q1355">
        <v>60.5</v>
      </c>
    </row>
    <row r="1356" spans="1:17" x14ac:dyDescent="0.35">
      <c r="A1356" s="1">
        <v>45823</v>
      </c>
      <c r="B1356" t="s">
        <v>84</v>
      </c>
      <c r="C1356" t="s">
        <v>18</v>
      </c>
      <c r="D1356" t="s">
        <v>85</v>
      </c>
      <c r="E1356" t="s">
        <v>33</v>
      </c>
      <c r="F1356">
        <v>82.88</v>
      </c>
      <c r="G1356">
        <v>92.3</v>
      </c>
      <c r="H1356">
        <v>93.58</v>
      </c>
      <c r="I1356">
        <v>95.22</v>
      </c>
      <c r="J1356">
        <v>79.3</v>
      </c>
      <c r="K1356" t="s">
        <v>28</v>
      </c>
      <c r="L1356">
        <v>6.2</v>
      </c>
      <c r="M1356">
        <v>4.5</v>
      </c>
      <c r="N1356" t="s">
        <v>22</v>
      </c>
      <c r="O1356">
        <v>5</v>
      </c>
      <c r="P1356" t="s">
        <v>23</v>
      </c>
      <c r="Q1356">
        <v>57.2</v>
      </c>
    </row>
    <row r="1357" spans="1:17" x14ac:dyDescent="0.35">
      <c r="A1357" s="1">
        <v>45823</v>
      </c>
      <c r="B1357" t="s">
        <v>80</v>
      </c>
      <c r="C1357" t="s">
        <v>45</v>
      </c>
      <c r="D1357" t="s">
        <v>81</v>
      </c>
      <c r="E1357" t="s">
        <v>33</v>
      </c>
      <c r="F1357">
        <v>586.04</v>
      </c>
      <c r="G1357">
        <v>619</v>
      </c>
      <c r="H1357">
        <v>95.78</v>
      </c>
      <c r="I1357">
        <v>99.14</v>
      </c>
      <c r="J1357">
        <v>72.489999999999995</v>
      </c>
      <c r="K1357" t="s">
        <v>28</v>
      </c>
      <c r="L1357">
        <v>8.4</v>
      </c>
      <c r="M1357">
        <v>2.4</v>
      </c>
      <c r="N1357" t="s">
        <v>22</v>
      </c>
      <c r="O1357">
        <v>9</v>
      </c>
      <c r="P1357" t="s">
        <v>23</v>
      </c>
      <c r="Q1357">
        <v>63.6</v>
      </c>
    </row>
    <row r="1358" spans="1:17" x14ac:dyDescent="0.35">
      <c r="A1358" s="1">
        <v>45823</v>
      </c>
      <c r="B1358" t="s">
        <v>89</v>
      </c>
      <c r="C1358" t="s">
        <v>67</v>
      </c>
      <c r="D1358" t="s">
        <v>90</v>
      </c>
      <c r="E1358" t="s">
        <v>27</v>
      </c>
      <c r="F1358">
        <v>351.3</v>
      </c>
      <c r="G1358">
        <v>20.8</v>
      </c>
      <c r="H1358">
        <v>96</v>
      </c>
      <c r="I1358">
        <v>96.89</v>
      </c>
      <c r="J1358">
        <v>77.36</v>
      </c>
      <c r="K1358" t="s">
        <v>34</v>
      </c>
      <c r="L1358">
        <v>7.5</v>
      </c>
      <c r="M1358">
        <v>2.1</v>
      </c>
      <c r="N1358" t="s">
        <v>29</v>
      </c>
      <c r="O1358">
        <v>9</v>
      </c>
      <c r="P1358" t="s">
        <v>23</v>
      </c>
      <c r="Q1358">
        <v>59.9</v>
      </c>
    </row>
    <row r="1359" spans="1:17" x14ac:dyDescent="0.35">
      <c r="A1359" s="1">
        <v>45823</v>
      </c>
      <c r="B1359" t="s">
        <v>36</v>
      </c>
      <c r="C1359" t="s">
        <v>37</v>
      </c>
      <c r="D1359" t="s">
        <v>38</v>
      </c>
      <c r="E1359" t="s">
        <v>33</v>
      </c>
      <c r="F1359">
        <v>395.86</v>
      </c>
      <c r="G1359">
        <v>186.8</v>
      </c>
      <c r="H1359">
        <v>92.59</v>
      </c>
      <c r="I1359">
        <v>95.32</v>
      </c>
      <c r="J1359">
        <v>74.180000000000007</v>
      </c>
      <c r="K1359" t="s">
        <v>34</v>
      </c>
      <c r="L1359">
        <v>7.6</v>
      </c>
      <c r="M1359">
        <v>3.7</v>
      </c>
      <c r="N1359" t="s">
        <v>35</v>
      </c>
      <c r="O1359">
        <v>6</v>
      </c>
      <c r="P1359" t="s">
        <v>23</v>
      </c>
      <c r="Q1359">
        <v>60.5</v>
      </c>
    </row>
    <row r="1360" spans="1:17" x14ac:dyDescent="0.35">
      <c r="A1360" s="1">
        <v>45823</v>
      </c>
      <c r="B1360" t="s">
        <v>71</v>
      </c>
      <c r="C1360" t="s">
        <v>72</v>
      </c>
      <c r="D1360" t="s">
        <v>73</v>
      </c>
      <c r="E1360" t="s">
        <v>27</v>
      </c>
      <c r="F1360">
        <v>195.55</v>
      </c>
      <c r="G1360">
        <v>35.700000000000003</v>
      </c>
      <c r="H1360">
        <v>97.47</v>
      </c>
      <c r="I1360">
        <v>96.66</v>
      </c>
      <c r="J1360">
        <v>80.03</v>
      </c>
      <c r="K1360" t="s">
        <v>47</v>
      </c>
      <c r="L1360">
        <v>7.2</v>
      </c>
      <c r="M1360">
        <v>1.6</v>
      </c>
      <c r="N1360" t="s">
        <v>29</v>
      </c>
      <c r="O1360">
        <v>15</v>
      </c>
      <c r="P1360" t="s">
        <v>23</v>
      </c>
      <c r="Q1360">
        <v>60.7</v>
      </c>
    </row>
    <row r="1361" spans="1:17" x14ac:dyDescent="0.35">
      <c r="A1361" s="1">
        <v>45823</v>
      </c>
      <c r="B1361" t="s">
        <v>36</v>
      </c>
      <c r="C1361" t="s">
        <v>37</v>
      </c>
      <c r="D1361" t="s">
        <v>38</v>
      </c>
      <c r="E1361" t="s">
        <v>33</v>
      </c>
      <c r="F1361">
        <v>216.51</v>
      </c>
      <c r="G1361">
        <v>126.5</v>
      </c>
      <c r="H1361">
        <v>96.64</v>
      </c>
      <c r="I1361">
        <v>95.03</v>
      </c>
      <c r="J1361">
        <v>77.92</v>
      </c>
      <c r="K1361" t="s">
        <v>34</v>
      </c>
      <c r="L1361">
        <v>7.8</v>
      </c>
      <c r="M1361">
        <v>2.5</v>
      </c>
      <c r="N1361" t="s">
        <v>22</v>
      </c>
      <c r="O1361">
        <v>6</v>
      </c>
      <c r="P1361" t="s">
        <v>23</v>
      </c>
      <c r="Q1361">
        <v>62.1</v>
      </c>
    </row>
    <row r="1362" spans="1:17" x14ac:dyDescent="0.35">
      <c r="A1362" s="1">
        <v>45823</v>
      </c>
      <c r="B1362" t="s">
        <v>89</v>
      </c>
      <c r="C1362" t="s">
        <v>67</v>
      </c>
      <c r="D1362" t="s">
        <v>90</v>
      </c>
      <c r="E1362" t="s">
        <v>27</v>
      </c>
      <c r="F1362">
        <v>428.97</v>
      </c>
      <c r="G1362">
        <v>59.4</v>
      </c>
      <c r="H1362">
        <v>94.65</v>
      </c>
      <c r="I1362">
        <v>94.87</v>
      </c>
      <c r="J1362">
        <v>81.06</v>
      </c>
      <c r="K1362" t="s">
        <v>47</v>
      </c>
      <c r="L1362">
        <v>8.1999999999999993</v>
      </c>
      <c r="M1362">
        <v>2.7</v>
      </c>
      <c r="N1362" t="s">
        <v>39</v>
      </c>
      <c r="O1362">
        <v>12</v>
      </c>
      <c r="P1362" t="s">
        <v>23</v>
      </c>
      <c r="Q1362">
        <v>61.5</v>
      </c>
    </row>
    <row r="1363" spans="1:17" x14ac:dyDescent="0.35">
      <c r="A1363" s="1">
        <v>45823</v>
      </c>
      <c r="B1363" t="s">
        <v>24</v>
      </c>
      <c r="C1363" t="s">
        <v>25</v>
      </c>
      <c r="D1363" t="s">
        <v>26</v>
      </c>
      <c r="E1363" t="s">
        <v>27</v>
      </c>
      <c r="F1363">
        <v>656.77</v>
      </c>
      <c r="G1363">
        <v>32.799999999999997</v>
      </c>
      <c r="H1363">
        <v>92.34</v>
      </c>
      <c r="I1363">
        <v>97.43</v>
      </c>
      <c r="J1363">
        <v>75.3</v>
      </c>
      <c r="K1363" t="s">
        <v>28</v>
      </c>
      <c r="L1363">
        <v>9.4</v>
      </c>
      <c r="M1363">
        <v>5</v>
      </c>
      <c r="N1363" t="s">
        <v>39</v>
      </c>
      <c r="O1363">
        <v>15</v>
      </c>
      <c r="P1363" t="s">
        <v>30</v>
      </c>
      <c r="Q1363">
        <v>60.5</v>
      </c>
    </row>
    <row r="1364" spans="1:17" x14ac:dyDescent="0.35">
      <c r="A1364" s="1">
        <v>45823</v>
      </c>
      <c r="B1364" t="s">
        <v>59</v>
      </c>
      <c r="C1364" t="s">
        <v>60</v>
      </c>
      <c r="D1364" t="s">
        <v>61</v>
      </c>
      <c r="E1364" t="s">
        <v>62</v>
      </c>
      <c r="F1364">
        <v>433.23</v>
      </c>
      <c r="G1364">
        <v>186.8</v>
      </c>
      <c r="H1364">
        <v>87.23</v>
      </c>
      <c r="I1364">
        <v>95.54</v>
      </c>
      <c r="J1364">
        <v>86.37</v>
      </c>
      <c r="K1364" t="s">
        <v>63</v>
      </c>
      <c r="L1364">
        <v>8.6999999999999993</v>
      </c>
      <c r="N1364" t="s">
        <v>35</v>
      </c>
      <c r="O1364">
        <v>6</v>
      </c>
      <c r="P1364" t="s">
        <v>43</v>
      </c>
      <c r="Q1364">
        <v>75.2</v>
      </c>
    </row>
    <row r="1365" spans="1:17" x14ac:dyDescent="0.35">
      <c r="A1365" s="1">
        <v>45823</v>
      </c>
      <c r="B1365" t="s">
        <v>93</v>
      </c>
      <c r="C1365" t="s">
        <v>37</v>
      </c>
      <c r="D1365" t="s">
        <v>94</v>
      </c>
      <c r="E1365" t="s">
        <v>27</v>
      </c>
      <c r="F1365">
        <v>267.14</v>
      </c>
      <c r="G1365">
        <v>42.7</v>
      </c>
      <c r="H1365">
        <v>92.67</v>
      </c>
      <c r="I1365">
        <v>95.2</v>
      </c>
      <c r="J1365">
        <v>77.959999999999994</v>
      </c>
      <c r="K1365" t="s">
        <v>34</v>
      </c>
      <c r="L1365">
        <v>7.5</v>
      </c>
      <c r="M1365">
        <v>3</v>
      </c>
      <c r="N1365" t="s">
        <v>39</v>
      </c>
      <c r="O1365">
        <v>9</v>
      </c>
      <c r="P1365" t="s">
        <v>23</v>
      </c>
      <c r="Q1365">
        <v>59</v>
      </c>
    </row>
    <row r="1366" spans="1:17" x14ac:dyDescent="0.35">
      <c r="A1366" s="1">
        <v>45823</v>
      </c>
      <c r="B1366" t="s">
        <v>55</v>
      </c>
      <c r="C1366" t="s">
        <v>56</v>
      </c>
      <c r="D1366">
        <v>4</v>
      </c>
      <c r="E1366" t="s">
        <v>57</v>
      </c>
      <c r="F1366">
        <v>30</v>
      </c>
      <c r="G1366">
        <v>166.7</v>
      </c>
      <c r="H1366">
        <v>88.47</v>
      </c>
      <c r="I1366">
        <v>94.99</v>
      </c>
      <c r="J1366">
        <v>79.239999999999995</v>
      </c>
      <c r="K1366" t="s">
        <v>21</v>
      </c>
      <c r="L1366">
        <v>6.5</v>
      </c>
      <c r="N1366" t="s">
        <v>35</v>
      </c>
      <c r="O1366">
        <v>2</v>
      </c>
      <c r="P1366" t="s">
        <v>23</v>
      </c>
      <c r="Q1366">
        <v>69.5</v>
      </c>
    </row>
    <row r="1367" spans="1:17" x14ac:dyDescent="0.35">
      <c r="A1367" s="1">
        <v>45823</v>
      </c>
      <c r="B1367" t="s">
        <v>55</v>
      </c>
      <c r="C1367" t="s">
        <v>56</v>
      </c>
      <c r="D1367">
        <v>4</v>
      </c>
      <c r="E1367" t="s">
        <v>57</v>
      </c>
      <c r="F1367">
        <v>30</v>
      </c>
      <c r="G1367">
        <v>138.4</v>
      </c>
      <c r="H1367">
        <v>91.28</v>
      </c>
      <c r="I1367">
        <v>93.57</v>
      </c>
      <c r="J1367">
        <v>70.25</v>
      </c>
      <c r="K1367" t="s">
        <v>21</v>
      </c>
      <c r="L1367">
        <v>6.9</v>
      </c>
      <c r="N1367" t="s">
        <v>35</v>
      </c>
      <c r="O1367">
        <v>5</v>
      </c>
      <c r="P1367" t="s">
        <v>43</v>
      </c>
      <c r="Q1367">
        <v>68.099999999999994</v>
      </c>
    </row>
    <row r="1368" spans="1:17" x14ac:dyDescent="0.35">
      <c r="A1368" s="1">
        <v>45823</v>
      </c>
      <c r="B1368" t="s">
        <v>93</v>
      </c>
      <c r="C1368" t="s">
        <v>37</v>
      </c>
      <c r="D1368" t="s">
        <v>94</v>
      </c>
      <c r="E1368" t="s">
        <v>27</v>
      </c>
      <c r="F1368">
        <v>308.07</v>
      </c>
      <c r="G1368">
        <v>19.8</v>
      </c>
      <c r="H1368">
        <v>95.76</v>
      </c>
      <c r="I1368">
        <v>96.81</v>
      </c>
      <c r="J1368">
        <v>80.069999999999993</v>
      </c>
      <c r="K1368" t="s">
        <v>34</v>
      </c>
      <c r="L1368">
        <v>7.8</v>
      </c>
      <c r="M1368">
        <v>3.4</v>
      </c>
      <c r="N1368" t="s">
        <v>39</v>
      </c>
      <c r="O1368">
        <v>9</v>
      </c>
      <c r="P1368" t="s">
        <v>23</v>
      </c>
      <c r="Q1368">
        <v>59.9</v>
      </c>
    </row>
    <row r="1369" spans="1:17" x14ac:dyDescent="0.35">
      <c r="A1369" s="1">
        <v>45823</v>
      </c>
      <c r="B1369" t="s">
        <v>84</v>
      </c>
      <c r="C1369" t="s">
        <v>18</v>
      </c>
      <c r="D1369" t="s">
        <v>85</v>
      </c>
      <c r="E1369" t="s">
        <v>33</v>
      </c>
      <c r="F1369">
        <v>243.71</v>
      </c>
      <c r="G1369">
        <v>137.19999999999999</v>
      </c>
      <c r="H1369">
        <v>94.72</v>
      </c>
      <c r="I1369">
        <v>93.37</v>
      </c>
      <c r="J1369">
        <v>77.010000000000005</v>
      </c>
      <c r="K1369" t="s">
        <v>47</v>
      </c>
      <c r="L1369">
        <v>7.4</v>
      </c>
      <c r="M1369">
        <v>2.2000000000000002</v>
      </c>
      <c r="N1369" t="s">
        <v>35</v>
      </c>
      <c r="O1369">
        <v>8</v>
      </c>
      <c r="P1369" t="s">
        <v>23</v>
      </c>
      <c r="Q1369">
        <v>61.1</v>
      </c>
    </row>
    <row r="1370" spans="1:17" x14ac:dyDescent="0.35">
      <c r="A1370" s="1">
        <v>45823</v>
      </c>
      <c r="B1370" t="s">
        <v>82</v>
      </c>
      <c r="C1370" t="s">
        <v>72</v>
      </c>
      <c r="D1370" t="s">
        <v>83</v>
      </c>
      <c r="E1370" t="s">
        <v>20</v>
      </c>
      <c r="F1370">
        <v>130.06</v>
      </c>
      <c r="G1370">
        <v>235.9</v>
      </c>
      <c r="H1370">
        <v>92.03</v>
      </c>
      <c r="I1370">
        <v>93.55</v>
      </c>
      <c r="J1370">
        <v>78.36</v>
      </c>
      <c r="K1370" t="s">
        <v>58</v>
      </c>
      <c r="L1370">
        <v>7.5</v>
      </c>
      <c r="N1370" t="s">
        <v>35</v>
      </c>
      <c r="O1370">
        <v>7</v>
      </c>
      <c r="P1370" t="s">
        <v>43</v>
      </c>
      <c r="Q1370">
        <v>71.8</v>
      </c>
    </row>
    <row r="1371" spans="1:17" x14ac:dyDescent="0.35">
      <c r="A1371" s="1">
        <v>45823</v>
      </c>
      <c r="B1371" t="s">
        <v>44</v>
      </c>
      <c r="C1371" t="s">
        <v>45</v>
      </c>
      <c r="D1371" t="s">
        <v>46</v>
      </c>
      <c r="E1371" t="s">
        <v>27</v>
      </c>
      <c r="F1371">
        <v>528.61</v>
      </c>
      <c r="G1371">
        <v>575.70000000000005</v>
      </c>
      <c r="H1371">
        <v>92.97</v>
      </c>
      <c r="I1371">
        <v>98.32</v>
      </c>
      <c r="J1371">
        <v>79.010000000000005</v>
      </c>
      <c r="K1371" t="s">
        <v>34</v>
      </c>
      <c r="L1371">
        <v>9.1999999999999993</v>
      </c>
      <c r="M1371">
        <v>3.6</v>
      </c>
      <c r="N1371" t="s">
        <v>39</v>
      </c>
      <c r="O1371">
        <v>8</v>
      </c>
      <c r="P1371" t="s">
        <v>23</v>
      </c>
      <c r="Q1371">
        <v>64.599999999999994</v>
      </c>
    </row>
    <row r="1372" spans="1:17" x14ac:dyDescent="0.35">
      <c r="A1372" s="1">
        <v>45823</v>
      </c>
      <c r="B1372" t="s">
        <v>36</v>
      </c>
      <c r="C1372" t="s">
        <v>37</v>
      </c>
      <c r="D1372" t="s">
        <v>38</v>
      </c>
      <c r="E1372" t="s">
        <v>27</v>
      </c>
      <c r="F1372">
        <v>209.08</v>
      </c>
      <c r="G1372">
        <v>50.4</v>
      </c>
      <c r="H1372">
        <v>95.09</v>
      </c>
      <c r="I1372">
        <v>93.93</v>
      </c>
      <c r="J1372">
        <v>76.69</v>
      </c>
      <c r="K1372" t="s">
        <v>47</v>
      </c>
      <c r="L1372">
        <v>7.5</v>
      </c>
      <c r="M1372">
        <v>3.8</v>
      </c>
      <c r="N1372" t="s">
        <v>39</v>
      </c>
      <c r="O1372">
        <v>9</v>
      </c>
      <c r="P1372" t="s">
        <v>23</v>
      </c>
      <c r="Q1372">
        <v>58.6</v>
      </c>
    </row>
    <row r="1373" spans="1:17" x14ac:dyDescent="0.35">
      <c r="A1373" s="1">
        <v>45823</v>
      </c>
      <c r="B1373" t="s">
        <v>48</v>
      </c>
      <c r="C1373" t="s">
        <v>49</v>
      </c>
      <c r="D1373" t="s">
        <v>50</v>
      </c>
      <c r="E1373" t="s">
        <v>27</v>
      </c>
      <c r="F1373">
        <v>341.03</v>
      </c>
      <c r="G1373">
        <v>47.9</v>
      </c>
      <c r="H1373">
        <v>95.31</v>
      </c>
      <c r="I1373">
        <v>96.05</v>
      </c>
      <c r="J1373">
        <v>76.2</v>
      </c>
      <c r="K1373" t="s">
        <v>47</v>
      </c>
      <c r="L1373">
        <v>8.1999999999999993</v>
      </c>
      <c r="M1373">
        <v>3.7</v>
      </c>
      <c r="N1373" t="s">
        <v>29</v>
      </c>
      <c r="O1373">
        <v>14</v>
      </c>
      <c r="P1373" t="s">
        <v>23</v>
      </c>
      <c r="Q1373">
        <v>60.1</v>
      </c>
    </row>
    <row r="1374" spans="1:17" x14ac:dyDescent="0.35">
      <c r="A1374" s="1">
        <v>45823</v>
      </c>
      <c r="B1374" t="s">
        <v>86</v>
      </c>
      <c r="C1374" t="s">
        <v>25</v>
      </c>
      <c r="D1374" t="s">
        <v>87</v>
      </c>
      <c r="E1374" t="s">
        <v>27</v>
      </c>
      <c r="F1374">
        <v>760.88</v>
      </c>
      <c r="G1374">
        <v>36.1</v>
      </c>
      <c r="H1374">
        <v>97.87</v>
      </c>
      <c r="I1374">
        <v>96.38</v>
      </c>
      <c r="J1374">
        <v>76.349999999999994</v>
      </c>
      <c r="K1374" t="s">
        <v>34</v>
      </c>
      <c r="L1374">
        <v>8.1</v>
      </c>
      <c r="M1374">
        <v>4.0999999999999996</v>
      </c>
      <c r="N1374" t="s">
        <v>39</v>
      </c>
      <c r="O1374">
        <v>9</v>
      </c>
      <c r="P1374" t="s">
        <v>30</v>
      </c>
      <c r="Q1374">
        <v>59.9</v>
      </c>
    </row>
    <row r="1375" spans="1:17" x14ac:dyDescent="0.35">
      <c r="A1375" s="1">
        <v>45823</v>
      </c>
      <c r="B1375" t="s">
        <v>53</v>
      </c>
      <c r="C1375" t="s">
        <v>41</v>
      </c>
      <c r="D1375" t="s">
        <v>54</v>
      </c>
      <c r="E1375" t="s">
        <v>27</v>
      </c>
      <c r="F1375">
        <v>462.91</v>
      </c>
      <c r="G1375">
        <v>51.1</v>
      </c>
      <c r="H1375">
        <v>93.68</v>
      </c>
      <c r="I1375">
        <v>96.73</v>
      </c>
      <c r="J1375">
        <v>81.069999999999993</v>
      </c>
      <c r="K1375" t="s">
        <v>28</v>
      </c>
      <c r="L1375">
        <v>8.5</v>
      </c>
      <c r="M1375">
        <v>3.1</v>
      </c>
      <c r="N1375" t="s">
        <v>39</v>
      </c>
      <c r="O1375">
        <v>11</v>
      </c>
      <c r="P1375" t="s">
        <v>43</v>
      </c>
      <c r="Q1375">
        <v>61.7</v>
      </c>
    </row>
    <row r="1376" spans="1:17" x14ac:dyDescent="0.35">
      <c r="A1376" s="1">
        <v>45823</v>
      </c>
      <c r="B1376" t="s">
        <v>93</v>
      </c>
      <c r="C1376" t="s">
        <v>37</v>
      </c>
      <c r="D1376" t="s">
        <v>94</v>
      </c>
      <c r="E1376" t="s">
        <v>27</v>
      </c>
      <c r="F1376">
        <v>416.37</v>
      </c>
      <c r="G1376">
        <v>42.8</v>
      </c>
      <c r="H1376">
        <v>96.28</v>
      </c>
      <c r="I1376">
        <v>95.09</v>
      </c>
      <c r="J1376">
        <v>75.040000000000006</v>
      </c>
      <c r="K1376" t="s">
        <v>47</v>
      </c>
      <c r="L1376">
        <v>9</v>
      </c>
      <c r="M1376">
        <v>3.6</v>
      </c>
      <c r="N1376" t="s">
        <v>29</v>
      </c>
      <c r="O1376">
        <v>15</v>
      </c>
      <c r="P1376" t="s">
        <v>23</v>
      </c>
      <c r="Q1376">
        <v>61.2</v>
      </c>
    </row>
    <row r="1377" spans="1:17" x14ac:dyDescent="0.35">
      <c r="A1377" s="1">
        <v>45823</v>
      </c>
      <c r="B1377" t="s">
        <v>97</v>
      </c>
      <c r="C1377" t="s">
        <v>72</v>
      </c>
      <c r="D1377" t="s">
        <v>98</v>
      </c>
      <c r="E1377" t="s">
        <v>27</v>
      </c>
      <c r="F1377">
        <v>163.57</v>
      </c>
      <c r="G1377">
        <v>71.900000000000006</v>
      </c>
      <c r="H1377">
        <v>97.98</v>
      </c>
      <c r="I1377">
        <v>93.29</v>
      </c>
      <c r="J1377">
        <v>77.13</v>
      </c>
      <c r="K1377" t="s">
        <v>34</v>
      </c>
      <c r="L1377">
        <v>6.3</v>
      </c>
      <c r="M1377">
        <v>2.7</v>
      </c>
      <c r="N1377" t="s">
        <v>29</v>
      </c>
      <c r="O1377">
        <v>11</v>
      </c>
      <c r="P1377" t="s">
        <v>23</v>
      </c>
      <c r="Q1377">
        <v>58.2</v>
      </c>
    </row>
    <row r="1378" spans="1:17" x14ac:dyDescent="0.35">
      <c r="A1378" s="1">
        <v>45823</v>
      </c>
      <c r="B1378" t="s">
        <v>59</v>
      </c>
      <c r="C1378" t="s">
        <v>60</v>
      </c>
      <c r="D1378" t="s">
        <v>61</v>
      </c>
      <c r="E1378" t="s">
        <v>62</v>
      </c>
      <c r="F1378">
        <v>367.16</v>
      </c>
      <c r="G1378">
        <v>171.8</v>
      </c>
      <c r="H1378">
        <v>85.8</v>
      </c>
      <c r="I1378">
        <v>96.83</v>
      </c>
      <c r="J1378">
        <v>88.92</v>
      </c>
      <c r="K1378" t="s">
        <v>63</v>
      </c>
      <c r="L1378">
        <v>7.3</v>
      </c>
      <c r="N1378" t="s">
        <v>35</v>
      </c>
      <c r="O1378">
        <v>5</v>
      </c>
      <c r="P1378" t="s">
        <v>23</v>
      </c>
      <c r="Q1378">
        <v>72.900000000000006</v>
      </c>
    </row>
    <row r="1379" spans="1:17" x14ac:dyDescent="0.35">
      <c r="A1379" s="1">
        <v>45823</v>
      </c>
      <c r="B1379" t="s">
        <v>31</v>
      </c>
      <c r="C1379" t="s">
        <v>18</v>
      </c>
      <c r="D1379" t="s">
        <v>32</v>
      </c>
      <c r="E1379" t="s">
        <v>27</v>
      </c>
      <c r="F1379">
        <v>300.18</v>
      </c>
      <c r="G1379">
        <v>25.5</v>
      </c>
      <c r="H1379">
        <v>94.78</v>
      </c>
      <c r="I1379">
        <v>94.06</v>
      </c>
      <c r="J1379">
        <v>81.84</v>
      </c>
      <c r="K1379" t="s">
        <v>28</v>
      </c>
      <c r="L1379">
        <v>8</v>
      </c>
      <c r="M1379">
        <v>4.4000000000000004</v>
      </c>
      <c r="N1379" t="s">
        <v>39</v>
      </c>
      <c r="O1379">
        <v>13</v>
      </c>
      <c r="P1379" t="s">
        <v>23</v>
      </c>
      <c r="Q1379">
        <v>59.4</v>
      </c>
    </row>
    <row r="1380" spans="1:17" x14ac:dyDescent="0.35">
      <c r="A1380" s="1">
        <v>45823</v>
      </c>
      <c r="B1380" t="s">
        <v>71</v>
      </c>
      <c r="C1380" t="s">
        <v>72</v>
      </c>
      <c r="D1380" t="s">
        <v>73</v>
      </c>
      <c r="E1380" t="s">
        <v>33</v>
      </c>
      <c r="F1380">
        <v>218.06</v>
      </c>
      <c r="G1380">
        <v>207.8</v>
      </c>
      <c r="H1380">
        <v>92.28</v>
      </c>
      <c r="I1380">
        <v>94.88</v>
      </c>
      <c r="J1380">
        <v>72.05</v>
      </c>
      <c r="K1380" t="s">
        <v>34</v>
      </c>
      <c r="L1380">
        <v>7.3</v>
      </c>
      <c r="M1380">
        <v>3.9</v>
      </c>
      <c r="N1380" t="s">
        <v>35</v>
      </c>
      <c r="O1380">
        <v>9</v>
      </c>
      <c r="P1380" t="s">
        <v>23</v>
      </c>
      <c r="Q1380">
        <v>59.4</v>
      </c>
    </row>
    <row r="1381" spans="1:17" x14ac:dyDescent="0.35">
      <c r="A1381" s="1">
        <v>45823</v>
      </c>
      <c r="B1381" t="s">
        <v>59</v>
      </c>
      <c r="C1381" t="s">
        <v>60</v>
      </c>
      <c r="D1381" t="s">
        <v>61</v>
      </c>
      <c r="E1381" t="s">
        <v>62</v>
      </c>
      <c r="F1381">
        <v>468.86</v>
      </c>
      <c r="G1381">
        <v>177.3</v>
      </c>
      <c r="H1381">
        <v>86.64</v>
      </c>
      <c r="I1381">
        <v>95.21</v>
      </c>
      <c r="J1381">
        <v>90.66</v>
      </c>
      <c r="K1381" t="s">
        <v>63</v>
      </c>
      <c r="L1381">
        <v>8.6</v>
      </c>
      <c r="N1381" t="s">
        <v>35</v>
      </c>
      <c r="O1381">
        <v>5</v>
      </c>
      <c r="P1381" t="s">
        <v>43</v>
      </c>
      <c r="Q1381">
        <v>75.7</v>
      </c>
    </row>
    <row r="1382" spans="1:17" x14ac:dyDescent="0.35">
      <c r="A1382" s="1">
        <v>45823</v>
      </c>
      <c r="B1382" t="s">
        <v>55</v>
      </c>
      <c r="C1382" t="s">
        <v>56</v>
      </c>
      <c r="D1382">
        <v>4</v>
      </c>
      <c r="E1382" t="s">
        <v>57</v>
      </c>
      <c r="F1382">
        <v>30</v>
      </c>
      <c r="G1382">
        <v>158.19999999999999</v>
      </c>
      <c r="H1382">
        <v>88.51</v>
      </c>
      <c r="I1382">
        <v>94.55</v>
      </c>
      <c r="J1382">
        <v>72.56</v>
      </c>
      <c r="K1382" t="s">
        <v>21</v>
      </c>
      <c r="L1382">
        <v>7.5</v>
      </c>
      <c r="N1382" t="s">
        <v>35</v>
      </c>
      <c r="O1382">
        <v>2</v>
      </c>
      <c r="P1382" t="s">
        <v>43</v>
      </c>
      <c r="Q1382">
        <v>69.900000000000006</v>
      </c>
    </row>
    <row r="1383" spans="1:17" x14ac:dyDescent="0.35">
      <c r="A1383" s="1">
        <v>45823</v>
      </c>
      <c r="B1383" t="s">
        <v>36</v>
      </c>
      <c r="C1383" t="s">
        <v>37</v>
      </c>
      <c r="D1383" t="s">
        <v>38</v>
      </c>
      <c r="E1383" t="s">
        <v>33</v>
      </c>
      <c r="F1383">
        <v>343.5</v>
      </c>
      <c r="G1383">
        <v>110.2</v>
      </c>
      <c r="H1383">
        <v>92.54</v>
      </c>
      <c r="I1383">
        <v>94.23</v>
      </c>
      <c r="J1383">
        <v>74.12</v>
      </c>
      <c r="K1383" t="s">
        <v>47</v>
      </c>
      <c r="L1383">
        <v>7.5</v>
      </c>
      <c r="M1383">
        <v>1.5</v>
      </c>
      <c r="N1383" t="s">
        <v>22</v>
      </c>
      <c r="O1383">
        <v>6</v>
      </c>
      <c r="P1383" t="s">
        <v>23</v>
      </c>
      <c r="Q1383">
        <v>60.5</v>
      </c>
    </row>
    <row r="1384" spans="1:17" x14ac:dyDescent="0.35">
      <c r="A1384" s="1">
        <v>45823</v>
      </c>
      <c r="B1384" t="s">
        <v>66</v>
      </c>
      <c r="C1384" t="s">
        <v>67</v>
      </c>
      <c r="D1384" t="s">
        <v>68</v>
      </c>
      <c r="E1384" t="s">
        <v>27</v>
      </c>
      <c r="F1384">
        <v>509.33</v>
      </c>
      <c r="G1384">
        <v>52</v>
      </c>
      <c r="H1384">
        <v>96.02</v>
      </c>
      <c r="I1384">
        <v>96.84</v>
      </c>
      <c r="J1384">
        <v>80.650000000000006</v>
      </c>
      <c r="K1384" t="s">
        <v>34</v>
      </c>
      <c r="L1384">
        <v>8.1</v>
      </c>
      <c r="M1384">
        <v>3.2</v>
      </c>
      <c r="N1384" t="s">
        <v>29</v>
      </c>
      <c r="O1384">
        <v>11</v>
      </c>
      <c r="P1384" t="s">
        <v>23</v>
      </c>
      <c r="Q1384">
        <v>61.3</v>
      </c>
    </row>
    <row r="1385" spans="1:17" x14ac:dyDescent="0.35">
      <c r="A1385" s="1">
        <v>45823</v>
      </c>
      <c r="B1385" t="s">
        <v>55</v>
      </c>
      <c r="C1385" t="s">
        <v>56</v>
      </c>
      <c r="D1385">
        <v>4</v>
      </c>
      <c r="E1385" t="s">
        <v>57</v>
      </c>
      <c r="F1385">
        <v>30</v>
      </c>
      <c r="G1385">
        <v>155.1</v>
      </c>
      <c r="H1385">
        <v>87.56</v>
      </c>
      <c r="I1385">
        <v>93.39</v>
      </c>
      <c r="J1385">
        <v>78.12</v>
      </c>
      <c r="K1385" t="s">
        <v>21</v>
      </c>
      <c r="L1385">
        <v>7.9</v>
      </c>
      <c r="N1385" t="s">
        <v>35</v>
      </c>
      <c r="O1385">
        <v>5</v>
      </c>
      <c r="P1385" t="s">
        <v>43</v>
      </c>
      <c r="Q1385">
        <v>71.3</v>
      </c>
    </row>
    <row r="1386" spans="1:17" x14ac:dyDescent="0.35">
      <c r="A1386" s="1">
        <v>45823</v>
      </c>
      <c r="B1386" t="s">
        <v>40</v>
      </c>
      <c r="C1386" t="s">
        <v>41</v>
      </c>
      <c r="D1386" t="s">
        <v>42</v>
      </c>
      <c r="E1386" t="s">
        <v>27</v>
      </c>
      <c r="F1386">
        <v>287.61</v>
      </c>
      <c r="G1386">
        <v>54.8</v>
      </c>
      <c r="H1386">
        <v>93.91</v>
      </c>
      <c r="I1386">
        <v>96.07</v>
      </c>
      <c r="J1386">
        <v>77.290000000000006</v>
      </c>
      <c r="K1386" t="s">
        <v>34</v>
      </c>
      <c r="L1386">
        <v>8.4</v>
      </c>
      <c r="M1386">
        <v>1.6</v>
      </c>
      <c r="N1386" t="s">
        <v>39</v>
      </c>
      <c r="O1386">
        <v>14</v>
      </c>
      <c r="P1386" t="s">
        <v>43</v>
      </c>
      <c r="Q1386">
        <v>61.9</v>
      </c>
    </row>
    <row r="1387" spans="1:17" x14ac:dyDescent="0.35">
      <c r="A1387" s="1">
        <v>45823</v>
      </c>
      <c r="B1387" t="s">
        <v>24</v>
      </c>
      <c r="C1387" t="s">
        <v>25</v>
      </c>
      <c r="D1387" t="s">
        <v>26</v>
      </c>
      <c r="E1387" t="s">
        <v>27</v>
      </c>
      <c r="F1387">
        <v>329.04</v>
      </c>
      <c r="G1387">
        <v>38.4</v>
      </c>
      <c r="H1387">
        <v>96.13</v>
      </c>
      <c r="I1387">
        <v>97.2</v>
      </c>
      <c r="J1387">
        <v>80.92</v>
      </c>
      <c r="K1387" t="s">
        <v>47</v>
      </c>
      <c r="L1387">
        <v>8.3000000000000007</v>
      </c>
      <c r="M1387">
        <v>1.9</v>
      </c>
      <c r="N1387" t="s">
        <v>29</v>
      </c>
      <c r="O1387">
        <v>15</v>
      </c>
      <c r="P1387" t="s">
        <v>30</v>
      </c>
      <c r="Q1387">
        <v>62.4</v>
      </c>
    </row>
    <row r="1388" spans="1:17" x14ac:dyDescent="0.35">
      <c r="A1388" s="1">
        <v>45823</v>
      </c>
      <c r="B1388" t="s">
        <v>53</v>
      </c>
      <c r="C1388" t="s">
        <v>41</v>
      </c>
      <c r="D1388" t="s">
        <v>54</v>
      </c>
      <c r="E1388" t="s">
        <v>27</v>
      </c>
      <c r="F1388">
        <v>600.82000000000005</v>
      </c>
      <c r="G1388">
        <v>58.2</v>
      </c>
      <c r="H1388">
        <v>93.33</v>
      </c>
      <c r="I1388">
        <v>96.19</v>
      </c>
      <c r="J1388">
        <v>76.569999999999993</v>
      </c>
      <c r="K1388" t="s">
        <v>34</v>
      </c>
      <c r="L1388">
        <v>8.4</v>
      </c>
      <c r="M1388">
        <v>3.7</v>
      </c>
      <c r="N1388" t="s">
        <v>39</v>
      </c>
      <c r="O1388">
        <v>9</v>
      </c>
      <c r="P1388" t="s">
        <v>43</v>
      </c>
      <c r="Q1388">
        <v>60.4</v>
      </c>
    </row>
    <row r="1389" spans="1:17" x14ac:dyDescent="0.35">
      <c r="A1389" s="1">
        <v>45823</v>
      </c>
      <c r="B1389" t="s">
        <v>82</v>
      </c>
      <c r="C1389" t="s">
        <v>72</v>
      </c>
      <c r="D1389" t="s">
        <v>83</v>
      </c>
      <c r="E1389" t="s">
        <v>20</v>
      </c>
      <c r="F1389">
        <v>191.59</v>
      </c>
      <c r="G1389">
        <v>126.2</v>
      </c>
      <c r="H1389">
        <v>88.68</v>
      </c>
      <c r="I1389">
        <v>94.95</v>
      </c>
      <c r="J1389">
        <v>76.91</v>
      </c>
      <c r="K1389" t="s">
        <v>58</v>
      </c>
      <c r="L1389">
        <v>6.7</v>
      </c>
      <c r="N1389" t="s">
        <v>35</v>
      </c>
      <c r="O1389">
        <v>10</v>
      </c>
      <c r="P1389" t="s">
        <v>23</v>
      </c>
      <c r="Q1389">
        <v>68.5</v>
      </c>
    </row>
    <row r="1390" spans="1:17" x14ac:dyDescent="0.35">
      <c r="A1390" s="1">
        <v>45823</v>
      </c>
      <c r="B1390" t="s">
        <v>69</v>
      </c>
      <c r="C1390" t="s">
        <v>18</v>
      </c>
      <c r="D1390" t="s">
        <v>70</v>
      </c>
      <c r="E1390" t="s">
        <v>20</v>
      </c>
      <c r="F1390">
        <v>168.67</v>
      </c>
      <c r="G1390">
        <v>148</v>
      </c>
      <c r="H1390">
        <v>92.31</v>
      </c>
      <c r="I1390">
        <v>95.7</v>
      </c>
      <c r="J1390">
        <v>75.62</v>
      </c>
      <c r="K1390" t="s">
        <v>58</v>
      </c>
      <c r="L1390">
        <v>7.5</v>
      </c>
      <c r="N1390" t="s">
        <v>35</v>
      </c>
      <c r="O1390">
        <v>6</v>
      </c>
      <c r="P1390" t="s">
        <v>23</v>
      </c>
      <c r="Q1390">
        <v>71.2</v>
      </c>
    </row>
    <row r="1391" spans="1:17" x14ac:dyDescent="0.35">
      <c r="A1391" s="1">
        <v>45823</v>
      </c>
      <c r="B1391" t="s">
        <v>40</v>
      </c>
      <c r="C1391" t="s">
        <v>41</v>
      </c>
      <c r="D1391" t="s">
        <v>42</v>
      </c>
      <c r="E1391" t="s">
        <v>27</v>
      </c>
      <c r="F1391">
        <v>438.49</v>
      </c>
      <c r="G1391">
        <v>20.2</v>
      </c>
      <c r="H1391">
        <v>96.07</v>
      </c>
      <c r="I1391">
        <v>96.29</v>
      </c>
      <c r="J1391">
        <v>75.25</v>
      </c>
      <c r="K1391" t="s">
        <v>28</v>
      </c>
      <c r="L1391">
        <v>9.3000000000000007</v>
      </c>
      <c r="M1391">
        <v>3.1</v>
      </c>
      <c r="N1391" t="s">
        <v>29</v>
      </c>
      <c r="O1391">
        <v>8</v>
      </c>
      <c r="P1391" t="s">
        <v>43</v>
      </c>
      <c r="Q1391">
        <v>61.8</v>
      </c>
    </row>
    <row r="1392" spans="1:17" x14ac:dyDescent="0.35">
      <c r="A1392" s="1">
        <v>45823</v>
      </c>
      <c r="B1392" t="s">
        <v>91</v>
      </c>
      <c r="C1392" t="s">
        <v>67</v>
      </c>
      <c r="D1392" t="s">
        <v>92</v>
      </c>
      <c r="E1392" t="s">
        <v>27</v>
      </c>
      <c r="F1392">
        <v>537.72</v>
      </c>
      <c r="G1392">
        <v>32.799999999999997</v>
      </c>
      <c r="H1392">
        <v>92.46</v>
      </c>
      <c r="I1392">
        <v>94.14</v>
      </c>
      <c r="J1392">
        <v>77.72</v>
      </c>
      <c r="K1392" t="s">
        <v>34</v>
      </c>
      <c r="L1392">
        <v>9.3000000000000007</v>
      </c>
      <c r="M1392">
        <v>1.8</v>
      </c>
      <c r="N1392" t="s">
        <v>29</v>
      </c>
      <c r="O1392">
        <v>14</v>
      </c>
      <c r="P1392" t="s">
        <v>43</v>
      </c>
      <c r="Q1392">
        <v>62.3</v>
      </c>
    </row>
    <row r="1393" spans="1:17" x14ac:dyDescent="0.35">
      <c r="A1393" s="1">
        <v>45823</v>
      </c>
      <c r="B1393" t="s">
        <v>97</v>
      </c>
      <c r="C1393" t="s">
        <v>72</v>
      </c>
      <c r="D1393" t="s">
        <v>98</v>
      </c>
      <c r="E1393" t="s">
        <v>33</v>
      </c>
      <c r="F1393">
        <v>144.13999999999999</v>
      </c>
      <c r="G1393">
        <v>143.9</v>
      </c>
      <c r="H1393">
        <v>97.95</v>
      </c>
      <c r="I1393">
        <v>94.65</v>
      </c>
      <c r="J1393">
        <v>70.56</v>
      </c>
      <c r="K1393" t="s">
        <v>47</v>
      </c>
      <c r="L1393">
        <v>6.5</v>
      </c>
      <c r="M1393">
        <v>3.8</v>
      </c>
      <c r="N1393" t="s">
        <v>35</v>
      </c>
      <c r="O1393">
        <v>10</v>
      </c>
      <c r="P1393" t="s">
        <v>43</v>
      </c>
      <c r="Q1393">
        <v>58.3</v>
      </c>
    </row>
    <row r="1394" spans="1:17" x14ac:dyDescent="0.35">
      <c r="A1394" s="1">
        <v>45823</v>
      </c>
      <c r="B1394" t="s">
        <v>55</v>
      </c>
      <c r="C1394" t="s">
        <v>56</v>
      </c>
      <c r="D1394">
        <v>4</v>
      </c>
      <c r="E1394" t="s">
        <v>57</v>
      </c>
      <c r="F1394">
        <v>30</v>
      </c>
      <c r="G1394">
        <v>128.4</v>
      </c>
      <c r="H1394">
        <v>88.63</v>
      </c>
      <c r="I1394">
        <v>93.61</v>
      </c>
      <c r="J1394">
        <v>78.09</v>
      </c>
      <c r="K1394" t="s">
        <v>21</v>
      </c>
      <c r="L1394">
        <v>6.4</v>
      </c>
      <c r="N1394" t="s">
        <v>35</v>
      </c>
      <c r="O1394">
        <v>2</v>
      </c>
      <c r="P1394" t="s">
        <v>43</v>
      </c>
      <c r="Q1394">
        <v>67.900000000000006</v>
      </c>
    </row>
    <row r="1395" spans="1:17" x14ac:dyDescent="0.35">
      <c r="A1395" s="1">
        <v>45823</v>
      </c>
      <c r="B1395" t="s">
        <v>53</v>
      </c>
      <c r="C1395" t="s">
        <v>41</v>
      </c>
      <c r="D1395" t="s">
        <v>54</v>
      </c>
      <c r="E1395" t="s">
        <v>27</v>
      </c>
      <c r="F1395">
        <v>484.23</v>
      </c>
      <c r="G1395">
        <v>43.5</v>
      </c>
      <c r="H1395">
        <v>92.55</v>
      </c>
      <c r="I1395">
        <v>96.63</v>
      </c>
      <c r="J1395">
        <v>77.42</v>
      </c>
      <c r="K1395" t="s">
        <v>28</v>
      </c>
      <c r="L1395">
        <v>8.8000000000000007</v>
      </c>
      <c r="M1395">
        <v>2.9</v>
      </c>
      <c r="N1395" t="s">
        <v>39</v>
      </c>
      <c r="O1395">
        <v>12</v>
      </c>
      <c r="P1395" t="s">
        <v>43</v>
      </c>
      <c r="Q1395">
        <v>61.4</v>
      </c>
    </row>
    <row r="1396" spans="1:17" x14ac:dyDescent="0.35">
      <c r="A1396" s="1">
        <v>45823</v>
      </c>
      <c r="B1396" t="s">
        <v>36</v>
      </c>
      <c r="C1396" t="s">
        <v>37</v>
      </c>
      <c r="D1396" t="s">
        <v>38</v>
      </c>
      <c r="E1396" t="s">
        <v>27</v>
      </c>
      <c r="F1396">
        <v>476.95</v>
      </c>
      <c r="G1396">
        <v>38.9</v>
      </c>
      <c r="H1396">
        <v>97.74</v>
      </c>
      <c r="I1396">
        <v>96.9</v>
      </c>
      <c r="J1396">
        <v>78.13</v>
      </c>
      <c r="K1396" t="s">
        <v>28</v>
      </c>
      <c r="L1396">
        <v>8.1</v>
      </c>
      <c r="M1396">
        <v>4.0999999999999996</v>
      </c>
      <c r="N1396" t="s">
        <v>29</v>
      </c>
      <c r="O1396">
        <v>15</v>
      </c>
      <c r="P1396" t="s">
        <v>23</v>
      </c>
      <c r="Q1396">
        <v>60.3</v>
      </c>
    </row>
    <row r="1397" spans="1:17" x14ac:dyDescent="0.35">
      <c r="A1397" s="1">
        <v>45823</v>
      </c>
      <c r="B1397" t="s">
        <v>53</v>
      </c>
      <c r="C1397" t="s">
        <v>41</v>
      </c>
      <c r="D1397" t="s">
        <v>54</v>
      </c>
      <c r="E1397" t="s">
        <v>27</v>
      </c>
      <c r="F1397">
        <v>370.22</v>
      </c>
      <c r="G1397">
        <v>55.1</v>
      </c>
      <c r="H1397">
        <v>96.94</v>
      </c>
      <c r="I1397">
        <v>96.48</v>
      </c>
      <c r="J1397">
        <v>76.09</v>
      </c>
      <c r="K1397" t="s">
        <v>47</v>
      </c>
      <c r="L1397">
        <v>7.3</v>
      </c>
      <c r="M1397">
        <v>3.3</v>
      </c>
      <c r="N1397" t="s">
        <v>29</v>
      </c>
      <c r="O1397">
        <v>15</v>
      </c>
      <c r="P1397" t="s">
        <v>43</v>
      </c>
      <c r="Q1397">
        <v>59.3</v>
      </c>
    </row>
    <row r="1398" spans="1:17" x14ac:dyDescent="0.35">
      <c r="A1398" s="1">
        <v>45823</v>
      </c>
      <c r="B1398" t="s">
        <v>40</v>
      </c>
      <c r="C1398" t="s">
        <v>41</v>
      </c>
      <c r="D1398" t="s">
        <v>42</v>
      </c>
      <c r="E1398" t="s">
        <v>27</v>
      </c>
      <c r="F1398">
        <v>266.95999999999998</v>
      </c>
      <c r="G1398">
        <v>59.2</v>
      </c>
      <c r="H1398">
        <v>96.23</v>
      </c>
      <c r="I1398">
        <v>97.39</v>
      </c>
      <c r="J1398">
        <v>75.41</v>
      </c>
      <c r="K1398" t="s">
        <v>34</v>
      </c>
      <c r="L1398">
        <v>7.7</v>
      </c>
      <c r="M1398">
        <v>2.8</v>
      </c>
      <c r="N1398" t="s">
        <v>29</v>
      </c>
      <c r="O1398">
        <v>12</v>
      </c>
      <c r="P1398" t="s">
        <v>43</v>
      </c>
      <c r="Q1398">
        <v>60.3</v>
      </c>
    </row>
    <row r="1399" spans="1:17" x14ac:dyDescent="0.35">
      <c r="A1399" s="1">
        <v>45823</v>
      </c>
      <c r="B1399" t="s">
        <v>71</v>
      </c>
      <c r="C1399" t="s">
        <v>72</v>
      </c>
      <c r="D1399" t="s">
        <v>73</v>
      </c>
      <c r="E1399" t="s">
        <v>33</v>
      </c>
      <c r="F1399">
        <v>217.38</v>
      </c>
      <c r="G1399">
        <v>90</v>
      </c>
      <c r="H1399">
        <v>97.01</v>
      </c>
      <c r="I1399">
        <v>96.93</v>
      </c>
      <c r="J1399">
        <v>74.239999999999995</v>
      </c>
      <c r="K1399" t="s">
        <v>28</v>
      </c>
      <c r="L1399">
        <v>7.3</v>
      </c>
      <c r="M1399">
        <v>1.9</v>
      </c>
      <c r="N1399" t="s">
        <v>22</v>
      </c>
      <c r="O1399">
        <v>5</v>
      </c>
      <c r="P1399" t="s">
        <v>23</v>
      </c>
      <c r="Q1399">
        <v>60.7</v>
      </c>
    </row>
    <row r="1400" spans="1:17" x14ac:dyDescent="0.35">
      <c r="A1400" s="1">
        <v>45823</v>
      </c>
      <c r="B1400" t="s">
        <v>59</v>
      </c>
      <c r="C1400" t="s">
        <v>60</v>
      </c>
      <c r="D1400" t="s">
        <v>61</v>
      </c>
      <c r="E1400" t="s">
        <v>62</v>
      </c>
      <c r="F1400">
        <v>536.29</v>
      </c>
      <c r="G1400">
        <v>178.5</v>
      </c>
      <c r="H1400">
        <v>86.76</v>
      </c>
      <c r="I1400">
        <v>94.73</v>
      </c>
      <c r="J1400">
        <v>86.11</v>
      </c>
      <c r="K1400" t="s">
        <v>63</v>
      </c>
      <c r="L1400">
        <v>9.1</v>
      </c>
      <c r="N1400" t="s">
        <v>35</v>
      </c>
      <c r="O1400">
        <v>5</v>
      </c>
      <c r="P1400" t="s">
        <v>43</v>
      </c>
      <c r="Q1400">
        <v>75.7</v>
      </c>
    </row>
    <row r="1401" spans="1:17" x14ac:dyDescent="0.35">
      <c r="A1401" s="1">
        <v>45823</v>
      </c>
      <c r="B1401" t="s">
        <v>36</v>
      </c>
      <c r="C1401" t="s">
        <v>37</v>
      </c>
      <c r="D1401" t="s">
        <v>38</v>
      </c>
      <c r="E1401" t="s">
        <v>33</v>
      </c>
      <c r="F1401">
        <v>432.64</v>
      </c>
      <c r="G1401">
        <v>141.19999999999999</v>
      </c>
      <c r="H1401">
        <v>97.53</v>
      </c>
      <c r="I1401">
        <v>93.65</v>
      </c>
      <c r="J1401">
        <v>72.180000000000007</v>
      </c>
      <c r="K1401" t="s">
        <v>28</v>
      </c>
      <c r="L1401">
        <v>8.3000000000000007</v>
      </c>
      <c r="M1401">
        <v>2.2000000000000002</v>
      </c>
      <c r="N1401" t="s">
        <v>22</v>
      </c>
      <c r="O1401">
        <v>9</v>
      </c>
      <c r="P1401" t="s">
        <v>23</v>
      </c>
      <c r="Q1401">
        <v>62.4</v>
      </c>
    </row>
    <row r="1402" spans="1:17" x14ac:dyDescent="0.35">
      <c r="A1402" s="1">
        <v>45823</v>
      </c>
      <c r="B1402" t="s">
        <v>99</v>
      </c>
      <c r="C1402" t="s">
        <v>72</v>
      </c>
      <c r="D1402" t="s">
        <v>100</v>
      </c>
      <c r="E1402" t="s">
        <v>27</v>
      </c>
      <c r="F1402">
        <v>161.34</v>
      </c>
      <c r="G1402">
        <v>55.2</v>
      </c>
      <c r="H1402">
        <v>93.65</v>
      </c>
      <c r="I1402">
        <v>94.91</v>
      </c>
      <c r="J1402">
        <v>78.91</v>
      </c>
      <c r="K1402" t="s">
        <v>47</v>
      </c>
      <c r="L1402">
        <v>7</v>
      </c>
      <c r="M1402">
        <v>3</v>
      </c>
      <c r="N1402" t="s">
        <v>29</v>
      </c>
      <c r="O1402">
        <v>11</v>
      </c>
      <c r="P1402" t="s">
        <v>23</v>
      </c>
      <c r="Q1402">
        <v>58.7</v>
      </c>
    </row>
    <row r="1403" spans="1:17" x14ac:dyDescent="0.35">
      <c r="A1403" s="1">
        <v>45823</v>
      </c>
      <c r="B1403" t="s">
        <v>101</v>
      </c>
      <c r="C1403" t="s">
        <v>45</v>
      </c>
      <c r="D1403" t="s">
        <v>102</v>
      </c>
      <c r="E1403" t="s">
        <v>33</v>
      </c>
      <c r="F1403">
        <v>488.49</v>
      </c>
      <c r="G1403">
        <v>1147.3</v>
      </c>
      <c r="H1403">
        <v>94.61</v>
      </c>
      <c r="I1403">
        <v>98.44</v>
      </c>
      <c r="J1403">
        <v>79.22</v>
      </c>
      <c r="K1403" t="s">
        <v>47</v>
      </c>
      <c r="L1403">
        <v>8.8000000000000007</v>
      </c>
      <c r="M1403">
        <v>3.7</v>
      </c>
      <c r="N1403" t="s">
        <v>35</v>
      </c>
      <c r="O1403">
        <v>10</v>
      </c>
      <c r="P1403" t="s">
        <v>23</v>
      </c>
      <c r="Q1403">
        <v>64.2</v>
      </c>
    </row>
    <row r="1404" spans="1:17" x14ac:dyDescent="0.35">
      <c r="A1404" s="1">
        <v>45823</v>
      </c>
      <c r="B1404" t="s">
        <v>84</v>
      </c>
      <c r="C1404" t="s">
        <v>18</v>
      </c>
      <c r="D1404" t="s">
        <v>85</v>
      </c>
      <c r="E1404" t="s">
        <v>27</v>
      </c>
      <c r="F1404">
        <v>218.61</v>
      </c>
      <c r="G1404">
        <v>48.1</v>
      </c>
      <c r="H1404">
        <v>96.48</v>
      </c>
      <c r="I1404">
        <v>96.07</v>
      </c>
      <c r="J1404">
        <v>80.77</v>
      </c>
      <c r="K1404" t="s">
        <v>28</v>
      </c>
      <c r="L1404">
        <v>7.7</v>
      </c>
      <c r="M1404">
        <v>3.8</v>
      </c>
      <c r="N1404" t="s">
        <v>39</v>
      </c>
      <c r="O1404">
        <v>10</v>
      </c>
      <c r="P1404" t="s">
        <v>23</v>
      </c>
      <c r="Q1404">
        <v>60.1</v>
      </c>
    </row>
    <row r="1405" spans="1:17" x14ac:dyDescent="0.35">
      <c r="A1405" s="1">
        <v>45824</v>
      </c>
      <c r="B1405" t="s">
        <v>59</v>
      </c>
      <c r="C1405" t="s">
        <v>60</v>
      </c>
      <c r="D1405" t="s">
        <v>61</v>
      </c>
      <c r="E1405" t="s">
        <v>62</v>
      </c>
      <c r="F1405">
        <v>425.58</v>
      </c>
      <c r="G1405">
        <v>178.3</v>
      </c>
      <c r="H1405">
        <v>87.94</v>
      </c>
      <c r="I1405">
        <v>94.49</v>
      </c>
      <c r="J1405">
        <v>91.48</v>
      </c>
      <c r="K1405" t="s">
        <v>34</v>
      </c>
      <c r="L1405">
        <v>9.1999999999999993</v>
      </c>
      <c r="N1405" t="s">
        <v>35</v>
      </c>
      <c r="O1405">
        <v>3</v>
      </c>
      <c r="P1405" t="s">
        <v>43</v>
      </c>
      <c r="Q1405">
        <v>77.2</v>
      </c>
    </row>
    <row r="1406" spans="1:17" x14ac:dyDescent="0.35">
      <c r="A1406" s="1">
        <v>45824</v>
      </c>
      <c r="B1406" t="s">
        <v>36</v>
      </c>
      <c r="C1406" t="s">
        <v>37</v>
      </c>
      <c r="D1406" t="s">
        <v>38</v>
      </c>
      <c r="E1406" t="s">
        <v>27</v>
      </c>
      <c r="F1406">
        <v>404.92</v>
      </c>
      <c r="G1406">
        <v>48.5</v>
      </c>
      <c r="H1406">
        <v>94.6</v>
      </c>
      <c r="I1406">
        <v>96.09</v>
      </c>
      <c r="J1406">
        <v>80.03</v>
      </c>
      <c r="K1406" t="s">
        <v>47</v>
      </c>
      <c r="L1406">
        <v>8.8000000000000007</v>
      </c>
      <c r="M1406">
        <v>2.7</v>
      </c>
      <c r="N1406" t="s">
        <v>39</v>
      </c>
      <c r="O1406">
        <v>13</v>
      </c>
      <c r="P1406" t="s">
        <v>23</v>
      </c>
      <c r="Q1406">
        <v>62.3</v>
      </c>
    </row>
    <row r="1407" spans="1:17" x14ac:dyDescent="0.35">
      <c r="A1407" s="1">
        <v>45824</v>
      </c>
      <c r="B1407" t="s">
        <v>93</v>
      </c>
      <c r="C1407" t="s">
        <v>37</v>
      </c>
      <c r="D1407" t="s">
        <v>94</v>
      </c>
      <c r="E1407" t="s">
        <v>33</v>
      </c>
      <c r="F1407">
        <v>275.58</v>
      </c>
      <c r="G1407">
        <v>83.4</v>
      </c>
      <c r="H1407">
        <v>93.69</v>
      </c>
      <c r="I1407">
        <v>94.09</v>
      </c>
      <c r="J1407">
        <v>70.64</v>
      </c>
      <c r="K1407" t="s">
        <v>34</v>
      </c>
      <c r="L1407">
        <v>7.6</v>
      </c>
      <c r="M1407">
        <v>3.3</v>
      </c>
      <c r="N1407" t="s">
        <v>35</v>
      </c>
      <c r="O1407">
        <v>6</v>
      </c>
      <c r="P1407" t="s">
        <v>23</v>
      </c>
      <c r="Q1407">
        <v>58.5</v>
      </c>
    </row>
    <row r="1408" spans="1:17" x14ac:dyDescent="0.35">
      <c r="A1408" s="1">
        <v>45824</v>
      </c>
      <c r="B1408" t="s">
        <v>91</v>
      </c>
      <c r="C1408" t="s">
        <v>67</v>
      </c>
      <c r="D1408" t="s">
        <v>92</v>
      </c>
      <c r="E1408" t="s">
        <v>27</v>
      </c>
      <c r="F1408">
        <v>644.91</v>
      </c>
      <c r="G1408">
        <v>36.4</v>
      </c>
      <c r="H1408">
        <v>92.64</v>
      </c>
      <c r="I1408">
        <v>96.85</v>
      </c>
      <c r="J1408">
        <v>81.319999999999993</v>
      </c>
      <c r="K1408" t="s">
        <v>28</v>
      </c>
      <c r="L1408">
        <v>9.1999999999999993</v>
      </c>
      <c r="M1408">
        <v>2.4</v>
      </c>
      <c r="N1408" t="s">
        <v>29</v>
      </c>
      <c r="O1408">
        <v>12</v>
      </c>
      <c r="P1408" t="s">
        <v>43</v>
      </c>
      <c r="Q1408">
        <v>62.9</v>
      </c>
    </row>
    <row r="1409" spans="1:17" x14ac:dyDescent="0.35">
      <c r="A1409" s="1">
        <v>45824</v>
      </c>
      <c r="B1409" t="s">
        <v>78</v>
      </c>
      <c r="C1409" t="s">
        <v>41</v>
      </c>
      <c r="D1409" t="s">
        <v>79</v>
      </c>
      <c r="E1409" t="s">
        <v>27</v>
      </c>
      <c r="F1409">
        <v>486.76</v>
      </c>
      <c r="G1409">
        <v>34.299999999999997</v>
      </c>
      <c r="H1409">
        <v>97.21</v>
      </c>
      <c r="I1409">
        <v>97.64</v>
      </c>
      <c r="J1409">
        <v>84.01</v>
      </c>
      <c r="K1409" t="s">
        <v>47</v>
      </c>
      <c r="L1409">
        <v>8.1999999999999993</v>
      </c>
      <c r="M1409">
        <v>2.2000000000000002</v>
      </c>
      <c r="N1409" t="s">
        <v>39</v>
      </c>
      <c r="O1409">
        <v>15</v>
      </c>
      <c r="P1409" t="s">
        <v>43</v>
      </c>
      <c r="Q1409">
        <v>62.7</v>
      </c>
    </row>
    <row r="1410" spans="1:17" x14ac:dyDescent="0.35">
      <c r="A1410" s="1">
        <v>45824</v>
      </c>
      <c r="B1410" t="s">
        <v>69</v>
      </c>
      <c r="C1410" t="s">
        <v>18</v>
      </c>
      <c r="D1410" t="s">
        <v>70</v>
      </c>
      <c r="E1410" t="s">
        <v>20</v>
      </c>
      <c r="F1410">
        <v>237.47</v>
      </c>
      <c r="G1410">
        <v>178.2</v>
      </c>
      <c r="H1410">
        <v>88.38</v>
      </c>
      <c r="I1410">
        <v>95.1</v>
      </c>
      <c r="J1410">
        <v>73.19</v>
      </c>
      <c r="K1410" t="s">
        <v>21</v>
      </c>
      <c r="L1410">
        <v>7.2</v>
      </c>
      <c r="N1410" t="s">
        <v>35</v>
      </c>
      <c r="O1410">
        <v>6</v>
      </c>
      <c r="P1410" t="s">
        <v>23</v>
      </c>
      <c r="Q1410">
        <v>69.7</v>
      </c>
    </row>
    <row r="1411" spans="1:17" x14ac:dyDescent="0.35">
      <c r="A1411" s="1">
        <v>45824</v>
      </c>
      <c r="B1411" t="s">
        <v>93</v>
      </c>
      <c r="C1411" t="s">
        <v>37</v>
      </c>
      <c r="D1411" t="s">
        <v>94</v>
      </c>
      <c r="E1411" t="s">
        <v>27</v>
      </c>
      <c r="F1411">
        <v>200.91</v>
      </c>
      <c r="G1411">
        <v>40.1</v>
      </c>
      <c r="H1411">
        <v>93.4</v>
      </c>
      <c r="I1411">
        <v>94.39</v>
      </c>
      <c r="J1411">
        <v>83.4</v>
      </c>
      <c r="K1411" t="s">
        <v>47</v>
      </c>
      <c r="L1411">
        <v>8.4</v>
      </c>
      <c r="M1411">
        <v>1.5</v>
      </c>
      <c r="N1411" t="s">
        <v>39</v>
      </c>
      <c r="O1411">
        <v>12</v>
      </c>
      <c r="P1411" t="s">
        <v>23</v>
      </c>
      <c r="Q1411">
        <v>62.3</v>
      </c>
    </row>
    <row r="1412" spans="1:17" x14ac:dyDescent="0.35">
      <c r="A1412" s="1">
        <v>45824</v>
      </c>
      <c r="B1412" t="s">
        <v>17</v>
      </c>
      <c r="C1412" t="s">
        <v>18</v>
      </c>
      <c r="D1412" t="s">
        <v>19</v>
      </c>
      <c r="E1412" t="s">
        <v>20</v>
      </c>
      <c r="F1412">
        <v>208.23</v>
      </c>
      <c r="G1412">
        <v>80.099999999999994</v>
      </c>
      <c r="H1412">
        <v>94.5</v>
      </c>
      <c r="I1412">
        <v>93.21</v>
      </c>
      <c r="J1412">
        <v>72.37</v>
      </c>
      <c r="K1412" t="s">
        <v>63</v>
      </c>
      <c r="L1412">
        <v>7.6</v>
      </c>
      <c r="N1412" t="s">
        <v>35</v>
      </c>
      <c r="O1412">
        <v>5</v>
      </c>
      <c r="P1412" t="s">
        <v>23</v>
      </c>
      <c r="Q1412">
        <v>69.099999999999994</v>
      </c>
    </row>
    <row r="1413" spans="1:17" x14ac:dyDescent="0.35">
      <c r="A1413" s="1">
        <v>45824</v>
      </c>
      <c r="B1413" t="s">
        <v>93</v>
      </c>
      <c r="C1413" t="s">
        <v>37</v>
      </c>
      <c r="D1413" t="s">
        <v>94</v>
      </c>
      <c r="E1413" t="s">
        <v>27</v>
      </c>
      <c r="F1413">
        <v>222.98</v>
      </c>
      <c r="G1413">
        <v>58.5</v>
      </c>
      <c r="H1413">
        <v>93.74</v>
      </c>
      <c r="I1413">
        <v>95.98</v>
      </c>
      <c r="J1413">
        <v>83.23</v>
      </c>
      <c r="K1413" t="s">
        <v>28</v>
      </c>
      <c r="L1413">
        <v>7.5</v>
      </c>
      <c r="M1413">
        <v>2.4</v>
      </c>
      <c r="N1413" t="s">
        <v>29</v>
      </c>
      <c r="O1413">
        <v>15</v>
      </c>
      <c r="P1413" t="s">
        <v>23</v>
      </c>
      <c r="Q1413">
        <v>60.9</v>
      </c>
    </row>
    <row r="1414" spans="1:17" x14ac:dyDescent="0.35">
      <c r="A1414" s="1">
        <v>45824</v>
      </c>
      <c r="B1414" t="s">
        <v>31</v>
      </c>
      <c r="C1414" t="s">
        <v>18</v>
      </c>
      <c r="D1414" t="s">
        <v>32</v>
      </c>
      <c r="E1414" t="s">
        <v>33</v>
      </c>
      <c r="F1414">
        <v>313.77</v>
      </c>
      <c r="G1414">
        <v>139.19999999999999</v>
      </c>
      <c r="H1414">
        <v>92.91</v>
      </c>
      <c r="I1414">
        <v>93.79</v>
      </c>
      <c r="J1414">
        <v>71.27</v>
      </c>
      <c r="K1414" t="s">
        <v>34</v>
      </c>
      <c r="L1414">
        <v>7.1</v>
      </c>
      <c r="M1414">
        <v>2.9</v>
      </c>
      <c r="N1414" t="s">
        <v>35</v>
      </c>
      <c r="O1414">
        <v>9</v>
      </c>
      <c r="P1414" t="s">
        <v>23</v>
      </c>
      <c r="Q1414">
        <v>59</v>
      </c>
    </row>
    <row r="1415" spans="1:17" x14ac:dyDescent="0.35">
      <c r="A1415" s="1">
        <v>45824</v>
      </c>
      <c r="B1415" t="s">
        <v>101</v>
      </c>
      <c r="C1415" t="s">
        <v>45</v>
      </c>
      <c r="D1415" t="s">
        <v>102</v>
      </c>
      <c r="E1415" t="s">
        <v>33</v>
      </c>
      <c r="F1415">
        <v>305.83999999999997</v>
      </c>
      <c r="G1415">
        <v>2104.1999999999998</v>
      </c>
      <c r="H1415">
        <v>95.38</v>
      </c>
      <c r="I1415">
        <v>98.19</v>
      </c>
      <c r="J1415">
        <v>73.84</v>
      </c>
      <c r="K1415" t="s">
        <v>47</v>
      </c>
      <c r="L1415">
        <v>7.1</v>
      </c>
      <c r="M1415">
        <v>3.1</v>
      </c>
      <c r="N1415" t="s">
        <v>22</v>
      </c>
      <c r="O1415">
        <v>9</v>
      </c>
      <c r="P1415" t="s">
        <v>23</v>
      </c>
      <c r="Q1415">
        <v>61</v>
      </c>
    </row>
    <row r="1416" spans="1:17" x14ac:dyDescent="0.35">
      <c r="A1416" s="1">
        <v>45824</v>
      </c>
      <c r="B1416" t="s">
        <v>51</v>
      </c>
      <c r="C1416" t="s">
        <v>45</v>
      </c>
      <c r="D1416" t="s">
        <v>52</v>
      </c>
      <c r="E1416" t="s">
        <v>27</v>
      </c>
      <c r="F1416">
        <v>592.28</v>
      </c>
      <c r="G1416">
        <v>709.4</v>
      </c>
      <c r="H1416">
        <v>92.75</v>
      </c>
      <c r="I1416">
        <v>98.32</v>
      </c>
      <c r="J1416">
        <v>81.19</v>
      </c>
      <c r="K1416" t="s">
        <v>88</v>
      </c>
      <c r="L1416">
        <v>8.6</v>
      </c>
      <c r="M1416">
        <v>4.4000000000000004</v>
      </c>
      <c r="N1416" t="s">
        <v>39</v>
      </c>
      <c r="O1416">
        <v>9</v>
      </c>
      <c r="P1416" t="s">
        <v>23</v>
      </c>
      <c r="Q1416">
        <v>63.4</v>
      </c>
    </row>
    <row r="1417" spans="1:17" x14ac:dyDescent="0.35">
      <c r="A1417" s="1">
        <v>45824</v>
      </c>
      <c r="B1417" t="s">
        <v>51</v>
      </c>
      <c r="C1417" t="s">
        <v>45</v>
      </c>
      <c r="D1417" t="s">
        <v>52</v>
      </c>
      <c r="E1417" t="s">
        <v>27</v>
      </c>
      <c r="F1417">
        <v>549.09</v>
      </c>
      <c r="G1417">
        <v>419.7</v>
      </c>
      <c r="H1417">
        <v>94.19</v>
      </c>
      <c r="I1417">
        <v>99.34</v>
      </c>
      <c r="J1417">
        <v>80.36</v>
      </c>
      <c r="K1417" t="s">
        <v>47</v>
      </c>
      <c r="L1417">
        <v>8.1999999999999993</v>
      </c>
      <c r="M1417">
        <v>3</v>
      </c>
      <c r="N1417" t="s">
        <v>39</v>
      </c>
      <c r="O1417">
        <v>10</v>
      </c>
      <c r="P1417" t="s">
        <v>23</v>
      </c>
      <c r="Q1417">
        <v>64</v>
      </c>
    </row>
    <row r="1418" spans="1:17" x14ac:dyDescent="0.35">
      <c r="A1418" s="1">
        <v>45824</v>
      </c>
      <c r="B1418" t="s">
        <v>55</v>
      </c>
      <c r="C1418" t="s">
        <v>56</v>
      </c>
      <c r="D1418">
        <v>4</v>
      </c>
      <c r="E1418" t="s">
        <v>57</v>
      </c>
      <c r="F1418">
        <v>30</v>
      </c>
      <c r="G1418">
        <v>151.80000000000001</v>
      </c>
      <c r="H1418">
        <v>91.39</v>
      </c>
      <c r="I1418">
        <v>94.44</v>
      </c>
      <c r="J1418">
        <v>71.08</v>
      </c>
      <c r="K1418" t="s">
        <v>63</v>
      </c>
      <c r="L1418">
        <v>7.7</v>
      </c>
      <c r="N1418" t="s">
        <v>35</v>
      </c>
      <c r="O1418">
        <v>5</v>
      </c>
      <c r="P1418" t="s">
        <v>43</v>
      </c>
      <c r="Q1418">
        <v>70.400000000000006</v>
      </c>
    </row>
    <row r="1419" spans="1:17" x14ac:dyDescent="0.35">
      <c r="A1419" s="1">
        <v>45824</v>
      </c>
      <c r="B1419" t="s">
        <v>69</v>
      </c>
      <c r="C1419" t="s">
        <v>18</v>
      </c>
      <c r="D1419" t="s">
        <v>70</v>
      </c>
      <c r="E1419" t="s">
        <v>20</v>
      </c>
      <c r="F1419">
        <v>79.349999999999994</v>
      </c>
      <c r="G1419">
        <v>130.4</v>
      </c>
      <c r="H1419">
        <v>92.24</v>
      </c>
      <c r="I1419">
        <v>94.48</v>
      </c>
      <c r="J1419">
        <v>70.83</v>
      </c>
      <c r="K1419" t="s">
        <v>21</v>
      </c>
      <c r="L1419">
        <v>7.8</v>
      </c>
      <c r="N1419" t="s">
        <v>35</v>
      </c>
      <c r="O1419">
        <v>6</v>
      </c>
      <c r="P1419" t="s">
        <v>23</v>
      </c>
      <c r="Q1419">
        <v>70.2</v>
      </c>
    </row>
    <row r="1420" spans="1:17" x14ac:dyDescent="0.35">
      <c r="A1420" s="1">
        <v>45824</v>
      </c>
      <c r="B1420" t="s">
        <v>17</v>
      </c>
      <c r="C1420" t="s">
        <v>18</v>
      </c>
      <c r="D1420" t="s">
        <v>19</v>
      </c>
      <c r="E1420" t="s">
        <v>20</v>
      </c>
      <c r="F1420">
        <v>285.77</v>
      </c>
      <c r="G1420">
        <v>117.7</v>
      </c>
      <c r="H1420">
        <v>94.14</v>
      </c>
      <c r="I1420">
        <v>95.04</v>
      </c>
      <c r="J1420">
        <v>71.47</v>
      </c>
      <c r="K1420" t="s">
        <v>63</v>
      </c>
      <c r="L1420">
        <v>8.3000000000000007</v>
      </c>
      <c r="N1420" t="s">
        <v>35</v>
      </c>
      <c r="O1420">
        <v>8</v>
      </c>
      <c r="P1420" t="s">
        <v>23</v>
      </c>
      <c r="Q1420">
        <v>71.5</v>
      </c>
    </row>
    <row r="1421" spans="1:17" x14ac:dyDescent="0.35">
      <c r="A1421" s="1">
        <v>45824</v>
      </c>
      <c r="B1421" t="s">
        <v>86</v>
      </c>
      <c r="C1421" t="s">
        <v>25</v>
      </c>
      <c r="D1421" t="s">
        <v>87</v>
      </c>
      <c r="E1421" t="s">
        <v>27</v>
      </c>
      <c r="F1421">
        <v>487.94</v>
      </c>
      <c r="G1421">
        <v>69.3</v>
      </c>
      <c r="H1421">
        <v>96.59</v>
      </c>
      <c r="I1421">
        <v>96.55</v>
      </c>
      <c r="J1421">
        <v>79.8</v>
      </c>
      <c r="K1421" t="s">
        <v>28</v>
      </c>
      <c r="L1421">
        <v>9.4</v>
      </c>
      <c r="M1421">
        <v>3.6</v>
      </c>
      <c r="N1421" t="s">
        <v>39</v>
      </c>
      <c r="O1421">
        <v>8</v>
      </c>
      <c r="P1421" t="s">
        <v>30</v>
      </c>
      <c r="Q1421">
        <v>63.5</v>
      </c>
    </row>
    <row r="1422" spans="1:17" x14ac:dyDescent="0.35">
      <c r="A1422" s="1">
        <v>45824</v>
      </c>
      <c r="B1422" t="s">
        <v>59</v>
      </c>
      <c r="C1422" t="s">
        <v>60</v>
      </c>
      <c r="D1422" t="s">
        <v>61</v>
      </c>
      <c r="E1422" t="s">
        <v>62</v>
      </c>
      <c r="F1422">
        <v>385.24</v>
      </c>
      <c r="G1422">
        <v>168.6</v>
      </c>
      <c r="H1422">
        <v>85.73</v>
      </c>
      <c r="I1422">
        <v>94.66</v>
      </c>
      <c r="J1422">
        <v>91.73</v>
      </c>
      <c r="K1422" t="s">
        <v>63</v>
      </c>
      <c r="L1422">
        <v>8.1999999999999993</v>
      </c>
      <c r="N1422" t="s">
        <v>35</v>
      </c>
      <c r="O1422">
        <v>4</v>
      </c>
      <c r="P1422" t="s">
        <v>23</v>
      </c>
      <c r="Q1422">
        <v>74.8</v>
      </c>
    </row>
    <row r="1423" spans="1:17" x14ac:dyDescent="0.35">
      <c r="A1423" s="1">
        <v>45824</v>
      </c>
      <c r="B1423" t="s">
        <v>55</v>
      </c>
      <c r="C1423" t="s">
        <v>56</v>
      </c>
      <c r="D1423">
        <v>4</v>
      </c>
      <c r="E1423" t="s">
        <v>57</v>
      </c>
      <c r="F1423">
        <v>30</v>
      </c>
      <c r="G1423">
        <v>156.1</v>
      </c>
      <c r="H1423">
        <v>87.27</v>
      </c>
      <c r="I1423">
        <v>94.71</v>
      </c>
      <c r="J1423">
        <v>74.44</v>
      </c>
      <c r="K1423" t="s">
        <v>63</v>
      </c>
      <c r="L1423">
        <v>7.1</v>
      </c>
      <c r="N1423" t="s">
        <v>35</v>
      </c>
      <c r="O1423">
        <v>5</v>
      </c>
      <c r="P1423" t="s">
        <v>43</v>
      </c>
      <c r="Q1423">
        <v>69.2</v>
      </c>
    </row>
    <row r="1424" spans="1:17" x14ac:dyDescent="0.35">
      <c r="A1424" s="1">
        <v>45824</v>
      </c>
      <c r="B1424" t="s">
        <v>31</v>
      </c>
      <c r="C1424" t="s">
        <v>18</v>
      </c>
      <c r="D1424" t="s">
        <v>32</v>
      </c>
      <c r="E1424" t="s">
        <v>27</v>
      </c>
      <c r="F1424">
        <v>242.43</v>
      </c>
      <c r="G1424">
        <v>64.3</v>
      </c>
      <c r="H1424">
        <v>96.56</v>
      </c>
      <c r="I1424">
        <v>93.37</v>
      </c>
      <c r="J1424">
        <v>78.790000000000006</v>
      </c>
      <c r="K1424" t="s">
        <v>28</v>
      </c>
      <c r="L1424">
        <v>7.7</v>
      </c>
      <c r="M1424">
        <v>3.7</v>
      </c>
      <c r="N1424" t="s">
        <v>39</v>
      </c>
      <c r="O1424">
        <v>9</v>
      </c>
      <c r="P1424" t="s">
        <v>23</v>
      </c>
      <c r="Q1424">
        <v>59.8</v>
      </c>
    </row>
    <row r="1425" spans="1:17" x14ac:dyDescent="0.35">
      <c r="A1425" s="1">
        <v>45824</v>
      </c>
      <c r="B1425" t="s">
        <v>86</v>
      </c>
      <c r="C1425" t="s">
        <v>25</v>
      </c>
      <c r="D1425" t="s">
        <v>87</v>
      </c>
      <c r="E1425" t="s">
        <v>27</v>
      </c>
      <c r="F1425">
        <v>717.08</v>
      </c>
      <c r="G1425">
        <v>34.799999999999997</v>
      </c>
      <c r="H1425">
        <v>94.91</v>
      </c>
      <c r="I1425">
        <v>98.48</v>
      </c>
      <c r="J1425">
        <v>79.22</v>
      </c>
      <c r="K1425" t="s">
        <v>47</v>
      </c>
      <c r="L1425">
        <v>8.3000000000000007</v>
      </c>
      <c r="M1425">
        <v>2.5</v>
      </c>
      <c r="N1425" t="s">
        <v>29</v>
      </c>
      <c r="O1425">
        <v>12</v>
      </c>
      <c r="P1425" t="s">
        <v>30</v>
      </c>
      <c r="Q1425">
        <v>61.6</v>
      </c>
    </row>
    <row r="1426" spans="1:17" x14ac:dyDescent="0.35">
      <c r="A1426" s="1">
        <v>45824</v>
      </c>
      <c r="B1426" t="s">
        <v>55</v>
      </c>
      <c r="C1426" t="s">
        <v>56</v>
      </c>
      <c r="D1426">
        <v>4</v>
      </c>
      <c r="E1426" t="s">
        <v>57</v>
      </c>
      <c r="F1426">
        <v>30</v>
      </c>
      <c r="G1426">
        <v>159.5</v>
      </c>
      <c r="H1426">
        <v>89.52</v>
      </c>
      <c r="I1426">
        <v>94.03</v>
      </c>
      <c r="J1426">
        <v>76.010000000000005</v>
      </c>
      <c r="K1426" t="s">
        <v>63</v>
      </c>
      <c r="L1426">
        <v>6.5</v>
      </c>
      <c r="N1426" t="s">
        <v>35</v>
      </c>
      <c r="O1426">
        <v>3</v>
      </c>
      <c r="P1426" t="s">
        <v>43</v>
      </c>
      <c r="Q1426">
        <v>68.7</v>
      </c>
    </row>
    <row r="1427" spans="1:17" x14ac:dyDescent="0.35">
      <c r="A1427" s="1">
        <v>45824</v>
      </c>
      <c r="B1427" t="s">
        <v>76</v>
      </c>
      <c r="C1427" t="s">
        <v>45</v>
      </c>
      <c r="D1427" t="s">
        <v>77</v>
      </c>
      <c r="E1427" t="s">
        <v>27</v>
      </c>
      <c r="F1427">
        <v>635.76</v>
      </c>
      <c r="G1427">
        <v>384.3</v>
      </c>
      <c r="H1427">
        <v>96.53</v>
      </c>
      <c r="I1427">
        <v>99.44</v>
      </c>
      <c r="J1427">
        <v>75.66</v>
      </c>
      <c r="K1427" t="s">
        <v>34</v>
      </c>
      <c r="L1427">
        <v>8.4</v>
      </c>
      <c r="M1427">
        <v>4.0999999999999996</v>
      </c>
      <c r="N1427" t="s">
        <v>39</v>
      </c>
      <c r="O1427">
        <v>13</v>
      </c>
      <c r="P1427" t="s">
        <v>23</v>
      </c>
      <c r="Q1427">
        <v>63.2</v>
      </c>
    </row>
    <row r="1428" spans="1:17" x14ac:dyDescent="0.35">
      <c r="A1428" s="1">
        <v>45824</v>
      </c>
      <c r="B1428" t="s">
        <v>86</v>
      </c>
      <c r="C1428" t="s">
        <v>25</v>
      </c>
      <c r="D1428" t="s">
        <v>87</v>
      </c>
      <c r="E1428" t="s">
        <v>27</v>
      </c>
      <c r="F1428">
        <v>553.05999999999995</v>
      </c>
      <c r="G1428">
        <v>40.799999999999997</v>
      </c>
      <c r="H1428">
        <v>96.59</v>
      </c>
      <c r="I1428">
        <v>96.95</v>
      </c>
      <c r="J1428">
        <v>75.05</v>
      </c>
      <c r="K1428" t="s">
        <v>47</v>
      </c>
      <c r="L1428">
        <v>8.4</v>
      </c>
      <c r="M1428">
        <v>3.3</v>
      </c>
      <c r="N1428" t="s">
        <v>29</v>
      </c>
      <c r="O1428">
        <v>12</v>
      </c>
      <c r="P1428" t="s">
        <v>30</v>
      </c>
      <c r="Q1428">
        <v>60.7</v>
      </c>
    </row>
    <row r="1429" spans="1:17" x14ac:dyDescent="0.35">
      <c r="A1429" s="1">
        <v>45824</v>
      </c>
      <c r="B1429" t="s">
        <v>55</v>
      </c>
      <c r="C1429" t="s">
        <v>56</v>
      </c>
      <c r="D1429">
        <v>4</v>
      </c>
      <c r="E1429" t="s">
        <v>57</v>
      </c>
      <c r="F1429">
        <v>30</v>
      </c>
      <c r="G1429">
        <v>146.69999999999999</v>
      </c>
      <c r="H1429">
        <v>85.91</v>
      </c>
      <c r="I1429">
        <v>95.34</v>
      </c>
      <c r="J1429">
        <v>72.55</v>
      </c>
      <c r="K1429" t="s">
        <v>63</v>
      </c>
      <c r="L1429">
        <v>6.9</v>
      </c>
      <c r="N1429" t="s">
        <v>35</v>
      </c>
      <c r="O1429">
        <v>3</v>
      </c>
      <c r="P1429" t="s">
        <v>43</v>
      </c>
      <c r="Q1429">
        <v>68.099999999999994</v>
      </c>
    </row>
    <row r="1430" spans="1:17" x14ac:dyDescent="0.35">
      <c r="A1430" s="1">
        <v>45824</v>
      </c>
      <c r="B1430" t="s">
        <v>93</v>
      </c>
      <c r="C1430" t="s">
        <v>37</v>
      </c>
      <c r="D1430" t="s">
        <v>94</v>
      </c>
      <c r="E1430" t="s">
        <v>27</v>
      </c>
      <c r="F1430">
        <v>373.83</v>
      </c>
      <c r="G1430">
        <v>41.6</v>
      </c>
      <c r="H1430">
        <v>97.24</v>
      </c>
      <c r="I1430">
        <v>95.47</v>
      </c>
      <c r="J1430">
        <v>80.38</v>
      </c>
      <c r="K1430" t="s">
        <v>47</v>
      </c>
      <c r="L1430">
        <v>7.3</v>
      </c>
      <c r="M1430">
        <v>4.9000000000000004</v>
      </c>
      <c r="N1430" t="s">
        <v>39</v>
      </c>
      <c r="O1430">
        <v>12</v>
      </c>
      <c r="P1430" t="s">
        <v>23</v>
      </c>
      <c r="Q1430">
        <v>58.6</v>
      </c>
    </row>
    <row r="1431" spans="1:17" x14ac:dyDescent="0.35">
      <c r="A1431" s="1">
        <v>45824</v>
      </c>
      <c r="B1431" t="s">
        <v>40</v>
      </c>
      <c r="C1431" t="s">
        <v>41</v>
      </c>
      <c r="D1431" t="s">
        <v>42</v>
      </c>
      <c r="E1431" t="s">
        <v>27</v>
      </c>
      <c r="F1431">
        <v>631.13</v>
      </c>
      <c r="G1431">
        <v>64.2</v>
      </c>
      <c r="H1431">
        <v>95.69</v>
      </c>
      <c r="I1431">
        <v>97.27</v>
      </c>
      <c r="J1431">
        <v>79.63</v>
      </c>
      <c r="K1431" t="s">
        <v>28</v>
      </c>
      <c r="L1431">
        <v>9.4</v>
      </c>
      <c r="M1431">
        <v>4.0999999999999996</v>
      </c>
      <c r="N1431" t="s">
        <v>29</v>
      </c>
      <c r="O1431">
        <v>11</v>
      </c>
      <c r="P1431" t="s">
        <v>43</v>
      </c>
      <c r="Q1431">
        <v>63</v>
      </c>
    </row>
    <row r="1432" spans="1:17" x14ac:dyDescent="0.35">
      <c r="A1432" s="1">
        <v>45824</v>
      </c>
      <c r="B1432" t="s">
        <v>99</v>
      </c>
      <c r="C1432" t="s">
        <v>72</v>
      </c>
      <c r="D1432" t="s">
        <v>100</v>
      </c>
      <c r="E1432" t="s">
        <v>27</v>
      </c>
      <c r="F1432">
        <v>79.75</v>
      </c>
      <c r="G1432">
        <v>28.9</v>
      </c>
      <c r="H1432">
        <v>97.82</v>
      </c>
      <c r="I1432">
        <v>96.08</v>
      </c>
      <c r="J1432">
        <v>75.069999999999993</v>
      </c>
      <c r="K1432" t="s">
        <v>34</v>
      </c>
      <c r="L1432">
        <v>6.7</v>
      </c>
      <c r="M1432">
        <v>3.3</v>
      </c>
      <c r="N1432" t="s">
        <v>29</v>
      </c>
      <c r="O1432">
        <v>13</v>
      </c>
      <c r="P1432" t="s">
        <v>23</v>
      </c>
      <c r="Q1432">
        <v>57.7</v>
      </c>
    </row>
    <row r="1433" spans="1:17" x14ac:dyDescent="0.35">
      <c r="A1433" s="1">
        <v>45824</v>
      </c>
      <c r="B1433" t="s">
        <v>86</v>
      </c>
      <c r="C1433" t="s">
        <v>25</v>
      </c>
      <c r="D1433" t="s">
        <v>87</v>
      </c>
      <c r="E1433" t="s">
        <v>27</v>
      </c>
      <c r="F1433">
        <v>717.87</v>
      </c>
      <c r="G1433">
        <v>47.5</v>
      </c>
      <c r="H1433">
        <v>96.04</v>
      </c>
      <c r="I1433">
        <v>97.79</v>
      </c>
      <c r="J1433">
        <v>78.66</v>
      </c>
      <c r="K1433" t="s">
        <v>34</v>
      </c>
      <c r="L1433">
        <v>8.6999999999999993</v>
      </c>
      <c r="M1433">
        <v>4.9000000000000004</v>
      </c>
      <c r="N1433" t="s">
        <v>29</v>
      </c>
      <c r="O1433">
        <v>10</v>
      </c>
      <c r="P1433" t="s">
        <v>30</v>
      </c>
      <c r="Q1433">
        <v>60.9</v>
      </c>
    </row>
    <row r="1434" spans="1:17" x14ac:dyDescent="0.35">
      <c r="A1434" s="1">
        <v>45824</v>
      </c>
      <c r="B1434" t="s">
        <v>17</v>
      </c>
      <c r="C1434" t="s">
        <v>18</v>
      </c>
      <c r="D1434" t="s">
        <v>19</v>
      </c>
      <c r="E1434" t="s">
        <v>20</v>
      </c>
      <c r="F1434">
        <v>235.04</v>
      </c>
      <c r="G1434">
        <v>232.8</v>
      </c>
      <c r="H1434">
        <v>89.28</v>
      </c>
      <c r="I1434">
        <v>96.35</v>
      </c>
      <c r="J1434">
        <v>75.790000000000006</v>
      </c>
      <c r="K1434" t="s">
        <v>63</v>
      </c>
      <c r="L1434">
        <v>7.4</v>
      </c>
      <c r="N1434" t="s">
        <v>35</v>
      </c>
      <c r="O1434">
        <v>5</v>
      </c>
      <c r="P1434" t="s">
        <v>23</v>
      </c>
      <c r="Q1434">
        <v>71.099999999999994</v>
      </c>
    </row>
    <row r="1435" spans="1:17" x14ac:dyDescent="0.35">
      <c r="A1435" s="1">
        <v>45824</v>
      </c>
      <c r="B1435" t="s">
        <v>24</v>
      </c>
      <c r="C1435" t="s">
        <v>25</v>
      </c>
      <c r="D1435" t="s">
        <v>26</v>
      </c>
      <c r="E1435" t="s">
        <v>27</v>
      </c>
      <c r="F1435">
        <v>201.68</v>
      </c>
      <c r="G1435">
        <v>57.6</v>
      </c>
      <c r="H1435">
        <v>93.36</v>
      </c>
      <c r="I1435">
        <v>98.19</v>
      </c>
      <c r="J1435">
        <v>78.12</v>
      </c>
      <c r="K1435" t="s">
        <v>47</v>
      </c>
      <c r="L1435">
        <v>7.6</v>
      </c>
      <c r="M1435">
        <v>3.6</v>
      </c>
      <c r="N1435" t="s">
        <v>29</v>
      </c>
      <c r="O1435">
        <v>8</v>
      </c>
      <c r="P1435" t="s">
        <v>30</v>
      </c>
      <c r="Q1435">
        <v>59.7</v>
      </c>
    </row>
    <row r="1436" spans="1:17" x14ac:dyDescent="0.35">
      <c r="A1436" s="1">
        <v>45824</v>
      </c>
      <c r="B1436" t="s">
        <v>17</v>
      </c>
      <c r="C1436" t="s">
        <v>18</v>
      </c>
      <c r="D1436" t="s">
        <v>19</v>
      </c>
      <c r="E1436" t="s">
        <v>20</v>
      </c>
      <c r="F1436">
        <v>273.83</v>
      </c>
      <c r="G1436">
        <v>171</v>
      </c>
      <c r="H1436">
        <v>89.01</v>
      </c>
      <c r="I1436">
        <v>95.21</v>
      </c>
      <c r="J1436">
        <v>78.930000000000007</v>
      </c>
      <c r="K1436" t="s">
        <v>58</v>
      </c>
      <c r="L1436">
        <v>7.4</v>
      </c>
      <c r="N1436" t="s">
        <v>22</v>
      </c>
      <c r="O1436">
        <v>10</v>
      </c>
      <c r="P1436" t="s">
        <v>23</v>
      </c>
      <c r="Q1436">
        <v>71.400000000000006</v>
      </c>
    </row>
    <row r="1437" spans="1:17" x14ac:dyDescent="0.35">
      <c r="A1437" s="1">
        <v>45824</v>
      </c>
      <c r="B1437" t="s">
        <v>24</v>
      </c>
      <c r="C1437" t="s">
        <v>25</v>
      </c>
      <c r="D1437" t="s">
        <v>26</v>
      </c>
      <c r="E1437" t="s">
        <v>27</v>
      </c>
      <c r="F1437">
        <v>727.16</v>
      </c>
      <c r="G1437">
        <v>59.2</v>
      </c>
      <c r="H1437">
        <v>94.57</v>
      </c>
      <c r="I1437">
        <v>98.06</v>
      </c>
      <c r="J1437">
        <v>83.73</v>
      </c>
      <c r="K1437" t="s">
        <v>28</v>
      </c>
      <c r="L1437">
        <v>8.8000000000000007</v>
      </c>
      <c r="M1437">
        <v>3.7</v>
      </c>
      <c r="N1437" t="s">
        <v>29</v>
      </c>
      <c r="O1437">
        <v>12</v>
      </c>
      <c r="P1437" t="s">
        <v>30</v>
      </c>
      <c r="Q1437">
        <v>62.8</v>
      </c>
    </row>
    <row r="1438" spans="1:17" x14ac:dyDescent="0.35">
      <c r="A1438" s="1">
        <v>45824</v>
      </c>
      <c r="B1438" t="s">
        <v>84</v>
      </c>
      <c r="C1438" t="s">
        <v>18</v>
      </c>
      <c r="D1438" t="s">
        <v>85</v>
      </c>
      <c r="E1438" t="s">
        <v>27</v>
      </c>
      <c r="F1438">
        <v>105.37</v>
      </c>
      <c r="G1438">
        <v>71.599999999999994</v>
      </c>
      <c r="H1438">
        <v>92.18</v>
      </c>
      <c r="I1438">
        <v>96.72</v>
      </c>
      <c r="J1438">
        <v>78.27</v>
      </c>
      <c r="K1438" t="s">
        <v>34</v>
      </c>
      <c r="L1438">
        <v>7.5</v>
      </c>
      <c r="M1438">
        <v>2.2999999999999998</v>
      </c>
      <c r="N1438" t="s">
        <v>29</v>
      </c>
      <c r="O1438">
        <v>15</v>
      </c>
      <c r="P1438" t="s">
        <v>23</v>
      </c>
      <c r="Q1438">
        <v>60.2</v>
      </c>
    </row>
    <row r="1439" spans="1:17" x14ac:dyDescent="0.35">
      <c r="A1439" s="1">
        <v>45824</v>
      </c>
      <c r="B1439" t="s">
        <v>74</v>
      </c>
      <c r="C1439" t="s">
        <v>67</v>
      </c>
      <c r="D1439" t="s">
        <v>75</v>
      </c>
      <c r="E1439" t="s">
        <v>27</v>
      </c>
      <c r="F1439">
        <v>271.42</v>
      </c>
      <c r="G1439">
        <v>48</v>
      </c>
      <c r="H1439">
        <v>96.71</v>
      </c>
      <c r="I1439">
        <v>94.22</v>
      </c>
      <c r="J1439">
        <v>79.069999999999993</v>
      </c>
      <c r="K1439" t="s">
        <v>47</v>
      </c>
      <c r="L1439">
        <v>8.3000000000000007</v>
      </c>
      <c r="M1439">
        <v>3.3</v>
      </c>
      <c r="N1439" t="s">
        <v>39</v>
      </c>
      <c r="O1439">
        <v>10</v>
      </c>
      <c r="P1439" t="s">
        <v>23</v>
      </c>
      <c r="Q1439">
        <v>60.9</v>
      </c>
    </row>
    <row r="1440" spans="1:17" x14ac:dyDescent="0.35">
      <c r="A1440" s="1">
        <v>45824</v>
      </c>
      <c r="B1440" t="s">
        <v>64</v>
      </c>
      <c r="C1440" t="s">
        <v>25</v>
      </c>
      <c r="D1440" t="s">
        <v>65</v>
      </c>
      <c r="E1440" t="s">
        <v>27</v>
      </c>
      <c r="F1440">
        <v>464.76</v>
      </c>
      <c r="G1440">
        <v>59.5</v>
      </c>
      <c r="H1440">
        <v>96.59</v>
      </c>
      <c r="I1440">
        <v>98.45</v>
      </c>
      <c r="J1440">
        <v>81.459999999999994</v>
      </c>
      <c r="K1440" t="s">
        <v>34</v>
      </c>
      <c r="L1440">
        <v>8.6</v>
      </c>
      <c r="M1440">
        <v>4.5999999999999996</v>
      </c>
      <c r="N1440" t="s">
        <v>29</v>
      </c>
      <c r="O1440">
        <v>14</v>
      </c>
      <c r="P1440" t="s">
        <v>30</v>
      </c>
      <c r="Q1440">
        <v>61.9</v>
      </c>
    </row>
    <row r="1441" spans="1:17" x14ac:dyDescent="0.35">
      <c r="A1441" s="1">
        <v>45824</v>
      </c>
      <c r="B1441" t="s">
        <v>78</v>
      </c>
      <c r="C1441" t="s">
        <v>41</v>
      </c>
      <c r="D1441" t="s">
        <v>79</v>
      </c>
      <c r="E1441" t="s">
        <v>27</v>
      </c>
      <c r="F1441">
        <v>234.67</v>
      </c>
      <c r="G1441">
        <v>20.100000000000001</v>
      </c>
      <c r="H1441">
        <v>93.2</v>
      </c>
      <c r="I1441">
        <v>96.49</v>
      </c>
      <c r="J1441">
        <v>78.290000000000006</v>
      </c>
      <c r="K1441" t="s">
        <v>34</v>
      </c>
      <c r="L1441">
        <v>8.1</v>
      </c>
      <c r="M1441">
        <v>4.2</v>
      </c>
      <c r="N1441" t="s">
        <v>39</v>
      </c>
      <c r="O1441">
        <v>11</v>
      </c>
      <c r="P1441" t="s">
        <v>43</v>
      </c>
      <c r="Q1441">
        <v>59.1</v>
      </c>
    </row>
    <row r="1442" spans="1:17" x14ac:dyDescent="0.35">
      <c r="A1442" s="1">
        <v>45824</v>
      </c>
      <c r="B1442" t="s">
        <v>64</v>
      </c>
      <c r="C1442" t="s">
        <v>25</v>
      </c>
      <c r="D1442" t="s">
        <v>65</v>
      </c>
      <c r="E1442" t="s">
        <v>27</v>
      </c>
      <c r="F1442">
        <v>725.76</v>
      </c>
      <c r="G1442">
        <v>63.1</v>
      </c>
      <c r="H1442">
        <v>94.04</v>
      </c>
      <c r="I1442">
        <v>97.05</v>
      </c>
      <c r="J1442">
        <v>81.86</v>
      </c>
      <c r="K1442" t="s">
        <v>34</v>
      </c>
      <c r="L1442">
        <v>9.1</v>
      </c>
      <c r="M1442">
        <v>3.9</v>
      </c>
      <c r="N1442" t="s">
        <v>29</v>
      </c>
      <c r="O1442">
        <v>8</v>
      </c>
      <c r="P1442" t="s">
        <v>30</v>
      </c>
      <c r="Q1442">
        <v>62.6</v>
      </c>
    </row>
    <row r="1443" spans="1:17" x14ac:dyDescent="0.35">
      <c r="A1443" s="1">
        <v>45824</v>
      </c>
      <c r="B1443" t="s">
        <v>91</v>
      </c>
      <c r="C1443" t="s">
        <v>67</v>
      </c>
      <c r="D1443" t="s">
        <v>92</v>
      </c>
      <c r="E1443" t="s">
        <v>27</v>
      </c>
      <c r="F1443">
        <v>699.76</v>
      </c>
      <c r="G1443">
        <v>55</v>
      </c>
      <c r="H1443">
        <v>97.83</v>
      </c>
      <c r="I1443">
        <v>93.91</v>
      </c>
      <c r="J1443">
        <v>78</v>
      </c>
      <c r="K1443" t="s">
        <v>28</v>
      </c>
      <c r="L1443">
        <v>8.6999999999999993</v>
      </c>
      <c r="M1443">
        <v>4.4000000000000004</v>
      </c>
      <c r="N1443" t="s">
        <v>29</v>
      </c>
      <c r="O1443">
        <v>14</v>
      </c>
      <c r="P1443" t="s">
        <v>43</v>
      </c>
      <c r="Q1443">
        <v>60.9</v>
      </c>
    </row>
    <row r="1444" spans="1:17" x14ac:dyDescent="0.35">
      <c r="A1444" s="1">
        <v>45824</v>
      </c>
      <c r="B1444" t="s">
        <v>64</v>
      </c>
      <c r="C1444" t="s">
        <v>25</v>
      </c>
      <c r="D1444" t="s">
        <v>65</v>
      </c>
      <c r="E1444" t="s">
        <v>27</v>
      </c>
      <c r="F1444">
        <v>212.05</v>
      </c>
      <c r="G1444">
        <v>32.1</v>
      </c>
      <c r="H1444">
        <v>92.63</v>
      </c>
      <c r="I1444">
        <v>96.85</v>
      </c>
      <c r="J1444">
        <v>83.88</v>
      </c>
      <c r="K1444" t="s">
        <v>47</v>
      </c>
      <c r="L1444">
        <v>8.1</v>
      </c>
      <c r="M1444">
        <v>3.4</v>
      </c>
      <c r="N1444" t="s">
        <v>39</v>
      </c>
      <c r="O1444">
        <v>9</v>
      </c>
      <c r="P1444" t="s">
        <v>30</v>
      </c>
      <c r="Q1444">
        <v>60.8</v>
      </c>
    </row>
    <row r="1445" spans="1:17" x14ac:dyDescent="0.35">
      <c r="A1445" s="1">
        <v>45824</v>
      </c>
      <c r="B1445" t="s">
        <v>40</v>
      </c>
      <c r="C1445" t="s">
        <v>41</v>
      </c>
      <c r="D1445" t="s">
        <v>42</v>
      </c>
      <c r="E1445" t="s">
        <v>27</v>
      </c>
      <c r="F1445">
        <v>394.9</v>
      </c>
      <c r="G1445">
        <v>48</v>
      </c>
      <c r="H1445">
        <v>93.04</v>
      </c>
      <c r="I1445">
        <v>98.17</v>
      </c>
      <c r="J1445">
        <v>75.09</v>
      </c>
      <c r="K1445" t="s">
        <v>47</v>
      </c>
      <c r="L1445">
        <v>7.8</v>
      </c>
      <c r="M1445">
        <v>2.7</v>
      </c>
      <c r="N1445" t="s">
        <v>39</v>
      </c>
      <c r="O1445">
        <v>14</v>
      </c>
      <c r="P1445" t="s">
        <v>43</v>
      </c>
      <c r="Q1445">
        <v>59.9</v>
      </c>
    </row>
    <row r="1446" spans="1:17" x14ac:dyDescent="0.35">
      <c r="A1446" s="1">
        <v>45824</v>
      </c>
      <c r="B1446" t="s">
        <v>95</v>
      </c>
      <c r="C1446" t="s">
        <v>49</v>
      </c>
      <c r="D1446" t="s">
        <v>96</v>
      </c>
      <c r="E1446" t="s">
        <v>33</v>
      </c>
      <c r="F1446">
        <v>403.55</v>
      </c>
      <c r="G1446">
        <v>139.30000000000001</v>
      </c>
      <c r="H1446">
        <v>95.79</v>
      </c>
      <c r="I1446">
        <v>96.84</v>
      </c>
      <c r="J1446">
        <v>70.91</v>
      </c>
      <c r="K1446" t="s">
        <v>28</v>
      </c>
      <c r="L1446">
        <v>9.3000000000000007</v>
      </c>
      <c r="M1446">
        <v>2.7</v>
      </c>
      <c r="N1446" t="s">
        <v>22</v>
      </c>
      <c r="O1446">
        <v>7</v>
      </c>
      <c r="P1446" t="s">
        <v>43</v>
      </c>
      <c r="Q1446">
        <v>63.7</v>
      </c>
    </row>
    <row r="1447" spans="1:17" x14ac:dyDescent="0.35">
      <c r="A1447" s="1">
        <v>45824</v>
      </c>
      <c r="B1447" t="s">
        <v>44</v>
      </c>
      <c r="C1447" t="s">
        <v>45</v>
      </c>
      <c r="D1447" t="s">
        <v>46</v>
      </c>
      <c r="E1447" t="s">
        <v>33</v>
      </c>
      <c r="F1447">
        <v>770.62</v>
      </c>
      <c r="G1447">
        <v>499.5</v>
      </c>
      <c r="H1447">
        <v>96.42</v>
      </c>
      <c r="I1447">
        <v>98.34</v>
      </c>
      <c r="J1447">
        <v>79.83</v>
      </c>
      <c r="K1447" t="s">
        <v>34</v>
      </c>
      <c r="L1447">
        <v>9.1</v>
      </c>
      <c r="M1447">
        <v>2.2000000000000002</v>
      </c>
      <c r="N1447" t="s">
        <v>35</v>
      </c>
      <c r="O1447">
        <v>5</v>
      </c>
      <c r="P1447" t="s">
        <v>23</v>
      </c>
      <c r="Q1447">
        <v>66.099999999999994</v>
      </c>
    </row>
    <row r="1448" spans="1:17" x14ac:dyDescent="0.35">
      <c r="A1448" s="1">
        <v>45824</v>
      </c>
      <c r="B1448" t="s">
        <v>76</v>
      </c>
      <c r="C1448" t="s">
        <v>45</v>
      </c>
      <c r="D1448" t="s">
        <v>77</v>
      </c>
      <c r="E1448" t="s">
        <v>33</v>
      </c>
      <c r="F1448">
        <v>465.4</v>
      </c>
      <c r="G1448">
        <v>542.5</v>
      </c>
      <c r="H1448">
        <v>95.87</v>
      </c>
      <c r="I1448">
        <v>98.87</v>
      </c>
      <c r="J1448">
        <v>72.59</v>
      </c>
      <c r="K1448" t="s">
        <v>47</v>
      </c>
      <c r="L1448">
        <v>8</v>
      </c>
      <c r="M1448">
        <v>1.7</v>
      </c>
      <c r="N1448" t="s">
        <v>22</v>
      </c>
      <c r="O1448">
        <v>8</v>
      </c>
      <c r="P1448" t="s">
        <v>23</v>
      </c>
      <c r="Q1448">
        <v>63.4</v>
      </c>
    </row>
    <row r="1449" spans="1:17" x14ac:dyDescent="0.35">
      <c r="A1449" s="1">
        <v>45824</v>
      </c>
      <c r="B1449" t="s">
        <v>71</v>
      </c>
      <c r="C1449" t="s">
        <v>72</v>
      </c>
      <c r="D1449" t="s">
        <v>73</v>
      </c>
      <c r="E1449" t="s">
        <v>27</v>
      </c>
      <c r="F1449">
        <v>104.14</v>
      </c>
      <c r="G1449">
        <v>65.599999999999994</v>
      </c>
      <c r="H1449">
        <v>96.78</v>
      </c>
      <c r="I1449">
        <v>96.32</v>
      </c>
      <c r="J1449">
        <v>76.680000000000007</v>
      </c>
      <c r="K1449" t="s">
        <v>47</v>
      </c>
      <c r="L1449">
        <v>6.1</v>
      </c>
      <c r="M1449">
        <v>3.3</v>
      </c>
      <c r="N1449" t="s">
        <v>39</v>
      </c>
      <c r="O1449">
        <v>13</v>
      </c>
      <c r="P1449" t="s">
        <v>43</v>
      </c>
      <c r="Q1449">
        <v>57.6</v>
      </c>
    </row>
    <row r="1450" spans="1:17" x14ac:dyDescent="0.35">
      <c r="A1450" s="1">
        <v>45824</v>
      </c>
      <c r="B1450" t="s">
        <v>59</v>
      </c>
      <c r="C1450" t="s">
        <v>60</v>
      </c>
      <c r="D1450" t="s">
        <v>61</v>
      </c>
      <c r="E1450" t="s">
        <v>62</v>
      </c>
      <c r="F1450">
        <v>315.14999999999998</v>
      </c>
      <c r="G1450">
        <v>179.8</v>
      </c>
      <c r="H1450">
        <v>91.68</v>
      </c>
      <c r="I1450">
        <v>93.21</v>
      </c>
      <c r="J1450">
        <v>91.94</v>
      </c>
      <c r="K1450" t="s">
        <v>63</v>
      </c>
      <c r="L1450">
        <v>7.2</v>
      </c>
      <c r="N1450" t="s">
        <v>35</v>
      </c>
      <c r="O1450">
        <v>4</v>
      </c>
      <c r="P1450" t="s">
        <v>43</v>
      </c>
      <c r="Q1450">
        <v>73.8</v>
      </c>
    </row>
    <row r="1451" spans="1:17" x14ac:dyDescent="0.35">
      <c r="A1451" s="1">
        <v>45824</v>
      </c>
      <c r="B1451" t="s">
        <v>51</v>
      </c>
      <c r="C1451" t="s">
        <v>45</v>
      </c>
      <c r="D1451" t="s">
        <v>52</v>
      </c>
      <c r="E1451" t="s">
        <v>27</v>
      </c>
      <c r="F1451">
        <v>184</v>
      </c>
      <c r="G1451">
        <v>321</v>
      </c>
      <c r="H1451">
        <v>95.36</v>
      </c>
      <c r="I1451">
        <v>98.67</v>
      </c>
      <c r="J1451">
        <v>77.67</v>
      </c>
      <c r="K1451" t="s">
        <v>47</v>
      </c>
      <c r="L1451">
        <v>6.2</v>
      </c>
      <c r="M1451">
        <v>3.2</v>
      </c>
      <c r="N1451" t="s">
        <v>29</v>
      </c>
      <c r="O1451">
        <v>13</v>
      </c>
      <c r="P1451" t="s">
        <v>23</v>
      </c>
      <c r="Q1451">
        <v>60.1</v>
      </c>
    </row>
    <row r="1452" spans="1:17" x14ac:dyDescent="0.35">
      <c r="A1452" s="1">
        <v>45824</v>
      </c>
      <c r="B1452" t="s">
        <v>24</v>
      </c>
      <c r="C1452" t="s">
        <v>25</v>
      </c>
      <c r="D1452" t="s">
        <v>26</v>
      </c>
      <c r="E1452" t="s">
        <v>27</v>
      </c>
      <c r="F1452">
        <v>449.47</v>
      </c>
      <c r="G1452">
        <v>40.9</v>
      </c>
      <c r="H1452">
        <v>93.48</v>
      </c>
      <c r="I1452">
        <v>97.19</v>
      </c>
      <c r="J1452">
        <v>84.21</v>
      </c>
      <c r="K1452" t="s">
        <v>34</v>
      </c>
      <c r="L1452">
        <v>8.9</v>
      </c>
      <c r="M1452">
        <v>3.9</v>
      </c>
      <c r="N1452" t="s">
        <v>39</v>
      </c>
      <c r="O1452">
        <v>10</v>
      </c>
      <c r="P1452" t="s">
        <v>30</v>
      </c>
      <c r="Q1452">
        <v>62.2</v>
      </c>
    </row>
    <row r="1453" spans="1:17" x14ac:dyDescent="0.35">
      <c r="A1453" s="1">
        <v>45824</v>
      </c>
      <c r="B1453" t="s">
        <v>69</v>
      </c>
      <c r="C1453" t="s">
        <v>18</v>
      </c>
      <c r="D1453" t="s">
        <v>70</v>
      </c>
      <c r="E1453" t="s">
        <v>20</v>
      </c>
      <c r="F1453">
        <v>98.56</v>
      </c>
      <c r="G1453">
        <v>223.8</v>
      </c>
      <c r="H1453">
        <v>94.37</v>
      </c>
      <c r="I1453">
        <v>95.94</v>
      </c>
      <c r="J1453">
        <v>75.56</v>
      </c>
      <c r="K1453" t="s">
        <v>63</v>
      </c>
      <c r="L1453">
        <v>7.6</v>
      </c>
      <c r="N1453" t="s">
        <v>35</v>
      </c>
      <c r="O1453">
        <v>5</v>
      </c>
      <c r="P1453" t="s">
        <v>23</v>
      </c>
      <c r="Q1453">
        <v>72.400000000000006</v>
      </c>
    </row>
    <row r="1454" spans="1:17" x14ac:dyDescent="0.35">
      <c r="A1454" s="1">
        <v>45824</v>
      </c>
      <c r="B1454" t="s">
        <v>93</v>
      </c>
      <c r="C1454" t="s">
        <v>37</v>
      </c>
      <c r="D1454" t="s">
        <v>94</v>
      </c>
      <c r="E1454" t="s">
        <v>27</v>
      </c>
      <c r="F1454">
        <v>215.77</v>
      </c>
      <c r="G1454">
        <v>31.9</v>
      </c>
      <c r="H1454">
        <v>93.08</v>
      </c>
      <c r="I1454">
        <v>96.83</v>
      </c>
      <c r="J1454">
        <v>80.989999999999995</v>
      </c>
      <c r="K1454" t="s">
        <v>28</v>
      </c>
      <c r="L1454">
        <v>8</v>
      </c>
      <c r="M1454">
        <v>4.5999999999999996</v>
      </c>
      <c r="N1454" t="s">
        <v>39</v>
      </c>
      <c r="O1454">
        <v>12</v>
      </c>
      <c r="P1454" t="s">
        <v>23</v>
      </c>
      <c r="Q1454">
        <v>59.4</v>
      </c>
    </row>
    <row r="1455" spans="1:17" x14ac:dyDescent="0.35">
      <c r="A1455" s="1">
        <v>45824</v>
      </c>
      <c r="B1455" t="s">
        <v>80</v>
      </c>
      <c r="C1455" t="s">
        <v>45</v>
      </c>
      <c r="D1455" t="s">
        <v>81</v>
      </c>
      <c r="E1455" t="s">
        <v>33</v>
      </c>
      <c r="F1455">
        <v>468.28</v>
      </c>
      <c r="G1455">
        <v>662.8</v>
      </c>
      <c r="H1455">
        <v>96.87</v>
      </c>
      <c r="I1455">
        <v>98.45</v>
      </c>
      <c r="J1455">
        <v>70.45</v>
      </c>
      <c r="K1455" t="s">
        <v>47</v>
      </c>
      <c r="L1455">
        <v>9.4</v>
      </c>
      <c r="M1455">
        <v>4.9000000000000004</v>
      </c>
      <c r="N1455" t="s">
        <v>22</v>
      </c>
      <c r="O1455">
        <v>9</v>
      </c>
      <c r="P1455" t="s">
        <v>23</v>
      </c>
      <c r="Q1455">
        <v>63.4</v>
      </c>
    </row>
    <row r="1456" spans="1:17" x14ac:dyDescent="0.35">
      <c r="A1456" s="1">
        <v>45824</v>
      </c>
      <c r="B1456" t="s">
        <v>36</v>
      </c>
      <c r="C1456" t="s">
        <v>37</v>
      </c>
      <c r="D1456" t="s">
        <v>38</v>
      </c>
      <c r="E1456" t="s">
        <v>27</v>
      </c>
      <c r="F1456">
        <v>433.22</v>
      </c>
      <c r="G1456">
        <v>48.5</v>
      </c>
      <c r="H1456">
        <v>96.64</v>
      </c>
      <c r="I1456">
        <v>94.98</v>
      </c>
      <c r="J1456">
        <v>80.11</v>
      </c>
      <c r="K1456" t="s">
        <v>28</v>
      </c>
      <c r="L1456">
        <v>8.1999999999999993</v>
      </c>
      <c r="M1456">
        <v>4.2</v>
      </c>
      <c r="N1456" t="s">
        <v>39</v>
      </c>
      <c r="O1456">
        <v>13</v>
      </c>
      <c r="P1456" t="s">
        <v>23</v>
      </c>
      <c r="Q1456">
        <v>60.5</v>
      </c>
    </row>
    <row r="1457" spans="1:17" x14ac:dyDescent="0.35">
      <c r="A1457" s="1">
        <v>45824</v>
      </c>
      <c r="B1457" t="s">
        <v>71</v>
      </c>
      <c r="C1457" t="s">
        <v>72</v>
      </c>
      <c r="D1457" t="s">
        <v>73</v>
      </c>
      <c r="E1457" t="s">
        <v>33</v>
      </c>
      <c r="F1457">
        <v>243.5</v>
      </c>
      <c r="G1457">
        <v>178.1</v>
      </c>
      <c r="H1457">
        <v>92.33</v>
      </c>
      <c r="I1457">
        <v>93.66</v>
      </c>
      <c r="J1457">
        <v>72.5</v>
      </c>
      <c r="K1457" t="s">
        <v>47</v>
      </c>
      <c r="L1457">
        <v>7.3</v>
      </c>
      <c r="M1457">
        <v>4.8</v>
      </c>
      <c r="N1457" t="s">
        <v>35</v>
      </c>
      <c r="O1457">
        <v>8</v>
      </c>
      <c r="P1457" t="s">
        <v>23</v>
      </c>
      <c r="Q1457">
        <v>58.7</v>
      </c>
    </row>
    <row r="1458" spans="1:17" x14ac:dyDescent="0.35">
      <c r="A1458" s="1">
        <v>45824</v>
      </c>
      <c r="B1458" t="s">
        <v>48</v>
      </c>
      <c r="C1458" t="s">
        <v>49</v>
      </c>
      <c r="D1458" t="s">
        <v>50</v>
      </c>
      <c r="E1458" t="s">
        <v>27</v>
      </c>
      <c r="F1458">
        <v>491.77</v>
      </c>
      <c r="G1458">
        <v>71.7</v>
      </c>
      <c r="H1458">
        <v>94.9</v>
      </c>
      <c r="I1458">
        <v>95.46</v>
      </c>
      <c r="J1458">
        <v>80.459999999999994</v>
      </c>
      <c r="K1458" t="s">
        <v>47</v>
      </c>
      <c r="L1458">
        <v>8.8000000000000007</v>
      </c>
      <c r="M1458">
        <v>2.4</v>
      </c>
      <c r="N1458" t="s">
        <v>29</v>
      </c>
      <c r="O1458">
        <v>8</v>
      </c>
      <c r="P1458" t="s">
        <v>43</v>
      </c>
      <c r="Q1458">
        <v>63</v>
      </c>
    </row>
    <row r="1459" spans="1:17" x14ac:dyDescent="0.35">
      <c r="A1459" s="1">
        <v>45824</v>
      </c>
      <c r="B1459" t="s">
        <v>53</v>
      </c>
      <c r="C1459" t="s">
        <v>41</v>
      </c>
      <c r="D1459" t="s">
        <v>54</v>
      </c>
      <c r="E1459" t="s">
        <v>27</v>
      </c>
      <c r="F1459">
        <v>495.82</v>
      </c>
      <c r="G1459">
        <v>54.7</v>
      </c>
      <c r="H1459">
        <v>92.03</v>
      </c>
      <c r="I1459">
        <v>97.21</v>
      </c>
      <c r="J1459">
        <v>84.06</v>
      </c>
      <c r="K1459" t="s">
        <v>28</v>
      </c>
      <c r="L1459">
        <v>8.1</v>
      </c>
      <c r="M1459">
        <v>3.3</v>
      </c>
      <c r="N1459" t="s">
        <v>39</v>
      </c>
      <c r="O1459">
        <v>13</v>
      </c>
      <c r="P1459" t="s">
        <v>43</v>
      </c>
      <c r="Q1459">
        <v>61.3</v>
      </c>
    </row>
    <row r="1460" spans="1:17" x14ac:dyDescent="0.35">
      <c r="A1460" s="1">
        <v>45824</v>
      </c>
      <c r="B1460" t="s">
        <v>80</v>
      </c>
      <c r="C1460" t="s">
        <v>45</v>
      </c>
      <c r="D1460" t="s">
        <v>81</v>
      </c>
      <c r="E1460" t="s">
        <v>27</v>
      </c>
      <c r="F1460">
        <v>607.54999999999995</v>
      </c>
      <c r="G1460">
        <v>606</v>
      </c>
      <c r="H1460">
        <v>96.34</v>
      </c>
      <c r="I1460">
        <v>98.25</v>
      </c>
      <c r="J1460">
        <v>76</v>
      </c>
      <c r="K1460" t="s">
        <v>34</v>
      </c>
      <c r="L1460">
        <v>9.3000000000000007</v>
      </c>
      <c r="M1460">
        <v>1.8</v>
      </c>
      <c r="N1460" t="s">
        <v>39</v>
      </c>
      <c r="O1460">
        <v>9</v>
      </c>
      <c r="P1460" t="s">
        <v>23</v>
      </c>
      <c r="Q1460">
        <v>66.099999999999994</v>
      </c>
    </row>
    <row r="1461" spans="1:17" x14ac:dyDescent="0.35">
      <c r="A1461" s="1">
        <v>45824</v>
      </c>
      <c r="B1461" t="s">
        <v>55</v>
      </c>
      <c r="C1461" t="s">
        <v>56</v>
      </c>
      <c r="D1461">
        <v>4</v>
      </c>
      <c r="E1461" t="s">
        <v>57</v>
      </c>
      <c r="F1461">
        <v>30</v>
      </c>
      <c r="G1461">
        <v>138.80000000000001</v>
      </c>
      <c r="H1461">
        <v>85.09</v>
      </c>
      <c r="I1461">
        <v>96.19</v>
      </c>
      <c r="J1461">
        <v>77.72</v>
      </c>
      <c r="K1461" t="s">
        <v>58</v>
      </c>
      <c r="L1461">
        <v>7.1</v>
      </c>
      <c r="N1461" t="s">
        <v>35</v>
      </c>
      <c r="O1461">
        <v>2</v>
      </c>
      <c r="P1461" t="s">
        <v>43</v>
      </c>
      <c r="Q1461">
        <v>69.3</v>
      </c>
    </row>
    <row r="1462" spans="1:17" x14ac:dyDescent="0.35">
      <c r="A1462" s="1">
        <v>45824</v>
      </c>
      <c r="B1462" t="s">
        <v>36</v>
      </c>
      <c r="C1462" t="s">
        <v>37</v>
      </c>
      <c r="D1462" t="s">
        <v>38</v>
      </c>
      <c r="E1462" t="s">
        <v>33</v>
      </c>
      <c r="F1462">
        <v>408.5</v>
      </c>
      <c r="G1462">
        <v>223.5</v>
      </c>
      <c r="H1462">
        <v>97.79</v>
      </c>
      <c r="I1462">
        <v>96.13</v>
      </c>
      <c r="J1462">
        <v>75.72</v>
      </c>
      <c r="K1462" t="s">
        <v>47</v>
      </c>
      <c r="L1462">
        <v>9.1</v>
      </c>
      <c r="M1462">
        <v>3.6</v>
      </c>
      <c r="N1462" t="s">
        <v>22</v>
      </c>
      <c r="O1462">
        <v>6</v>
      </c>
      <c r="P1462" t="s">
        <v>23</v>
      </c>
      <c r="Q1462">
        <v>64.400000000000006</v>
      </c>
    </row>
    <row r="1463" spans="1:17" x14ac:dyDescent="0.35">
      <c r="A1463" s="1">
        <v>45824</v>
      </c>
      <c r="B1463" t="s">
        <v>24</v>
      </c>
      <c r="C1463" t="s">
        <v>25</v>
      </c>
      <c r="D1463" t="s">
        <v>26</v>
      </c>
      <c r="E1463" t="s">
        <v>27</v>
      </c>
      <c r="F1463">
        <v>371.75</v>
      </c>
      <c r="G1463">
        <v>33</v>
      </c>
      <c r="H1463">
        <v>96.46</v>
      </c>
      <c r="I1463">
        <v>97.83</v>
      </c>
      <c r="J1463">
        <v>84.17</v>
      </c>
      <c r="K1463" t="s">
        <v>47</v>
      </c>
      <c r="L1463">
        <v>7.8</v>
      </c>
      <c r="M1463">
        <v>1.7</v>
      </c>
      <c r="N1463" t="s">
        <v>29</v>
      </c>
      <c r="O1463">
        <v>15</v>
      </c>
      <c r="P1463" t="s">
        <v>30</v>
      </c>
      <c r="Q1463">
        <v>62.3</v>
      </c>
    </row>
    <row r="1464" spans="1:17" x14ac:dyDescent="0.35">
      <c r="A1464" s="1">
        <v>45824</v>
      </c>
      <c r="B1464" t="s">
        <v>55</v>
      </c>
      <c r="C1464" t="s">
        <v>56</v>
      </c>
      <c r="D1464">
        <v>4</v>
      </c>
      <c r="E1464" t="s">
        <v>57</v>
      </c>
      <c r="F1464">
        <v>30</v>
      </c>
      <c r="G1464">
        <v>146.19999999999999</v>
      </c>
      <c r="H1464">
        <v>89.32</v>
      </c>
      <c r="I1464">
        <v>95.15</v>
      </c>
      <c r="J1464">
        <v>78.05</v>
      </c>
      <c r="K1464" t="s">
        <v>58</v>
      </c>
      <c r="L1464">
        <v>7.4</v>
      </c>
      <c r="N1464" t="s">
        <v>35</v>
      </c>
      <c r="O1464">
        <v>5</v>
      </c>
      <c r="P1464" t="s">
        <v>23</v>
      </c>
      <c r="Q1464">
        <v>70.8</v>
      </c>
    </row>
    <row r="1465" spans="1:17" x14ac:dyDescent="0.35">
      <c r="A1465" s="1">
        <v>45824</v>
      </c>
      <c r="B1465" t="s">
        <v>95</v>
      </c>
      <c r="C1465" t="s">
        <v>49</v>
      </c>
      <c r="D1465" t="s">
        <v>96</v>
      </c>
      <c r="E1465" t="s">
        <v>33</v>
      </c>
      <c r="F1465">
        <v>387.09</v>
      </c>
      <c r="G1465">
        <v>80.5</v>
      </c>
      <c r="H1465">
        <v>94.21</v>
      </c>
      <c r="I1465">
        <v>95.55</v>
      </c>
      <c r="J1465">
        <v>72.7</v>
      </c>
      <c r="K1465" t="s">
        <v>34</v>
      </c>
      <c r="L1465">
        <v>7.7</v>
      </c>
      <c r="M1465">
        <v>3.6</v>
      </c>
      <c r="N1465" t="s">
        <v>35</v>
      </c>
      <c r="O1465">
        <v>5</v>
      </c>
      <c r="P1465" t="s">
        <v>23</v>
      </c>
      <c r="Q1465">
        <v>59.1</v>
      </c>
    </row>
    <row r="1466" spans="1:17" x14ac:dyDescent="0.35">
      <c r="A1466" s="1">
        <v>45824</v>
      </c>
      <c r="B1466" t="s">
        <v>59</v>
      </c>
      <c r="C1466" t="s">
        <v>60</v>
      </c>
      <c r="D1466" t="s">
        <v>61</v>
      </c>
      <c r="E1466" t="s">
        <v>62</v>
      </c>
      <c r="F1466">
        <v>522.53</v>
      </c>
      <c r="G1466">
        <v>177.4</v>
      </c>
      <c r="H1466">
        <v>90.58</v>
      </c>
      <c r="I1466">
        <v>93.69</v>
      </c>
      <c r="J1466">
        <v>88.6</v>
      </c>
      <c r="K1466" t="s">
        <v>63</v>
      </c>
      <c r="L1466">
        <v>9.5</v>
      </c>
      <c r="N1466" t="s">
        <v>35</v>
      </c>
      <c r="O1466">
        <v>6</v>
      </c>
      <c r="P1466" t="s">
        <v>43</v>
      </c>
      <c r="Q1466">
        <v>77.599999999999994</v>
      </c>
    </row>
    <row r="1467" spans="1:17" x14ac:dyDescent="0.35">
      <c r="A1467" s="1">
        <v>45824</v>
      </c>
      <c r="B1467" t="s">
        <v>31</v>
      </c>
      <c r="C1467" t="s">
        <v>18</v>
      </c>
      <c r="D1467" t="s">
        <v>32</v>
      </c>
      <c r="E1467" t="s">
        <v>33</v>
      </c>
      <c r="F1467">
        <v>211.62</v>
      </c>
      <c r="G1467">
        <v>232.3</v>
      </c>
      <c r="H1467">
        <v>97.27</v>
      </c>
      <c r="I1467">
        <v>96.36</v>
      </c>
      <c r="J1467">
        <v>78.75</v>
      </c>
      <c r="K1467" t="s">
        <v>28</v>
      </c>
      <c r="L1467">
        <v>7.7</v>
      </c>
      <c r="M1467">
        <v>4.3</v>
      </c>
      <c r="N1467" t="s">
        <v>35</v>
      </c>
      <c r="O1467">
        <v>7</v>
      </c>
      <c r="P1467" t="s">
        <v>23</v>
      </c>
      <c r="Q1467">
        <v>62</v>
      </c>
    </row>
    <row r="1468" spans="1:17" x14ac:dyDescent="0.35">
      <c r="A1468" s="1">
        <v>45824</v>
      </c>
      <c r="B1468" t="s">
        <v>91</v>
      </c>
      <c r="C1468" t="s">
        <v>67</v>
      </c>
      <c r="D1468" t="s">
        <v>92</v>
      </c>
      <c r="E1468" t="s">
        <v>27</v>
      </c>
      <c r="F1468">
        <v>121.59</v>
      </c>
      <c r="G1468">
        <v>64</v>
      </c>
      <c r="H1468">
        <v>97.81</v>
      </c>
      <c r="I1468">
        <v>95.53</v>
      </c>
      <c r="J1468">
        <v>80.61</v>
      </c>
      <c r="K1468" t="s">
        <v>34</v>
      </c>
      <c r="L1468">
        <v>6.2</v>
      </c>
      <c r="M1468">
        <v>4.0999999999999996</v>
      </c>
      <c r="N1468" t="s">
        <v>39</v>
      </c>
      <c r="O1468">
        <v>12</v>
      </c>
      <c r="P1468" t="s">
        <v>23</v>
      </c>
      <c r="Q1468">
        <v>57.9</v>
      </c>
    </row>
    <row r="1469" spans="1:17" x14ac:dyDescent="0.35">
      <c r="A1469" s="1">
        <v>45824</v>
      </c>
      <c r="B1469" t="s">
        <v>64</v>
      </c>
      <c r="C1469" t="s">
        <v>25</v>
      </c>
      <c r="D1469" t="s">
        <v>65</v>
      </c>
      <c r="E1469" t="s">
        <v>27</v>
      </c>
      <c r="F1469">
        <v>803.6</v>
      </c>
      <c r="G1469">
        <v>34.4</v>
      </c>
      <c r="H1469">
        <v>94.29</v>
      </c>
      <c r="I1469">
        <v>97.42</v>
      </c>
      <c r="J1469">
        <v>76.59</v>
      </c>
      <c r="K1469" t="s">
        <v>47</v>
      </c>
      <c r="L1469">
        <v>8.6</v>
      </c>
      <c r="M1469">
        <v>3.8</v>
      </c>
      <c r="N1469" t="s">
        <v>39</v>
      </c>
      <c r="O1469">
        <v>13</v>
      </c>
      <c r="P1469" t="s">
        <v>30</v>
      </c>
      <c r="Q1469">
        <v>60.5</v>
      </c>
    </row>
    <row r="1470" spans="1:17" x14ac:dyDescent="0.35">
      <c r="A1470" s="1">
        <v>45824</v>
      </c>
      <c r="B1470" t="s">
        <v>36</v>
      </c>
      <c r="C1470" t="s">
        <v>37</v>
      </c>
      <c r="D1470" t="s">
        <v>38</v>
      </c>
      <c r="E1470" t="s">
        <v>27</v>
      </c>
      <c r="F1470">
        <v>255.97</v>
      </c>
      <c r="G1470">
        <v>29.8</v>
      </c>
      <c r="H1470">
        <v>92.35</v>
      </c>
      <c r="I1470">
        <v>95.94</v>
      </c>
      <c r="J1470">
        <v>75.61</v>
      </c>
      <c r="K1470" t="s">
        <v>34</v>
      </c>
      <c r="L1470">
        <v>7.1</v>
      </c>
      <c r="M1470">
        <v>3.5</v>
      </c>
      <c r="N1470" t="s">
        <v>39</v>
      </c>
      <c r="O1470">
        <v>10</v>
      </c>
      <c r="P1470" t="s">
        <v>23</v>
      </c>
      <c r="Q1470">
        <v>57.4</v>
      </c>
    </row>
    <row r="1471" spans="1:17" x14ac:dyDescent="0.35">
      <c r="A1471" s="1">
        <v>45824</v>
      </c>
      <c r="B1471" t="s">
        <v>78</v>
      </c>
      <c r="C1471" t="s">
        <v>41</v>
      </c>
      <c r="D1471" t="s">
        <v>79</v>
      </c>
      <c r="E1471" t="s">
        <v>27</v>
      </c>
      <c r="F1471">
        <v>581.21</v>
      </c>
      <c r="G1471">
        <v>29.4</v>
      </c>
      <c r="H1471">
        <v>92.92</v>
      </c>
      <c r="I1471">
        <v>96.27</v>
      </c>
      <c r="J1471">
        <v>77.290000000000006</v>
      </c>
      <c r="K1471" t="s">
        <v>47</v>
      </c>
      <c r="L1471">
        <v>8.4</v>
      </c>
      <c r="M1471">
        <v>3.3</v>
      </c>
      <c r="N1471" t="s">
        <v>39</v>
      </c>
      <c r="O1471">
        <v>13</v>
      </c>
      <c r="P1471" t="s">
        <v>43</v>
      </c>
      <c r="Q1471">
        <v>60.1</v>
      </c>
    </row>
    <row r="1472" spans="1:17" x14ac:dyDescent="0.35">
      <c r="A1472" s="1">
        <v>45824</v>
      </c>
      <c r="B1472" t="s">
        <v>91</v>
      </c>
      <c r="C1472" t="s">
        <v>67</v>
      </c>
      <c r="D1472" t="s">
        <v>92</v>
      </c>
      <c r="E1472" t="s">
        <v>27</v>
      </c>
      <c r="F1472">
        <v>119.23</v>
      </c>
      <c r="G1472">
        <v>72</v>
      </c>
      <c r="H1472">
        <v>96.42</v>
      </c>
      <c r="I1472">
        <v>93.28</v>
      </c>
      <c r="J1472">
        <v>82.36</v>
      </c>
      <c r="K1472" t="s">
        <v>34</v>
      </c>
      <c r="L1472">
        <v>7.2</v>
      </c>
      <c r="M1472">
        <v>4.0999999999999996</v>
      </c>
      <c r="N1472" t="s">
        <v>29</v>
      </c>
      <c r="O1472">
        <v>14</v>
      </c>
      <c r="P1472" t="s">
        <v>43</v>
      </c>
      <c r="Q1472">
        <v>59.4</v>
      </c>
    </row>
    <row r="1473" spans="1:17" x14ac:dyDescent="0.35">
      <c r="A1473" s="1">
        <v>45824</v>
      </c>
      <c r="B1473" t="s">
        <v>40</v>
      </c>
      <c r="C1473" t="s">
        <v>41</v>
      </c>
      <c r="D1473" t="s">
        <v>42</v>
      </c>
      <c r="E1473" t="s">
        <v>27</v>
      </c>
      <c r="F1473">
        <v>539.26</v>
      </c>
      <c r="G1473">
        <v>35.700000000000003</v>
      </c>
      <c r="H1473">
        <v>95.2</v>
      </c>
      <c r="I1473">
        <v>96.84</v>
      </c>
      <c r="J1473">
        <v>84.89</v>
      </c>
      <c r="K1473" t="s">
        <v>34</v>
      </c>
      <c r="L1473">
        <v>8.3000000000000007</v>
      </c>
      <c r="M1473">
        <v>4.8</v>
      </c>
      <c r="N1473" t="s">
        <v>29</v>
      </c>
      <c r="O1473">
        <v>10</v>
      </c>
      <c r="P1473" t="s">
        <v>43</v>
      </c>
      <c r="Q1473">
        <v>60.8</v>
      </c>
    </row>
    <row r="1474" spans="1:17" x14ac:dyDescent="0.35">
      <c r="A1474" s="1">
        <v>45824</v>
      </c>
      <c r="B1474" t="s">
        <v>89</v>
      </c>
      <c r="C1474" t="s">
        <v>67</v>
      </c>
      <c r="D1474" t="s">
        <v>90</v>
      </c>
      <c r="E1474" t="s">
        <v>27</v>
      </c>
      <c r="F1474">
        <v>660.04</v>
      </c>
      <c r="G1474">
        <v>42.8</v>
      </c>
      <c r="H1474">
        <v>92.99</v>
      </c>
      <c r="I1474">
        <v>93</v>
      </c>
      <c r="J1474">
        <v>76.47</v>
      </c>
      <c r="K1474" t="s">
        <v>47</v>
      </c>
      <c r="L1474">
        <v>8.5</v>
      </c>
      <c r="M1474">
        <v>1.8</v>
      </c>
      <c r="N1474" t="s">
        <v>29</v>
      </c>
      <c r="O1474">
        <v>11</v>
      </c>
      <c r="P1474" t="s">
        <v>23</v>
      </c>
      <c r="Q1474">
        <v>60.9</v>
      </c>
    </row>
    <row r="1475" spans="1:17" x14ac:dyDescent="0.35">
      <c r="A1475" s="1">
        <v>45824</v>
      </c>
      <c r="B1475" t="s">
        <v>55</v>
      </c>
      <c r="C1475" t="s">
        <v>56</v>
      </c>
      <c r="D1475">
        <v>4</v>
      </c>
      <c r="E1475" t="s">
        <v>57</v>
      </c>
      <c r="F1475">
        <v>30</v>
      </c>
      <c r="G1475">
        <v>163.19999999999999</v>
      </c>
      <c r="H1475">
        <v>85.81</v>
      </c>
      <c r="I1475">
        <v>94.16</v>
      </c>
      <c r="J1475">
        <v>79.040000000000006</v>
      </c>
      <c r="K1475" t="s">
        <v>21</v>
      </c>
      <c r="L1475">
        <v>7.6</v>
      </c>
      <c r="N1475" t="s">
        <v>35</v>
      </c>
      <c r="O1475">
        <v>4</v>
      </c>
      <c r="P1475" t="s">
        <v>43</v>
      </c>
      <c r="Q1475">
        <v>70.900000000000006</v>
      </c>
    </row>
    <row r="1476" spans="1:17" x14ac:dyDescent="0.35">
      <c r="A1476" s="1">
        <v>45824</v>
      </c>
      <c r="B1476" t="s">
        <v>71</v>
      </c>
      <c r="C1476" t="s">
        <v>72</v>
      </c>
      <c r="D1476" t="s">
        <v>73</v>
      </c>
      <c r="E1476" t="s">
        <v>33</v>
      </c>
      <c r="F1476">
        <v>115.9</v>
      </c>
      <c r="G1476">
        <v>182.7</v>
      </c>
      <c r="H1476">
        <v>93.84</v>
      </c>
      <c r="I1476">
        <v>96.61</v>
      </c>
      <c r="J1476">
        <v>79.09</v>
      </c>
      <c r="K1476" t="s">
        <v>28</v>
      </c>
      <c r="L1476">
        <v>6.5</v>
      </c>
      <c r="M1476">
        <v>4.7</v>
      </c>
      <c r="N1476" t="s">
        <v>35</v>
      </c>
      <c r="O1476">
        <v>5</v>
      </c>
      <c r="P1476" t="s">
        <v>43</v>
      </c>
      <c r="Q1476">
        <v>59.3</v>
      </c>
    </row>
    <row r="1477" spans="1:17" x14ac:dyDescent="0.35">
      <c r="A1477" s="1">
        <v>45824</v>
      </c>
      <c r="B1477" t="s">
        <v>36</v>
      </c>
      <c r="C1477" t="s">
        <v>37</v>
      </c>
      <c r="D1477" t="s">
        <v>38</v>
      </c>
      <c r="E1477" t="s">
        <v>27</v>
      </c>
      <c r="F1477">
        <v>316.57</v>
      </c>
      <c r="G1477">
        <v>62.1</v>
      </c>
      <c r="H1477">
        <v>97.66</v>
      </c>
      <c r="I1477">
        <v>95.27</v>
      </c>
      <c r="J1477">
        <v>84.83</v>
      </c>
      <c r="K1477" t="s">
        <v>28</v>
      </c>
      <c r="L1477">
        <v>8.3000000000000007</v>
      </c>
      <c r="M1477">
        <v>4.7</v>
      </c>
      <c r="N1477" t="s">
        <v>39</v>
      </c>
      <c r="O1477">
        <v>11</v>
      </c>
      <c r="P1477" t="s">
        <v>23</v>
      </c>
      <c r="Q1477">
        <v>61.6</v>
      </c>
    </row>
    <row r="1478" spans="1:17" x14ac:dyDescent="0.35">
      <c r="A1478" s="1">
        <v>45824</v>
      </c>
      <c r="B1478" t="s">
        <v>48</v>
      </c>
      <c r="C1478" t="s">
        <v>49</v>
      </c>
      <c r="D1478" t="s">
        <v>50</v>
      </c>
      <c r="E1478" t="s">
        <v>27</v>
      </c>
      <c r="F1478">
        <v>282.23</v>
      </c>
      <c r="G1478">
        <v>24.8</v>
      </c>
      <c r="H1478">
        <v>92.19</v>
      </c>
      <c r="I1478">
        <v>93.86</v>
      </c>
      <c r="J1478">
        <v>75.459999999999994</v>
      </c>
      <c r="K1478" t="s">
        <v>28</v>
      </c>
      <c r="L1478">
        <v>8</v>
      </c>
      <c r="M1478">
        <v>4.2</v>
      </c>
      <c r="N1478" t="s">
        <v>29</v>
      </c>
      <c r="O1478">
        <v>12</v>
      </c>
      <c r="P1478" t="s">
        <v>43</v>
      </c>
      <c r="Q1478">
        <v>57.9</v>
      </c>
    </row>
    <row r="1479" spans="1:17" x14ac:dyDescent="0.35">
      <c r="A1479" s="1">
        <v>45824</v>
      </c>
      <c r="B1479" t="s">
        <v>80</v>
      </c>
      <c r="C1479" t="s">
        <v>45</v>
      </c>
      <c r="D1479" t="s">
        <v>81</v>
      </c>
      <c r="E1479" t="s">
        <v>33</v>
      </c>
      <c r="F1479">
        <v>960.41</v>
      </c>
      <c r="G1479">
        <v>254.6</v>
      </c>
      <c r="H1479">
        <v>93.16</v>
      </c>
      <c r="I1479">
        <v>98.41</v>
      </c>
      <c r="J1479">
        <v>75.73</v>
      </c>
      <c r="K1479" t="s">
        <v>28</v>
      </c>
      <c r="L1479">
        <v>8.1</v>
      </c>
      <c r="M1479">
        <v>1.5</v>
      </c>
      <c r="N1479" t="s">
        <v>35</v>
      </c>
      <c r="O1479">
        <v>6</v>
      </c>
      <c r="P1479" t="s">
        <v>23</v>
      </c>
      <c r="Q1479">
        <v>63.7</v>
      </c>
    </row>
    <row r="1480" spans="1:17" x14ac:dyDescent="0.35">
      <c r="A1480" s="1">
        <v>45824</v>
      </c>
      <c r="B1480" t="s">
        <v>31</v>
      </c>
      <c r="C1480" t="s">
        <v>18</v>
      </c>
      <c r="D1480" t="s">
        <v>32</v>
      </c>
      <c r="E1480" t="s">
        <v>27</v>
      </c>
      <c r="F1480">
        <v>87.94</v>
      </c>
      <c r="G1480">
        <v>67.7</v>
      </c>
      <c r="H1480">
        <v>96.2</v>
      </c>
      <c r="I1480">
        <v>95.54</v>
      </c>
      <c r="J1480">
        <v>76.040000000000006</v>
      </c>
      <c r="K1480" t="s">
        <v>47</v>
      </c>
      <c r="L1480">
        <v>7.4</v>
      </c>
      <c r="M1480">
        <v>2.9</v>
      </c>
      <c r="N1480" t="s">
        <v>29</v>
      </c>
      <c r="O1480">
        <v>12</v>
      </c>
      <c r="P1480" t="s">
        <v>23</v>
      </c>
      <c r="Q1480">
        <v>59.7</v>
      </c>
    </row>
    <row r="1481" spans="1:17" x14ac:dyDescent="0.35">
      <c r="A1481" s="1">
        <v>45824</v>
      </c>
      <c r="B1481" t="s">
        <v>59</v>
      </c>
      <c r="C1481" t="s">
        <v>60</v>
      </c>
      <c r="D1481" t="s">
        <v>61</v>
      </c>
      <c r="E1481" t="s">
        <v>62</v>
      </c>
      <c r="F1481">
        <v>506.84</v>
      </c>
      <c r="G1481">
        <v>184.9</v>
      </c>
      <c r="H1481">
        <v>90.34</v>
      </c>
      <c r="I1481">
        <v>93.38</v>
      </c>
      <c r="J1481">
        <v>85.9</v>
      </c>
      <c r="K1481" t="s">
        <v>63</v>
      </c>
      <c r="L1481">
        <v>8.6</v>
      </c>
      <c r="N1481" t="s">
        <v>35</v>
      </c>
      <c r="O1481">
        <v>5</v>
      </c>
      <c r="P1481" t="s">
        <v>23</v>
      </c>
      <c r="Q1481">
        <v>75.099999999999994</v>
      </c>
    </row>
    <row r="1482" spans="1:17" x14ac:dyDescent="0.35">
      <c r="A1482" s="1">
        <v>45824</v>
      </c>
      <c r="B1482" t="s">
        <v>59</v>
      </c>
      <c r="C1482" t="s">
        <v>60</v>
      </c>
      <c r="D1482" t="s">
        <v>61</v>
      </c>
      <c r="E1482" t="s">
        <v>62</v>
      </c>
      <c r="F1482">
        <v>486.26</v>
      </c>
      <c r="G1482">
        <v>173.8</v>
      </c>
      <c r="H1482">
        <v>91.89</v>
      </c>
      <c r="I1482">
        <v>93.14</v>
      </c>
      <c r="J1482">
        <v>87.17</v>
      </c>
      <c r="K1482" t="s">
        <v>34</v>
      </c>
      <c r="L1482">
        <v>8.3000000000000007</v>
      </c>
      <c r="N1482" t="s">
        <v>35</v>
      </c>
      <c r="O1482">
        <v>6</v>
      </c>
      <c r="P1482" t="s">
        <v>43</v>
      </c>
      <c r="Q1482">
        <v>75</v>
      </c>
    </row>
    <row r="1483" spans="1:17" x14ac:dyDescent="0.35">
      <c r="A1483" s="1">
        <v>45825</v>
      </c>
      <c r="B1483" t="s">
        <v>24</v>
      </c>
      <c r="C1483" t="s">
        <v>25</v>
      </c>
      <c r="D1483" t="s">
        <v>26</v>
      </c>
      <c r="E1483" t="s">
        <v>27</v>
      </c>
      <c r="F1483">
        <v>554.29</v>
      </c>
      <c r="G1483">
        <v>33.700000000000003</v>
      </c>
      <c r="H1483">
        <v>96.41</v>
      </c>
      <c r="I1483">
        <v>97.38</v>
      </c>
      <c r="J1483">
        <v>76</v>
      </c>
      <c r="K1483" t="s">
        <v>28</v>
      </c>
      <c r="L1483">
        <v>9</v>
      </c>
      <c r="M1483">
        <v>3.2</v>
      </c>
      <c r="N1483" t="s">
        <v>29</v>
      </c>
      <c r="O1483">
        <v>14</v>
      </c>
      <c r="P1483" t="s">
        <v>30</v>
      </c>
      <c r="Q1483">
        <v>61.8</v>
      </c>
    </row>
    <row r="1484" spans="1:17" x14ac:dyDescent="0.35">
      <c r="A1484" s="1">
        <v>45825</v>
      </c>
      <c r="B1484" t="s">
        <v>71</v>
      </c>
      <c r="C1484" t="s">
        <v>72</v>
      </c>
      <c r="D1484" t="s">
        <v>73</v>
      </c>
      <c r="E1484" t="s">
        <v>33</v>
      </c>
      <c r="F1484">
        <v>201.52</v>
      </c>
      <c r="G1484">
        <v>189.1</v>
      </c>
      <c r="H1484">
        <v>96.04</v>
      </c>
      <c r="I1484">
        <v>94.36</v>
      </c>
      <c r="J1484">
        <v>72.900000000000006</v>
      </c>
      <c r="K1484" t="s">
        <v>28</v>
      </c>
      <c r="L1484">
        <v>7.1</v>
      </c>
      <c r="M1484">
        <v>4.5</v>
      </c>
      <c r="N1484" t="s">
        <v>35</v>
      </c>
      <c r="O1484">
        <v>6</v>
      </c>
      <c r="P1484" t="s">
        <v>43</v>
      </c>
      <c r="Q1484">
        <v>59.4</v>
      </c>
    </row>
    <row r="1485" spans="1:17" x14ac:dyDescent="0.35">
      <c r="A1485" s="1">
        <v>45825</v>
      </c>
      <c r="B1485" t="s">
        <v>74</v>
      </c>
      <c r="C1485" t="s">
        <v>67</v>
      </c>
      <c r="D1485" t="s">
        <v>75</v>
      </c>
      <c r="E1485" t="s">
        <v>27</v>
      </c>
      <c r="F1485">
        <v>413.85</v>
      </c>
      <c r="G1485">
        <v>46.8</v>
      </c>
      <c r="H1485">
        <v>96.03</v>
      </c>
      <c r="I1485">
        <v>93.4</v>
      </c>
      <c r="J1485">
        <v>75.47</v>
      </c>
      <c r="K1485" t="s">
        <v>28</v>
      </c>
      <c r="L1485">
        <v>8.6</v>
      </c>
      <c r="M1485">
        <v>3.6</v>
      </c>
      <c r="N1485" t="s">
        <v>29</v>
      </c>
      <c r="O1485">
        <v>13</v>
      </c>
      <c r="P1485" t="s">
        <v>23</v>
      </c>
      <c r="Q1485">
        <v>60.3</v>
      </c>
    </row>
    <row r="1486" spans="1:17" x14ac:dyDescent="0.35">
      <c r="A1486" s="1">
        <v>45825</v>
      </c>
      <c r="B1486" t="s">
        <v>31</v>
      </c>
      <c r="C1486" t="s">
        <v>18</v>
      </c>
      <c r="D1486" t="s">
        <v>32</v>
      </c>
      <c r="E1486" t="s">
        <v>33</v>
      </c>
      <c r="F1486">
        <v>304.20999999999998</v>
      </c>
      <c r="G1486">
        <v>222.8</v>
      </c>
      <c r="H1486">
        <v>92.5</v>
      </c>
      <c r="I1486">
        <v>94.78</v>
      </c>
      <c r="J1486">
        <v>70.22</v>
      </c>
      <c r="K1486" t="s">
        <v>28</v>
      </c>
      <c r="L1486">
        <v>7.8</v>
      </c>
      <c r="M1486">
        <v>3.6</v>
      </c>
      <c r="N1486" t="s">
        <v>35</v>
      </c>
      <c r="O1486">
        <v>10</v>
      </c>
      <c r="P1486" t="s">
        <v>23</v>
      </c>
      <c r="Q1486">
        <v>60.2</v>
      </c>
    </row>
    <row r="1487" spans="1:17" x14ac:dyDescent="0.35">
      <c r="A1487" s="1">
        <v>45825</v>
      </c>
      <c r="B1487" t="s">
        <v>59</v>
      </c>
      <c r="C1487" t="s">
        <v>60</v>
      </c>
      <c r="D1487" t="s">
        <v>61</v>
      </c>
      <c r="E1487" t="s">
        <v>62</v>
      </c>
      <c r="F1487">
        <v>412.3</v>
      </c>
      <c r="G1487">
        <v>174.3</v>
      </c>
      <c r="H1487">
        <v>88.08</v>
      </c>
      <c r="I1487">
        <v>95.98</v>
      </c>
      <c r="J1487">
        <v>89.59</v>
      </c>
      <c r="K1487" t="s">
        <v>34</v>
      </c>
      <c r="L1487">
        <v>8.5</v>
      </c>
      <c r="N1487" t="s">
        <v>35</v>
      </c>
      <c r="O1487">
        <v>4</v>
      </c>
      <c r="P1487" t="s">
        <v>23</v>
      </c>
      <c r="Q1487">
        <v>75.7</v>
      </c>
    </row>
    <row r="1488" spans="1:17" x14ac:dyDescent="0.35">
      <c r="A1488" s="1">
        <v>45825</v>
      </c>
      <c r="B1488" t="s">
        <v>71</v>
      </c>
      <c r="C1488" t="s">
        <v>72</v>
      </c>
      <c r="D1488" t="s">
        <v>73</v>
      </c>
      <c r="E1488" t="s">
        <v>33</v>
      </c>
      <c r="F1488">
        <v>269.61</v>
      </c>
      <c r="G1488">
        <v>149</v>
      </c>
      <c r="H1488">
        <v>92.05</v>
      </c>
      <c r="I1488">
        <v>93.63</v>
      </c>
      <c r="J1488">
        <v>75.010000000000005</v>
      </c>
      <c r="K1488" t="s">
        <v>28</v>
      </c>
      <c r="L1488">
        <v>7.3</v>
      </c>
      <c r="M1488">
        <v>4.7</v>
      </c>
      <c r="N1488" t="s">
        <v>35</v>
      </c>
      <c r="O1488">
        <v>9</v>
      </c>
      <c r="P1488" t="s">
        <v>43</v>
      </c>
      <c r="Q1488">
        <v>58.8</v>
      </c>
    </row>
    <row r="1489" spans="1:17" x14ac:dyDescent="0.35">
      <c r="A1489" s="1">
        <v>45825</v>
      </c>
      <c r="B1489" t="s">
        <v>93</v>
      </c>
      <c r="C1489" t="s">
        <v>37</v>
      </c>
      <c r="D1489" t="s">
        <v>94</v>
      </c>
      <c r="E1489" t="s">
        <v>27</v>
      </c>
      <c r="F1489">
        <v>207.84</v>
      </c>
      <c r="G1489">
        <v>56.7</v>
      </c>
      <c r="H1489">
        <v>94.36</v>
      </c>
      <c r="I1489">
        <v>94.14</v>
      </c>
      <c r="J1489">
        <v>77.459999999999994</v>
      </c>
      <c r="K1489" t="s">
        <v>28</v>
      </c>
      <c r="L1489">
        <v>7.2</v>
      </c>
      <c r="M1489">
        <v>4.2</v>
      </c>
      <c r="N1489" t="s">
        <v>29</v>
      </c>
      <c r="O1489">
        <v>10</v>
      </c>
      <c r="P1489" t="s">
        <v>23</v>
      </c>
      <c r="Q1489">
        <v>58</v>
      </c>
    </row>
    <row r="1490" spans="1:17" x14ac:dyDescent="0.35">
      <c r="A1490" s="1">
        <v>45825</v>
      </c>
      <c r="B1490" t="s">
        <v>97</v>
      </c>
      <c r="C1490" t="s">
        <v>72</v>
      </c>
      <c r="D1490" t="s">
        <v>98</v>
      </c>
      <c r="E1490" t="s">
        <v>33</v>
      </c>
      <c r="F1490">
        <v>190.36</v>
      </c>
      <c r="G1490">
        <v>188</v>
      </c>
      <c r="H1490">
        <v>97.19</v>
      </c>
      <c r="I1490">
        <v>93.49</v>
      </c>
      <c r="J1490">
        <v>75.849999999999994</v>
      </c>
      <c r="K1490" t="s">
        <v>28</v>
      </c>
      <c r="L1490">
        <v>7.5</v>
      </c>
      <c r="M1490">
        <v>1.7</v>
      </c>
      <c r="N1490" t="s">
        <v>35</v>
      </c>
      <c r="O1490">
        <v>6</v>
      </c>
      <c r="P1490" t="s">
        <v>23</v>
      </c>
      <c r="Q1490">
        <v>62.5</v>
      </c>
    </row>
    <row r="1491" spans="1:17" x14ac:dyDescent="0.35">
      <c r="A1491" s="1">
        <v>45825</v>
      </c>
      <c r="B1491" t="s">
        <v>89</v>
      </c>
      <c r="C1491" t="s">
        <v>67</v>
      </c>
      <c r="D1491" t="s">
        <v>90</v>
      </c>
      <c r="E1491" t="s">
        <v>27</v>
      </c>
      <c r="F1491">
        <v>546.51</v>
      </c>
      <c r="G1491">
        <v>67</v>
      </c>
      <c r="H1491">
        <v>94.71</v>
      </c>
      <c r="I1491">
        <v>93.33</v>
      </c>
      <c r="J1491">
        <v>75.14</v>
      </c>
      <c r="K1491" t="s">
        <v>34</v>
      </c>
      <c r="L1491">
        <v>9.1</v>
      </c>
      <c r="M1491">
        <v>3.4</v>
      </c>
      <c r="N1491" t="s">
        <v>39</v>
      </c>
      <c r="O1491">
        <v>12</v>
      </c>
      <c r="P1491" t="s">
        <v>23</v>
      </c>
      <c r="Q1491">
        <v>61.4</v>
      </c>
    </row>
    <row r="1492" spans="1:17" x14ac:dyDescent="0.35">
      <c r="A1492" s="1">
        <v>45825</v>
      </c>
      <c r="B1492" t="s">
        <v>78</v>
      </c>
      <c r="C1492" t="s">
        <v>41</v>
      </c>
      <c r="D1492" t="s">
        <v>79</v>
      </c>
      <c r="E1492" t="s">
        <v>27</v>
      </c>
      <c r="F1492">
        <v>623.79</v>
      </c>
      <c r="G1492">
        <v>52.1</v>
      </c>
      <c r="H1492">
        <v>96.88</v>
      </c>
      <c r="I1492">
        <v>97.45</v>
      </c>
      <c r="J1492">
        <v>82.69</v>
      </c>
      <c r="K1492" t="s">
        <v>47</v>
      </c>
      <c r="L1492">
        <v>9.4</v>
      </c>
      <c r="M1492">
        <v>3.4</v>
      </c>
      <c r="N1492" t="s">
        <v>39</v>
      </c>
      <c r="O1492">
        <v>15</v>
      </c>
      <c r="P1492" t="s">
        <v>43</v>
      </c>
      <c r="Q1492">
        <v>63.9</v>
      </c>
    </row>
    <row r="1493" spans="1:17" x14ac:dyDescent="0.35">
      <c r="A1493" s="1">
        <v>45825</v>
      </c>
      <c r="B1493" t="s">
        <v>64</v>
      </c>
      <c r="C1493" t="s">
        <v>25</v>
      </c>
      <c r="D1493" t="s">
        <v>65</v>
      </c>
      <c r="E1493" t="s">
        <v>27</v>
      </c>
      <c r="F1493">
        <v>703.17</v>
      </c>
      <c r="G1493">
        <v>21.9</v>
      </c>
      <c r="H1493">
        <v>94.82</v>
      </c>
      <c r="I1493">
        <v>96.48</v>
      </c>
      <c r="J1493">
        <v>83.42</v>
      </c>
      <c r="K1493" t="s">
        <v>34</v>
      </c>
      <c r="L1493">
        <v>9.1999999999999993</v>
      </c>
      <c r="M1493">
        <v>1.9</v>
      </c>
      <c r="N1493" t="s">
        <v>39</v>
      </c>
      <c r="O1493">
        <v>11</v>
      </c>
      <c r="P1493" t="s">
        <v>30</v>
      </c>
      <c r="Q1493">
        <v>63.6</v>
      </c>
    </row>
    <row r="1494" spans="1:17" x14ac:dyDescent="0.35">
      <c r="A1494" s="1">
        <v>45825</v>
      </c>
      <c r="B1494" t="s">
        <v>80</v>
      </c>
      <c r="C1494" t="s">
        <v>45</v>
      </c>
      <c r="D1494" t="s">
        <v>81</v>
      </c>
      <c r="E1494" t="s">
        <v>27</v>
      </c>
      <c r="F1494">
        <v>274.18</v>
      </c>
      <c r="G1494">
        <v>293.2</v>
      </c>
      <c r="H1494">
        <v>92.99</v>
      </c>
      <c r="I1494">
        <v>98.31</v>
      </c>
      <c r="J1494">
        <v>77.510000000000005</v>
      </c>
      <c r="K1494" t="s">
        <v>28</v>
      </c>
      <c r="L1494">
        <v>8.1</v>
      </c>
      <c r="M1494">
        <v>3.2</v>
      </c>
      <c r="N1494" t="s">
        <v>29</v>
      </c>
      <c r="O1494">
        <v>13</v>
      </c>
      <c r="P1494" t="s">
        <v>23</v>
      </c>
      <c r="Q1494">
        <v>62.8</v>
      </c>
    </row>
    <row r="1495" spans="1:17" x14ac:dyDescent="0.35">
      <c r="A1495" s="1">
        <v>45825</v>
      </c>
      <c r="B1495" t="s">
        <v>76</v>
      </c>
      <c r="C1495" t="s">
        <v>45</v>
      </c>
      <c r="D1495" t="s">
        <v>77</v>
      </c>
      <c r="E1495" t="s">
        <v>27</v>
      </c>
      <c r="F1495">
        <v>757.64</v>
      </c>
      <c r="G1495">
        <v>692.9</v>
      </c>
      <c r="H1495">
        <v>92.22</v>
      </c>
      <c r="I1495">
        <v>98.3</v>
      </c>
      <c r="J1495">
        <v>82.91</v>
      </c>
      <c r="K1495" t="s">
        <v>47</v>
      </c>
      <c r="L1495">
        <v>8.5</v>
      </c>
      <c r="M1495">
        <v>2.6</v>
      </c>
      <c r="N1495" t="s">
        <v>29</v>
      </c>
      <c r="O1495">
        <v>15</v>
      </c>
      <c r="P1495" t="s">
        <v>23</v>
      </c>
      <c r="Q1495">
        <v>64.7</v>
      </c>
    </row>
    <row r="1496" spans="1:17" x14ac:dyDescent="0.35">
      <c r="A1496" s="1">
        <v>45825</v>
      </c>
      <c r="B1496" t="s">
        <v>97</v>
      </c>
      <c r="C1496" t="s">
        <v>72</v>
      </c>
      <c r="D1496" t="s">
        <v>98</v>
      </c>
      <c r="E1496" t="s">
        <v>27</v>
      </c>
      <c r="F1496">
        <v>200.79</v>
      </c>
      <c r="G1496">
        <v>21.5</v>
      </c>
      <c r="H1496">
        <v>94.9</v>
      </c>
      <c r="I1496">
        <v>94.48</v>
      </c>
      <c r="J1496">
        <v>76.53</v>
      </c>
      <c r="K1496" t="s">
        <v>28</v>
      </c>
      <c r="L1496">
        <v>8</v>
      </c>
      <c r="M1496">
        <v>2.5</v>
      </c>
      <c r="N1496" t="s">
        <v>39</v>
      </c>
      <c r="O1496">
        <v>10</v>
      </c>
      <c r="P1496" t="s">
        <v>23</v>
      </c>
      <c r="Q1496">
        <v>59.7</v>
      </c>
    </row>
    <row r="1497" spans="1:17" x14ac:dyDescent="0.35">
      <c r="A1497" s="1">
        <v>45825</v>
      </c>
      <c r="B1497" t="s">
        <v>64</v>
      </c>
      <c r="C1497" t="s">
        <v>25</v>
      </c>
      <c r="D1497" t="s">
        <v>65</v>
      </c>
      <c r="E1497" t="s">
        <v>27</v>
      </c>
      <c r="F1497">
        <v>256.48</v>
      </c>
      <c r="G1497">
        <v>25.6</v>
      </c>
      <c r="H1497">
        <v>97.44</v>
      </c>
      <c r="I1497">
        <v>97.97</v>
      </c>
      <c r="J1497">
        <v>80.8</v>
      </c>
      <c r="K1497" t="s">
        <v>34</v>
      </c>
      <c r="L1497">
        <v>7.2</v>
      </c>
      <c r="M1497">
        <v>3.4</v>
      </c>
      <c r="N1497" t="s">
        <v>39</v>
      </c>
      <c r="O1497">
        <v>12</v>
      </c>
      <c r="P1497" t="s">
        <v>30</v>
      </c>
      <c r="Q1497">
        <v>59.6</v>
      </c>
    </row>
    <row r="1498" spans="1:17" x14ac:dyDescent="0.35">
      <c r="A1498" s="1">
        <v>45825</v>
      </c>
      <c r="B1498" t="s">
        <v>44</v>
      </c>
      <c r="C1498" t="s">
        <v>45</v>
      </c>
      <c r="D1498" t="s">
        <v>46</v>
      </c>
      <c r="E1498" t="s">
        <v>33</v>
      </c>
      <c r="F1498">
        <v>416.54</v>
      </c>
      <c r="G1498">
        <v>655.29999999999995</v>
      </c>
      <c r="H1498">
        <v>94.94</v>
      </c>
      <c r="I1498">
        <v>98.66</v>
      </c>
      <c r="J1498">
        <v>75.38</v>
      </c>
      <c r="K1498" t="s">
        <v>47</v>
      </c>
      <c r="L1498">
        <v>8.9</v>
      </c>
      <c r="M1498">
        <v>4.2</v>
      </c>
      <c r="N1498" t="s">
        <v>35</v>
      </c>
      <c r="O1498">
        <v>7</v>
      </c>
      <c r="P1498" t="s">
        <v>23</v>
      </c>
      <c r="Q1498">
        <v>63.5</v>
      </c>
    </row>
    <row r="1499" spans="1:17" x14ac:dyDescent="0.35">
      <c r="A1499" s="1">
        <v>45825</v>
      </c>
      <c r="B1499" t="s">
        <v>95</v>
      </c>
      <c r="C1499" t="s">
        <v>49</v>
      </c>
      <c r="D1499" t="s">
        <v>96</v>
      </c>
      <c r="E1499" t="s">
        <v>33</v>
      </c>
      <c r="F1499">
        <v>268.38</v>
      </c>
      <c r="G1499">
        <v>90.8</v>
      </c>
      <c r="H1499">
        <v>95.9</v>
      </c>
      <c r="I1499">
        <v>93.75</v>
      </c>
      <c r="J1499">
        <v>73.92</v>
      </c>
      <c r="K1499" t="s">
        <v>47</v>
      </c>
      <c r="L1499">
        <v>7.9</v>
      </c>
      <c r="M1499">
        <v>3.4</v>
      </c>
      <c r="N1499" t="s">
        <v>35</v>
      </c>
      <c r="O1499">
        <v>8</v>
      </c>
      <c r="P1499" t="s">
        <v>23</v>
      </c>
      <c r="Q1499">
        <v>60</v>
      </c>
    </row>
    <row r="1500" spans="1:17" x14ac:dyDescent="0.35">
      <c r="A1500" s="1">
        <v>45825</v>
      </c>
      <c r="B1500" t="s">
        <v>99</v>
      </c>
      <c r="C1500" t="s">
        <v>72</v>
      </c>
      <c r="D1500" t="s">
        <v>100</v>
      </c>
      <c r="E1500" t="s">
        <v>33</v>
      </c>
      <c r="F1500">
        <v>55.18</v>
      </c>
      <c r="G1500">
        <v>146.19999999999999</v>
      </c>
      <c r="H1500">
        <v>93.59</v>
      </c>
      <c r="I1500">
        <v>93.3</v>
      </c>
      <c r="J1500">
        <v>79.010000000000005</v>
      </c>
      <c r="K1500" t="s">
        <v>34</v>
      </c>
      <c r="L1500">
        <v>7.7</v>
      </c>
      <c r="M1500">
        <v>3.3</v>
      </c>
      <c r="N1500" t="s">
        <v>35</v>
      </c>
      <c r="O1500">
        <v>7</v>
      </c>
      <c r="P1500" t="s">
        <v>43</v>
      </c>
      <c r="Q1500">
        <v>61.2</v>
      </c>
    </row>
    <row r="1501" spans="1:17" x14ac:dyDescent="0.35">
      <c r="A1501" s="1">
        <v>45825</v>
      </c>
      <c r="B1501" t="s">
        <v>59</v>
      </c>
      <c r="C1501" t="s">
        <v>60</v>
      </c>
      <c r="D1501" t="s">
        <v>61</v>
      </c>
      <c r="E1501" t="s">
        <v>62</v>
      </c>
      <c r="F1501">
        <v>477.63</v>
      </c>
      <c r="G1501">
        <v>171.8</v>
      </c>
      <c r="H1501">
        <v>85.01</v>
      </c>
      <c r="I1501">
        <v>95.55</v>
      </c>
      <c r="J1501">
        <v>88.88</v>
      </c>
      <c r="K1501" t="s">
        <v>34</v>
      </c>
      <c r="L1501">
        <v>8.6999999999999993</v>
      </c>
      <c r="N1501" t="s">
        <v>35</v>
      </c>
      <c r="O1501">
        <v>4</v>
      </c>
      <c r="P1501" t="s">
        <v>23</v>
      </c>
      <c r="Q1501">
        <v>75.3</v>
      </c>
    </row>
    <row r="1502" spans="1:17" x14ac:dyDescent="0.35">
      <c r="A1502" s="1">
        <v>45825</v>
      </c>
      <c r="B1502" t="s">
        <v>59</v>
      </c>
      <c r="C1502" t="s">
        <v>60</v>
      </c>
      <c r="D1502" t="s">
        <v>61</v>
      </c>
      <c r="E1502" t="s">
        <v>62</v>
      </c>
      <c r="F1502">
        <v>516.42999999999995</v>
      </c>
      <c r="G1502">
        <v>171</v>
      </c>
      <c r="H1502">
        <v>88.72</v>
      </c>
      <c r="I1502">
        <v>96.24</v>
      </c>
      <c r="J1502">
        <v>86.52</v>
      </c>
      <c r="K1502" t="s">
        <v>63</v>
      </c>
      <c r="L1502">
        <v>8.6</v>
      </c>
      <c r="N1502" t="s">
        <v>35</v>
      </c>
      <c r="O1502">
        <v>5</v>
      </c>
      <c r="P1502" t="s">
        <v>43</v>
      </c>
      <c r="Q1502">
        <v>75.5</v>
      </c>
    </row>
    <row r="1503" spans="1:17" x14ac:dyDescent="0.35">
      <c r="A1503" s="1">
        <v>45825</v>
      </c>
      <c r="B1503" t="s">
        <v>93</v>
      </c>
      <c r="C1503" t="s">
        <v>37</v>
      </c>
      <c r="D1503" t="s">
        <v>94</v>
      </c>
      <c r="E1503" t="s">
        <v>33</v>
      </c>
      <c r="F1503">
        <v>254.82</v>
      </c>
      <c r="G1503">
        <v>159.1</v>
      </c>
      <c r="H1503">
        <v>94.4</v>
      </c>
      <c r="I1503">
        <v>95.3</v>
      </c>
      <c r="J1503">
        <v>79.02</v>
      </c>
      <c r="K1503" t="s">
        <v>34</v>
      </c>
      <c r="L1503">
        <v>8.1</v>
      </c>
      <c r="M1503">
        <v>4</v>
      </c>
      <c r="N1503" t="s">
        <v>22</v>
      </c>
      <c r="O1503">
        <v>7</v>
      </c>
      <c r="P1503" t="s">
        <v>23</v>
      </c>
      <c r="Q1503">
        <v>62.1</v>
      </c>
    </row>
    <row r="1504" spans="1:17" x14ac:dyDescent="0.35">
      <c r="A1504" s="1">
        <v>45825</v>
      </c>
      <c r="B1504" t="s">
        <v>55</v>
      </c>
      <c r="C1504" t="s">
        <v>56</v>
      </c>
      <c r="D1504">
        <v>4</v>
      </c>
      <c r="E1504" t="s">
        <v>57</v>
      </c>
      <c r="F1504">
        <v>30</v>
      </c>
      <c r="G1504">
        <v>159.4</v>
      </c>
      <c r="H1504">
        <v>88.94</v>
      </c>
      <c r="I1504">
        <v>94.66</v>
      </c>
      <c r="J1504">
        <v>75.489999999999995</v>
      </c>
      <c r="K1504" t="s">
        <v>58</v>
      </c>
      <c r="L1504">
        <v>7.9</v>
      </c>
      <c r="N1504" t="s">
        <v>35</v>
      </c>
      <c r="O1504">
        <v>3</v>
      </c>
      <c r="P1504" t="s">
        <v>43</v>
      </c>
      <c r="Q1504">
        <v>71.400000000000006</v>
      </c>
    </row>
    <row r="1505" spans="1:17" x14ac:dyDescent="0.35">
      <c r="A1505" s="1">
        <v>45825</v>
      </c>
      <c r="B1505" t="s">
        <v>97</v>
      </c>
      <c r="C1505" t="s">
        <v>72</v>
      </c>
      <c r="D1505" t="s">
        <v>98</v>
      </c>
      <c r="E1505" t="s">
        <v>33</v>
      </c>
      <c r="F1505">
        <v>112.34</v>
      </c>
      <c r="G1505">
        <v>207.9</v>
      </c>
      <c r="H1505">
        <v>96.56</v>
      </c>
      <c r="I1505">
        <v>95.52</v>
      </c>
      <c r="J1505">
        <v>75.91</v>
      </c>
      <c r="K1505" t="s">
        <v>47</v>
      </c>
      <c r="L1505">
        <v>6.5</v>
      </c>
      <c r="M1505">
        <v>2.8</v>
      </c>
      <c r="N1505" t="s">
        <v>35</v>
      </c>
      <c r="O1505">
        <v>9</v>
      </c>
      <c r="P1505" t="s">
        <v>23</v>
      </c>
      <c r="Q1505">
        <v>60.3</v>
      </c>
    </row>
    <row r="1506" spans="1:17" x14ac:dyDescent="0.35">
      <c r="A1506" s="1">
        <v>45825</v>
      </c>
      <c r="B1506" t="s">
        <v>48</v>
      </c>
      <c r="C1506" t="s">
        <v>49</v>
      </c>
      <c r="D1506" t="s">
        <v>50</v>
      </c>
      <c r="E1506" t="s">
        <v>33</v>
      </c>
      <c r="F1506">
        <v>211.54</v>
      </c>
      <c r="G1506">
        <v>200.9</v>
      </c>
      <c r="H1506">
        <v>92.77</v>
      </c>
      <c r="I1506">
        <v>95.76</v>
      </c>
      <c r="J1506">
        <v>70.709999999999994</v>
      </c>
      <c r="K1506" t="s">
        <v>47</v>
      </c>
      <c r="L1506">
        <v>7.2</v>
      </c>
      <c r="M1506">
        <v>4.7</v>
      </c>
      <c r="N1506" t="s">
        <v>35</v>
      </c>
      <c r="O1506">
        <v>6</v>
      </c>
      <c r="P1506" t="s">
        <v>23</v>
      </c>
      <c r="Q1506">
        <v>58.7</v>
      </c>
    </row>
    <row r="1507" spans="1:17" x14ac:dyDescent="0.35">
      <c r="A1507" s="1">
        <v>45825</v>
      </c>
      <c r="B1507" t="s">
        <v>17</v>
      </c>
      <c r="C1507" t="s">
        <v>18</v>
      </c>
      <c r="D1507" t="s">
        <v>19</v>
      </c>
      <c r="E1507" t="s">
        <v>20</v>
      </c>
      <c r="F1507">
        <v>275.58</v>
      </c>
      <c r="G1507">
        <v>180.5</v>
      </c>
      <c r="H1507">
        <v>90.74</v>
      </c>
      <c r="I1507">
        <v>93.77</v>
      </c>
      <c r="J1507">
        <v>78.34</v>
      </c>
      <c r="K1507" t="s">
        <v>58</v>
      </c>
      <c r="L1507">
        <v>7.3</v>
      </c>
      <c r="N1507" t="s">
        <v>22</v>
      </c>
      <c r="O1507">
        <v>6</v>
      </c>
      <c r="P1507" t="s">
        <v>23</v>
      </c>
      <c r="Q1507">
        <v>71.2</v>
      </c>
    </row>
    <row r="1508" spans="1:17" x14ac:dyDescent="0.35">
      <c r="A1508" s="1">
        <v>45825</v>
      </c>
      <c r="B1508" t="s">
        <v>64</v>
      </c>
      <c r="C1508" t="s">
        <v>25</v>
      </c>
      <c r="D1508" t="s">
        <v>65</v>
      </c>
      <c r="E1508" t="s">
        <v>27</v>
      </c>
      <c r="F1508">
        <v>480.16</v>
      </c>
      <c r="G1508">
        <v>71.7</v>
      </c>
      <c r="H1508">
        <v>93.64</v>
      </c>
      <c r="I1508">
        <v>97.7</v>
      </c>
      <c r="J1508">
        <v>79.67</v>
      </c>
      <c r="K1508" t="s">
        <v>34</v>
      </c>
      <c r="L1508">
        <v>8.8000000000000007</v>
      </c>
      <c r="M1508">
        <v>1.7</v>
      </c>
      <c r="N1508" t="s">
        <v>39</v>
      </c>
      <c r="O1508">
        <v>8</v>
      </c>
      <c r="P1508" t="s">
        <v>30</v>
      </c>
      <c r="Q1508">
        <v>63.5</v>
      </c>
    </row>
    <row r="1509" spans="1:17" x14ac:dyDescent="0.35">
      <c r="A1509" s="1">
        <v>45825</v>
      </c>
      <c r="B1509" t="s">
        <v>40</v>
      </c>
      <c r="C1509" t="s">
        <v>41</v>
      </c>
      <c r="D1509" t="s">
        <v>42</v>
      </c>
      <c r="E1509" t="s">
        <v>27</v>
      </c>
      <c r="F1509">
        <v>543.72</v>
      </c>
      <c r="G1509">
        <v>50.3</v>
      </c>
      <c r="H1509">
        <v>95.41</v>
      </c>
      <c r="I1509">
        <v>97.84</v>
      </c>
      <c r="J1509">
        <v>83.34</v>
      </c>
      <c r="K1509" t="s">
        <v>47</v>
      </c>
      <c r="L1509">
        <v>8.1</v>
      </c>
      <c r="M1509">
        <v>1.9</v>
      </c>
      <c r="N1509" t="s">
        <v>39</v>
      </c>
      <c r="O1509">
        <v>11</v>
      </c>
      <c r="P1509" t="s">
        <v>43</v>
      </c>
      <c r="Q1509">
        <v>62.7</v>
      </c>
    </row>
    <row r="1510" spans="1:17" x14ac:dyDescent="0.35">
      <c r="A1510" s="1">
        <v>45825</v>
      </c>
      <c r="B1510" t="s">
        <v>93</v>
      </c>
      <c r="C1510" t="s">
        <v>37</v>
      </c>
      <c r="D1510" t="s">
        <v>94</v>
      </c>
      <c r="E1510" t="s">
        <v>27</v>
      </c>
      <c r="F1510">
        <v>312.88</v>
      </c>
      <c r="G1510">
        <v>63.9</v>
      </c>
      <c r="H1510">
        <v>97.29</v>
      </c>
      <c r="I1510">
        <v>95.32</v>
      </c>
      <c r="J1510">
        <v>82.23</v>
      </c>
      <c r="K1510" t="s">
        <v>47</v>
      </c>
      <c r="L1510">
        <v>8.4</v>
      </c>
      <c r="M1510">
        <v>3.8</v>
      </c>
      <c r="N1510" t="s">
        <v>29</v>
      </c>
      <c r="O1510">
        <v>8</v>
      </c>
      <c r="P1510" t="s">
        <v>23</v>
      </c>
      <c r="Q1510">
        <v>61.9</v>
      </c>
    </row>
    <row r="1511" spans="1:17" x14ac:dyDescent="0.35">
      <c r="A1511" s="1">
        <v>45825</v>
      </c>
      <c r="B1511" t="s">
        <v>93</v>
      </c>
      <c r="C1511" t="s">
        <v>37</v>
      </c>
      <c r="D1511" t="s">
        <v>94</v>
      </c>
      <c r="E1511" t="s">
        <v>33</v>
      </c>
      <c r="F1511">
        <v>340.44</v>
      </c>
      <c r="G1511">
        <v>216.5</v>
      </c>
      <c r="H1511">
        <v>92.03</v>
      </c>
      <c r="I1511">
        <v>95.54</v>
      </c>
      <c r="J1511">
        <v>79.540000000000006</v>
      </c>
      <c r="K1511" t="s">
        <v>34</v>
      </c>
      <c r="L1511">
        <v>8</v>
      </c>
      <c r="M1511">
        <v>3.9</v>
      </c>
      <c r="N1511" t="s">
        <v>35</v>
      </c>
      <c r="O1511">
        <v>10</v>
      </c>
      <c r="P1511" t="s">
        <v>23</v>
      </c>
      <c r="Q1511">
        <v>61.9</v>
      </c>
    </row>
    <row r="1512" spans="1:17" x14ac:dyDescent="0.35">
      <c r="A1512" s="1">
        <v>45825</v>
      </c>
      <c r="B1512" t="s">
        <v>78</v>
      </c>
      <c r="C1512" t="s">
        <v>41</v>
      </c>
      <c r="D1512" t="s">
        <v>79</v>
      </c>
      <c r="E1512" t="s">
        <v>27</v>
      </c>
      <c r="F1512">
        <v>673.27</v>
      </c>
      <c r="G1512">
        <v>59.6</v>
      </c>
      <c r="H1512">
        <v>93.59</v>
      </c>
      <c r="I1512">
        <v>96.53</v>
      </c>
      <c r="J1512">
        <v>80.72</v>
      </c>
      <c r="K1512" t="s">
        <v>28</v>
      </c>
      <c r="L1512">
        <v>9</v>
      </c>
      <c r="M1512">
        <v>3.2</v>
      </c>
      <c r="N1512" t="s">
        <v>39</v>
      </c>
      <c r="O1512">
        <v>12</v>
      </c>
      <c r="P1512" t="s">
        <v>43</v>
      </c>
      <c r="Q1512">
        <v>62.5</v>
      </c>
    </row>
    <row r="1513" spans="1:17" x14ac:dyDescent="0.35">
      <c r="A1513" s="1">
        <v>45825</v>
      </c>
      <c r="B1513" t="s">
        <v>36</v>
      </c>
      <c r="C1513" t="s">
        <v>37</v>
      </c>
      <c r="D1513" t="s">
        <v>38</v>
      </c>
      <c r="E1513" t="s">
        <v>33</v>
      </c>
      <c r="F1513">
        <v>227.96</v>
      </c>
      <c r="G1513">
        <v>90.9</v>
      </c>
      <c r="H1513">
        <v>97.29</v>
      </c>
      <c r="I1513">
        <v>96.02</v>
      </c>
      <c r="J1513">
        <v>72.87</v>
      </c>
      <c r="K1513" t="s">
        <v>34</v>
      </c>
      <c r="L1513">
        <v>7.5</v>
      </c>
      <c r="M1513">
        <v>3.8</v>
      </c>
      <c r="N1513" t="s">
        <v>35</v>
      </c>
      <c r="O1513">
        <v>8</v>
      </c>
      <c r="P1513" t="s">
        <v>23</v>
      </c>
      <c r="Q1513">
        <v>59.5</v>
      </c>
    </row>
    <row r="1514" spans="1:17" x14ac:dyDescent="0.35">
      <c r="A1514" s="1">
        <v>45825</v>
      </c>
      <c r="B1514" t="s">
        <v>24</v>
      </c>
      <c r="C1514" t="s">
        <v>25</v>
      </c>
      <c r="D1514" t="s">
        <v>26</v>
      </c>
      <c r="E1514" t="s">
        <v>27</v>
      </c>
      <c r="F1514">
        <v>518.57000000000005</v>
      </c>
      <c r="G1514">
        <v>23.7</v>
      </c>
      <c r="H1514">
        <v>94.63</v>
      </c>
      <c r="I1514">
        <v>97.65</v>
      </c>
      <c r="J1514">
        <v>75.849999999999994</v>
      </c>
      <c r="K1514" t="s">
        <v>47</v>
      </c>
      <c r="L1514">
        <v>8.6</v>
      </c>
      <c r="M1514">
        <v>3.9</v>
      </c>
      <c r="N1514" t="s">
        <v>39</v>
      </c>
      <c r="O1514">
        <v>10</v>
      </c>
      <c r="P1514" t="s">
        <v>30</v>
      </c>
      <c r="Q1514">
        <v>60.2</v>
      </c>
    </row>
    <row r="1515" spans="1:17" x14ac:dyDescent="0.35">
      <c r="A1515" s="1">
        <v>45825</v>
      </c>
      <c r="B1515" t="s">
        <v>86</v>
      </c>
      <c r="C1515" t="s">
        <v>25</v>
      </c>
      <c r="D1515" t="s">
        <v>87</v>
      </c>
      <c r="E1515" t="s">
        <v>27</v>
      </c>
      <c r="F1515">
        <v>724.76</v>
      </c>
      <c r="G1515">
        <v>27.6</v>
      </c>
      <c r="H1515">
        <v>92.79</v>
      </c>
      <c r="I1515">
        <v>97.62</v>
      </c>
      <c r="J1515">
        <v>82.42</v>
      </c>
      <c r="K1515" t="s">
        <v>28</v>
      </c>
      <c r="L1515">
        <v>8.4</v>
      </c>
      <c r="M1515">
        <v>3.2</v>
      </c>
      <c r="N1515" t="s">
        <v>39</v>
      </c>
      <c r="O1515">
        <v>11</v>
      </c>
      <c r="P1515" t="s">
        <v>30</v>
      </c>
      <c r="Q1515">
        <v>61.2</v>
      </c>
    </row>
    <row r="1516" spans="1:17" x14ac:dyDescent="0.35">
      <c r="A1516" s="1">
        <v>45825</v>
      </c>
      <c r="B1516" t="s">
        <v>95</v>
      </c>
      <c r="C1516" t="s">
        <v>49</v>
      </c>
      <c r="D1516" t="s">
        <v>96</v>
      </c>
      <c r="E1516" t="s">
        <v>27</v>
      </c>
      <c r="F1516">
        <v>227.7</v>
      </c>
      <c r="G1516">
        <v>20.399999999999999</v>
      </c>
      <c r="H1516">
        <v>92.64</v>
      </c>
      <c r="I1516">
        <v>94.73</v>
      </c>
      <c r="J1516">
        <v>81.09</v>
      </c>
      <c r="K1516" t="s">
        <v>34</v>
      </c>
      <c r="L1516">
        <v>8</v>
      </c>
      <c r="M1516">
        <v>1.6</v>
      </c>
      <c r="N1516" t="s">
        <v>29</v>
      </c>
      <c r="O1516">
        <v>9</v>
      </c>
      <c r="P1516" t="s">
        <v>43</v>
      </c>
      <c r="Q1516">
        <v>60.7</v>
      </c>
    </row>
    <row r="1517" spans="1:17" x14ac:dyDescent="0.35">
      <c r="A1517" s="1">
        <v>45825</v>
      </c>
      <c r="B1517" t="s">
        <v>95</v>
      </c>
      <c r="C1517" t="s">
        <v>49</v>
      </c>
      <c r="D1517" t="s">
        <v>96</v>
      </c>
      <c r="E1517" t="s">
        <v>27</v>
      </c>
      <c r="F1517">
        <v>392.64</v>
      </c>
      <c r="G1517">
        <v>23.9</v>
      </c>
      <c r="H1517">
        <v>95.24</v>
      </c>
      <c r="I1517">
        <v>94.73</v>
      </c>
      <c r="J1517">
        <v>81.14</v>
      </c>
      <c r="K1517" t="s">
        <v>47</v>
      </c>
      <c r="L1517">
        <v>8.4</v>
      </c>
      <c r="M1517">
        <v>4</v>
      </c>
      <c r="N1517" t="s">
        <v>29</v>
      </c>
      <c r="O1517">
        <v>9</v>
      </c>
      <c r="P1517" t="s">
        <v>43</v>
      </c>
      <c r="Q1517">
        <v>60.3</v>
      </c>
    </row>
    <row r="1518" spans="1:17" x14ac:dyDescent="0.35">
      <c r="A1518" s="1">
        <v>45825</v>
      </c>
      <c r="B1518" t="s">
        <v>40</v>
      </c>
      <c r="C1518" t="s">
        <v>41</v>
      </c>
      <c r="D1518" t="s">
        <v>42</v>
      </c>
      <c r="E1518" t="s">
        <v>27</v>
      </c>
      <c r="F1518">
        <v>321.37</v>
      </c>
      <c r="G1518">
        <v>55</v>
      </c>
      <c r="H1518">
        <v>97.07</v>
      </c>
      <c r="I1518">
        <v>96.94</v>
      </c>
      <c r="J1518">
        <v>79.77</v>
      </c>
      <c r="K1518" t="s">
        <v>34</v>
      </c>
      <c r="L1518">
        <v>7.1</v>
      </c>
      <c r="M1518">
        <v>3.4</v>
      </c>
      <c r="N1518" t="s">
        <v>29</v>
      </c>
      <c r="O1518">
        <v>11</v>
      </c>
      <c r="P1518" t="s">
        <v>43</v>
      </c>
      <c r="Q1518">
        <v>59.6</v>
      </c>
    </row>
    <row r="1519" spans="1:17" x14ac:dyDescent="0.35">
      <c r="A1519" s="1">
        <v>45825</v>
      </c>
      <c r="B1519" t="s">
        <v>76</v>
      </c>
      <c r="C1519" t="s">
        <v>45</v>
      </c>
      <c r="D1519" t="s">
        <v>77</v>
      </c>
      <c r="E1519" t="s">
        <v>27</v>
      </c>
      <c r="F1519">
        <v>286.07</v>
      </c>
      <c r="G1519">
        <v>296.10000000000002</v>
      </c>
      <c r="H1519">
        <v>97.96</v>
      </c>
      <c r="I1519">
        <v>98.86</v>
      </c>
      <c r="J1519">
        <v>79.41</v>
      </c>
      <c r="K1519" t="s">
        <v>34</v>
      </c>
      <c r="L1519">
        <v>7.3</v>
      </c>
      <c r="M1519">
        <v>3.5</v>
      </c>
      <c r="N1519" t="s">
        <v>29</v>
      </c>
      <c r="O1519">
        <v>13</v>
      </c>
      <c r="P1519" t="s">
        <v>23</v>
      </c>
      <c r="Q1519">
        <v>62.5</v>
      </c>
    </row>
    <row r="1520" spans="1:17" x14ac:dyDescent="0.35">
      <c r="A1520" s="1">
        <v>45825</v>
      </c>
      <c r="B1520" t="s">
        <v>74</v>
      </c>
      <c r="C1520" t="s">
        <v>67</v>
      </c>
      <c r="D1520" t="s">
        <v>75</v>
      </c>
      <c r="E1520" t="s">
        <v>27</v>
      </c>
      <c r="F1520">
        <v>220.66</v>
      </c>
      <c r="G1520">
        <v>40.9</v>
      </c>
      <c r="H1520">
        <v>95.08</v>
      </c>
      <c r="I1520">
        <v>95.1</v>
      </c>
      <c r="J1520">
        <v>80.11</v>
      </c>
      <c r="K1520" t="s">
        <v>28</v>
      </c>
      <c r="L1520">
        <v>7.7</v>
      </c>
      <c r="M1520">
        <v>2.1</v>
      </c>
      <c r="N1520" t="s">
        <v>39</v>
      </c>
      <c r="O1520">
        <v>8</v>
      </c>
      <c r="P1520" t="s">
        <v>23</v>
      </c>
      <c r="Q1520">
        <v>60.6</v>
      </c>
    </row>
    <row r="1521" spans="1:17" x14ac:dyDescent="0.35">
      <c r="A1521" s="1">
        <v>45825</v>
      </c>
      <c r="B1521" t="s">
        <v>97</v>
      </c>
      <c r="C1521" t="s">
        <v>72</v>
      </c>
      <c r="D1521" t="s">
        <v>98</v>
      </c>
      <c r="E1521" t="s">
        <v>33</v>
      </c>
      <c r="F1521">
        <v>266.33</v>
      </c>
      <c r="G1521">
        <v>73.3</v>
      </c>
      <c r="H1521">
        <v>94.53</v>
      </c>
      <c r="I1521">
        <v>94.34</v>
      </c>
      <c r="J1521">
        <v>76.48</v>
      </c>
      <c r="K1521" t="s">
        <v>47</v>
      </c>
      <c r="L1521">
        <v>7.3</v>
      </c>
      <c r="M1521">
        <v>2.8</v>
      </c>
      <c r="N1521" t="s">
        <v>35</v>
      </c>
      <c r="O1521">
        <v>9</v>
      </c>
      <c r="P1521" t="s">
        <v>43</v>
      </c>
      <c r="Q1521">
        <v>59.3</v>
      </c>
    </row>
    <row r="1522" spans="1:17" x14ac:dyDescent="0.35">
      <c r="A1522" s="1">
        <v>45825</v>
      </c>
      <c r="B1522" t="s">
        <v>44</v>
      </c>
      <c r="C1522" t="s">
        <v>45</v>
      </c>
      <c r="D1522" t="s">
        <v>46</v>
      </c>
      <c r="E1522" t="s">
        <v>33</v>
      </c>
      <c r="F1522">
        <v>928.79</v>
      </c>
      <c r="G1522">
        <v>466.8</v>
      </c>
      <c r="H1522">
        <v>96.99</v>
      </c>
      <c r="I1522">
        <v>99.14</v>
      </c>
      <c r="J1522">
        <v>74.69</v>
      </c>
      <c r="K1522" t="s">
        <v>28</v>
      </c>
      <c r="L1522">
        <v>8</v>
      </c>
      <c r="M1522">
        <v>1.8</v>
      </c>
      <c r="N1522" t="s">
        <v>35</v>
      </c>
      <c r="O1522">
        <v>6</v>
      </c>
      <c r="P1522" t="s">
        <v>23</v>
      </c>
      <c r="Q1522">
        <v>63.9</v>
      </c>
    </row>
    <row r="1523" spans="1:17" x14ac:dyDescent="0.35">
      <c r="A1523" s="1">
        <v>45825</v>
      </c>
      <c r="B1523" t="s">
        <v>69</v>
      </c>
      <c r="C1523" t="s">
        <v>18</v>
      </c>
      <c r="D1523" t="s">
        <v>70</v>
      </c>
      <c r="E1523" t="s">
        <v>20</v>
      </c>
      <c r="F1523">
        <v>209.33</v>
      </c>
      <c r="G1523">
        <v>190.8</v>
      </c>
      <c r="H1523">
        <v>92.53</v>
      </c>
      <c r="I1523">
        <v>93.99</v>
      </c>
      <c r="J1523">
        <v>78.83</v>
      </c>
      <c r="K1523" t="s">
        <v>63</v>
      </c>
      <c r="L1523">
        <v>7.3</v>
      </c>
      <c r="N1523" t="s">
        <v>22</v>
      </c>
      <c r="O1523">
        <v>5</v>
      </c>
      <c r="P1523" t="s">
        <v>23</v>
      </c>
      <c r="Q1523">
        <v>71.7</v>
      </c>
    </row>
    <row r="1524" spans="1:17" x14ac:dyDescent="0.35">
      <c r="A1524" s="1">
        <v>45825</v>
      </c>
      <c r="B1524" t="s">
        <v>86</v>
      </c>
      <c r="C1524" t="s">
        <v>25</v>
      </c>
      <c r="D1524" t="s">
        <v>87</v>
      </c>
      <c r="E1524" t="s">
        <v>27</v>
      </c>
      <c r="F1524">
        <v>439.04</v>
      </c>
      <c r="G1524">
        <v>62.1</v>
      </c>
      <c r="H1524">
        <v>94.4</v>
      </c>
      <c r="I1524">
        <v>96.92</v>
      </c>
      <c r="J1524">
        <v>83.59</v>
      </c>
      <c r="K1524" t="s">
        <v>47</v>
      </c>
      <c r="L1524">
        <v>8.8000000000000007</v>
      </c>
      <c r="M1524">
        <v>4.2</v>
      </c>
      <c r="N1524" t="s">
        <v>29</v>
      </c>
      <c r="O1524">
        <v>11</v>
      </c>
      <c r="P1524" t="s">
        <v>30</v>
      </c>
      <c r="Q1524">
        <v>62.3</v>
      </c>
    </row>
    <row r="1525" spans="1:17" x14ac:dyDescent="0.35">
      <c r="A1525" s="1">
        <v>45825</v>
      </c>
      <c r="B1525" t="s">
        <v>59</v>
      </c>
      <c r="C1525" t="s">
        <v>60</v>
      </c>
      <c r="D1525" t="s">
        <v>61</v>
      </c>
      <c r="E1525" t="s">
        <v>62</v>
      </c>
      <c r="F1525">
        <v>340.91</v>
      </c>
      <c r="G1525">
        <v>178.9</v>
      </c>
      <c r="H1525">
        <v>91.05</v>
      </c>
      <c r="I1525">
        <v>96.31</v>
      </c>
      <c r="J1525">
        <v>85.02</v>
      </c>
      <c r="K1525" t="s">
        <v>34</v>
      </c>
      <c r="L1525">
        <v>7.9</v>
      </c>
      <c r="N1525" t="s">
        <v>35</v>
      </c>
      <c r="O1525">
        <v>5</v>
      </c>
      <c r="P1525" t="s">
        <v>43</v>
      </c>
      <c r="Q1525">
        <v>74.3</v>
      </c>
    </row>
    <row r="1526" spans="1:17" x14ac:dyDescent="0.35">
      <c r="A1526" s="1">
        <v>45825</v>
      </c>
      <c r="B1526" t="s">
        <v>91</v>
      </c>
      <c r="C1526" t="s">
        <v>67</v>
      </c>
      <c r="D1526" t="s">
        <v>92</v>
      </c>
      <c r="E1526" t="s">
        <v>27</v>
      </c>
      <c r="F1526">
        <v>337.78</v>
      </c>
      <c r="G1526">
        <v>48.5</v>
      </c>
      <c r="H1526">
        <v>97.38</v>
      </c>
      <c r="I1526">
        <v>95.32</v>
      </c>
      <c r="J1526">
        <v>83.44</v>
      </c>
      <c r="K1526" t="s">
        <v>34</v>
      </c>
      <c r="L1526">
        <v>7.4</v>
      </c>
      <c r="M1526">
        <v>2.8</v>
      </c>
      <c r="N1526" t="s">
        <v>39</v>
      </c>
      <c r="O1526">
        <v>10</v>
      </c>
      <c r="P1526" t="s">
        <v>43</v>
      </c>
      <c r="Q1526">
        <v>60.8</v>
      </c>
    </row>
    <row r="1527" spans="1:17" x14ac:dyDescent="0.35">
      <c r="A1527" s="1">
        <v>45825</v>
      </c>
      <c r="B1527" t="s">
        <v>93</v>
      </c>
      <c r="C1527" t="s">
        <v>37</v>
      </c>
      <c r="D1527" t="s">
        <v>94</v>
      </c>
      <c r="E1527" t="s">
        <v>33</v>
      </c>
      <c r="F1527">
        <v>325.26</v>
      </c>
      <c r="G1527">
        <v>194.5</v>
      </c>
      <c r="H1527">
        <v>95.29</v>
      </c>
      <c r="I1527">
        <v>94.31</v>
      </c>
      <c r="J1527">
        <v>76.95</v>
      </c>
      <c r="K1527" t="s">
        <v>47</v>
      </c>
      <c r="L1527">
        <v>8</v>
      </c>
      <c r="M1527">
        <v>2.1</v>
      </c>
      <c r="N1527" t="s">
        <v>35</v>
      </c>
      <c r="O1527">
        <v>10</v>
      </c>
      <c r="P1527" t="s">
        <v>23</v>
      </c>
      <c r="Q1527">
        <v>63</v>
      </c>
    </row>
    <row r="1528" spans="1:17" x14ac:dyDescent="0.35">
      <c r="A1528" s="1">
        <v>45825</v>
      </c>
      <c r="B1528" t="s">
        <v>86</v>
      </c>
      <c r="C1528" t="s">
        <v>25</v>
      </c>
      <c r="D1528" t="s">
        <v>87</v>
      </c>
      <c r="E1528" t="s">
        <v>27</v>
      </c>
      <c r="F1528">
        <v>740.91</v>
      </c>
      <c r="G1528">
        <v>59.2</v>
      </c>
      <c r="H1528">
        <v>95.02</v>
      </c>
      <c r="I1528">
        <v>96.19</v>
      </c>
      <c r="J1528">
        <v>81.680000000000007</v>
      </c>
      <c r="K1528" t="s">
        <v>28</v>
      </c>
      <c r="L1528">
        <v>8.5</v>
      </c>
      <c r="M1528">
        <v>4.9000000000000004</v>
      </c>
      <c r="N1528" t="s">
        <v>39</v>
      </c>
      <c r="O1528">
        <v>8</v>
      </c>
      <c r="P1528" t="s">
        <v>30</v>
      </c>
      <c r="Q1528">
        <v>60.9</v>
      </c>
    </row>
    <row r="1529" spans="1:17" x14ac:dyDescent="0.35">
      <c r="A1529" s="1">
        <v>45825</v>
      </c>
      <c r="B1529" t="s">
        <v>40</v>
      </c>
      <c r="C1529" t="s">
        <v>41</v>
      </c>
      <c r="D1529" t="s">
        <v>42</v>
      </c>
      <c r="E1529" t="s">
        <v>27</v>
      </c>
      <c r="F1529">
        <v>317.56</v>
      </c>
      <c r="G1529">
        <v>62.9</v>
      </c>
      <c r="H1529">
        <v>93.97</v>
      </c>
      <c r="I1529">
        <v>97.87</v>
      </c>
      <c r="J1529">
        <v>79.540000000000006</v>
      </c>
      <c r="K1529" t="s">
        <v>34</v>
      </c>
      <c r="L1529">
        <v>7.2</v>
      </c>
      <c r="M1529">
        <v>2.4</v>
      </c>
      <c r="N1529" t="s">
        <v>29</v>
      </c>
      <c r="O1529">
        <v>14</v>
      </c>
      <c r="P1529" t="s">
        <v>43</v>
      </c>
      <c r="Q1529">
        <v>60.2</v>
      </c>
    </row>
    <row r="1530" spans="1:17" x14ac:dyDescent="0.35">
      <c r="A1530" s="1">
        <v>45825</v>
      </c>
      <c r="B1530" t="s">
        <v>86</v>
      </c>
      <c r="C1530" t="s">
        <v>25</v>
      </c>
      <c r="D1530" t="s">
        <v>87</v>
      </c>
      <c r="E1530" t="s">
        <v>27</v>
      </c>
      <c r="F1530">
        <v>683.97</v>
      </c>
      <c r="G1530">
        <v>29.6</v>
      </c>
      <c r="H1530">
        <v>94.52</v>
      </c>
      <c r="I1530">
        <v>96.85</v>
      </c>
      <c r="J1530">
        <v>78.7</v>
      </c>
      <c r="K1530" t="s">
        <v>28</v>
      </c>
      <c r="L1530">
        <v>8.5</v>
      </c>
      <c r="M1530">
        <v>4.8</v>
      </c>
      <c r="N1530" t="s">
        <v>39</v>
      </c>
      <c r="O1530">
        <v>8</v>
      </c>
      <c r="P1530" t="s">
        <v>30</v>
      </c>
      <c r="Q1530">
        <v>59.9</v>
      </c>
    </row>
    <row r="1531" spans="1:17" x14ac:dyDescent="0.35">
      <c r="A1531" s="1">
        <v>45825</v>
      </c>
      <c r="B1531" t="s">
        <v>48</v>
      </c>
      <c r="C1531" t="s">
        <v>49</v>
      </c>
      <c r="D1531" t="s">
        <v>50</v>
      </c>
      <c r="E1531" t="s">
        <v>33</v>
      </c>
      <c r="F1531">
        <v>351.67</v>
      </c>
      <c r="G1531">
        <v>129.80000000000001</v>
      </c>
      <c r="H1531">
        <v>95.27</v>
      </c>
      <c r="I1531">
        <v>93.32</v>
      </c>
      <c r="J1531">
        <v>77.37</v>
      </c>
      <c r="K1531" t="s">
        <v>47</v>
      </c>
      <c r="L1531">
        <v>7.5</v>
      </c>
      <c r="M1531">
        <v>4.4000000000000004</v>
      </c>
      <c r="N1531" t="s">
        <v>35</v>
      </c>
      <c r="O1531">
        <v>10</v>
      </c>
      <c r="P1531" t="s">
        <v>23</v>
      </c>
      <c r="Q1531">
        <v>59.8</v>
      </c>
    </row>
    <row r="1532" spans="1:17" x14ac:dyDescent="0.35">
      <c r="A1532" s="1">
        <v>45825</v>
      </c>
      <c r="B1532" t="s">
        <v>82</v>
      </c>
      <c r="C1532" t="s">
        <v>72</v>
      </c>
      <c r="D1532" t="s">
        <v>83</v>
      </c>
      <c r="E1532" t="s">
        <v>20</v>
      </c>
      <c r="F1532">
        <v>250.84</v>
      </c>
      <c r="G1532">
        <v>196.8</v>
      </c>
      <c r="H1532">
        <v>88.35</v>
      </c>
      <c r="I1532">
        <v>96.67</v>
      </c>
      <c r="J1532">
        <v>79.760000000000005</v>
      </c>
      <c r="K1532" t="s">
        <v>58</v>
      </c>
      <c r="L1532">
        <v>7.7</v>
      </c>
      <c r="N1532" t="s">
        <v>35</v>
      </c>
      <c r="O1532">
        <v>8</v>
      </c>
      <c r="P1532" t="s">
        <v>23</v>
      </c>
      <c r="Q1532">
        <v>72.400000000000006</v>
      </c>
    </row>
    <row r="1533" spans="1:17" x14ac:dyDescent="0.35">
      <c r="A1533" s="1">
        <v>45825</v>
      </c>
      <c r="B1533" t="s">
        <v>89</v>
      </c>
      <c r="C1533" t="s">
        <v>67</v>
      </c>
      <c r="D1533" t="s">
        <v>90</v>
      </c>
      <c r="E1533" t="s">
        <v>27</v>
      </c>
      <c r="F1533">
        <v>629.08000000000004</v>
      </c>
      <c r="G1533">
        <v>36.4</v>
      </c>
      <c r="H1533">
        <v>96.98</v>
      </c>
      <c r="I1533">
        <v>94.74</v>
      </c>
      <c r="J1533">
        <v>79.28</v>
      </c>
      <c r="K1533" t="s">
        <v>28</v>
      </c>
      <c r="L1533">
        <v>9.4</v>
      </c>
      <c r="M1533">
        <v>4.0999999999999996</v>
      </c>
      <c r="N1533" t="s">
        <v>39</v>
      </c>
      <c r="O1533">
        <v>14</v>
      </c>
      <c r="P1533" t="s">
        <v>23</v>
      </c>
      <c r="Q1533">
        <v>62.2</v>
      </c>
    </row>
    <row r="1534" spans="1:17" x14ac:dyDescent="0.35">
      <c r="A1534" s="1">
        <v>45825</v>
      </c>
      <c r="B1534" t="s">
        <v>17</v>
      </c>
      <c r="C1534" t="s">
        <v>18</v>
      </c>
      <c r="D1534" t="s">
        <v>19</v>
      </c>
      <c r="E1534" t="s">
        <v>20</v>
      </c>
      <c r="F1534">
        <v>289.52</v>
      </c>
      <c r="G1534">
        <v>216.2</v>
      </c>
      <c r="H1534">
        <v>91.77</v>
      </c>
      <c r="I1534">
        <v>93.34</v>
      </c>
      <c r="J1534">
        <v>77.7</v>
      </c>
      <c r="K1534" t="s">
        <v>58</v>
      </c>
      <c r="L1534">
        <v>7.7</v>
      </c>
      <c r="N1534" t="s">
        <v>35</v>
      </c>
      <c r="O1534">
        <v>6</v>
      </c>
      <c r="P1534" t="s">
        <v>23</v>
      </c>
      <c r="Q1534">
        <v>72</v>
      </c>
    </row>
    <row r="1535" spans="1:17" x14ac:dyDescent="0.35">
      <c r="A1535" s="1">
        <v>45825</v>
      </c>
      <c r="B1535" t="s">
        <v>55</v>
      </c>
      <c r="C1535" t="s">
        <v>56</v>
      </c>
      <c r="D1535">
        <v>4</v>
      </c>
      <c r="E1535" t="s">
        <v>57</v>
      </c>
      <c r="F1535">
        <v>30</v>
      </c>
      <c r="G1535">
        <v>120.6</v>
      </c>
      <c r="H1535">
        <v>89.59</v>
      </c>
      <c r="I1535">
        <v>94.84</v>
      </c>
      <c r="J1535">
        <v>74.05</v>
      </c>
      <c r="K1535" t="s">
        <v>21</v>
      </c>
      <c r="L1535">
        <v>7.9</v>
      </c>
      <c r="N1535" t="s">
        <v>35</v>
      </c>
      <c r="O1535">
        <v>5</v>
      </c>
      <c r="P1535" t="s">
        <v>23</v>
      </c>
      <c r="Q1535">
        <v>70.400000000000006</v>
      </c>
    </row>
    <row r="1536" spans="1:17" x14ac:dyDescent="0.35">
      <c r="A1536" s="1">
        <v>45825</v>
      </c>
      <c r="B1536" t="s">
        <v>91</v>
      </c>
      <c r="C1536" t="s">
        <v>67</v>
      </c>
      <c r="D1536" t="s">
        <v>92</v>
      </c>
      <c r="E1536" t="s">
        <v>27</v>
      </c>
      <c r="F1536">
        <v>233.58</v>
      </c>
      <c r="G1536">
        <v>31.3</v>
      </c>
      <c r="H1536">
        <v>95.35</v>
      </c>
      <c r="I1536">
        <v>93.9</v>
      </c>
      <c r="J1536">
        <v>84.73</v>
      </c>
      <c r="K1536" t="s">
        <v>34</v>
      </c>
      <c r="L1536">
        <v>8.1999999999999993</v>
      </c>
      <c r="M1536">
        <v>4</v>
      </c>
      <c r="N1536" t="s">
        <v>39</v>
      </c>
      <c r="O1536">
        <v>15</v>
      </c>
      <c r="P1536" t="s">
        <v>23</v>
      </c>
      <c r="Q1536">
        <v>60.6</v>
      </c>
    </row>
    <row r="1537" spans="1:17" x14ac:dyDescent="0.35">
      <c r="A1537" s="1">
        <v>45825</v>
      </c>
      <c r="B1537" t="s">
        <v>36</v>
      </c>
      <c r="C1537" t="s">
        <v>37</v>
      </c>
      <c r="D1537" t="s">
        <v>38</v>
      </c>
      <c r="E1537" t="s">
        <v>27</v>
      </c>
      <c r="F1537">
        <v>359.58</v>
      </c>
      <c r="G1537">
        <v>37.799999999999997</v>
      </c>
      <c r="H1537">
        <v>94.3</v>
      </c>
      <c r="I1537">
        <v>96.81</v>
      </c>
      <c r="J1537">
        <v>77.48</v>
      </c>
      <c r="K1537" t="s">
        <v>34</v>
      </c>
      <c r="L1537">
        <v>7.8</v>
      </c>
      <c r="M1537">
        <v>2.5</v>
      </c>
      <c r="N1537" t="s">
        <v>39</v>
      </c>
      <c r="O1537">
        <v>12</v>
      </c>
      <c r="P1537" t="s">
        <v>23</v>
      </c>
      <c r="Q1537">
        <v>60.2</v>
      </c>
    </row>
    <row r="1538" spans="1:17" x14ac:dyDescent="0.35">
      <c r="A1538" s="1">
        <v>45825</v>
      </c>
      <c r="B1538" t="s">
        <v>48</v>
      </c>
      <c r="C1538" t="s">
        <v>49</v>
      </c>
      <c r="D1538" t="s">
        <v>50</v>
      </c>
      <c r="E1538" t="s">
        <v>27</v>
      </c>
      <c r="F1538">
        <v>466.16</v>
      </c>
      <c r="G1538">
        <v>23.9</v>
      </c>
      <c r="H1538">
        <v>97.04</v>
      </c>
      <c r="I1538">
        <v>96.23</v>
      </c>
      <c r="J1538">
        <v>77.23</v>
      </c>
      <c r="K1538" t="s">
        <v>47</v>
      </c>
      <c r="L1538">
        <v>9.1999999999999993</v>
      </c>
      <c r="M1538">
        <v>3</v>
      </c>
      <c r="N1538" t="s">
        <v>39</v>
      </c>
      <c r="O1538">
        <v>8</v>
      </c>
      <c r="P1538" t="s">
        <v>23</v>
      </c>
      <c r="Q1538">
        <v>62.2</v>
      </c>
    </row>
    <row r="1539" spans="1:17" x14ac:dyDescent="0.35">
      <c r="A1539" s="1">
        <v>45825</v>
      </c>
      <c r="B1539" t="s">
        <v>51</v>
      </c>
      <c r="C1539" t="s">
        <v>45</v>
      </c>
      <c r="D1539" t="s">
        <v>52</v>
      </c>
      <c r="E1539" t="s">
        <v>33</v>
      </c>
      <c r="F1539">
        <v>852.09</v>
      </c>
      <c r="G1539">
        <v>412.4</v>
      </c>
      <c r="H1539">
        <v>95.24</v>
      </c>
      <c r="I1539">
        <v>98.17</v>
      </c>
      <c r="J1539">
        <v>70.37</v>
      </c>
      <c r="K1539" t="s">
        <v>88</v>
      </c>
      <c r="L1539">
        <v>8.1999999999999993</v>
      </c>
      <c r="M1539">
        <v>3.8</v>
      </c>
      <c r="N1539" t="s">
        <v>35</v>
      </c>
      <c r="O1539">
        <v>9</v>
      </c>
      <c r="P1539" t="s">
        <v>23</v>
      </c>
      <c r="Q1539">
        <v>61.8</v>
      </c>
    </row>
    <row r="1540" spans="1:17" x14ac:dyDescent="0.35">
      <c r="A1540" s="1">
        <v>45825</v>
      </c>
      <c r="B1540" t="s">
        <v>99</v>
      </c>
      <c r="C1540" t="s">
        <v>72</v>
      </c>
      <c r="D1540" t="s">
        <v>100</v>
      </c>
      <c r="E1540" t="s">
        <v>27</v>
      </c>
      <c r="F1540">
        <v>147.24</v>
      </c>
      <c r="G1540">
        <v>51.3</v>
      </c>
      <c r="H1540">
        <v>97.06</v>
      </c>
      <c r="I1540">
        <v>95.37</v>
      </c>
      <c r="J1540">
        <v>80.069999999999993</v>
      </c>
      <c r="K1540" t="s">
        <v>28</v>
      </c>
      <c r="L1540">
        <v>7.1</v>
      </c>
      <c r="M1540">
        <v>4</v>
      </c>
      <c r="N1540" t="s">
        <v>29</v>
      </c>
      <c r="O1540">
        <v>8</v>
      </c>
      <c r="P1540" t="s">
        <v>23</v>
      </c>
      <c r="Q1540">
        <v>58.9</v>
      </c>
    </row>
    <row r="1541" spans="1:17" x14ac:dyDescent="0.35">
      <c r="A1541" s="1">
        <v>45825</v>
      </c>
      <c r="B1541" t="s">
        <v>48</v>
      </c>
      <c r="C1541" t="s">
        <v>49</v>
      </c>
      <c r="D1541" t="s">
        <v>50</v>
      </c>
      <c r="E1541" t="s">
        <v>27</v>
      </c>
      <c r="F1541">
        <v>221.13</v>
      </c>
      <c r="G1541">
        <v>67.7</v>
      </c>
      <c r="H1541">
        <v>97.7</v>
      </c>
      <c r="I1541">
        <v>96.64</v>
      </c>
      <c r="J1541">
        <v>81.31</v>
      </c>
      <c r="K1541" t="s">
        <v>28</v>
      </c>
      <c r="L1541">
        <v>8.3000000000000007</v>
      </c>
      <c r="M1541">
        <v>2.5</v>
      </c>
      <c r="N1541" t="s">
        <v>29</v>
      </c>
      <c r="O1541">
        <v>10</v>
      </c>
      <c r="P1541" t="s">
        <v>43</v>
      </c>
      <c r="Q1541">
        <v>62.8</v>
      </c>
    </row>
    <row r="1542" spans="1:17" x14ac:dyDescent="0.35">
      <c r="A1542" s="1">
        <v>45825</v>
      </c>
      <c r="B1542" t="s">
        <v>51</v>
      </c>
      <c r="C1542" t="s">
        <v>45</v>
      </c>
      <c r="D1542" t="s">
        <v>52</v>
      </c>
      <c r="E1542" t="s">
        <v>33</v>
      </c>
      <c r="F1542">
        <v>440.63</v>
      </c>
      <c r="G1542">
        <v>528.20000000000005</v>
      </c>
      <c r="H1542">
        <v>94.25</v>
      </c>
      <c r="I1542">
        <v>98.79</v>
      </c>
      <c r="J1542">
        <v>76.19</v>
      </c>
      <c r="K1542" t="s">
        <v>47</v>
      </c>
      <c r="L1542">
        <v>9.1</v>
      </c>
      <c r="M1542">
        <v>4</v>
      </c>
      <c r="N1542" t="s">
        <v>35</v>
      </c>
      <c r="O1542">
        <v>5</v>
      </c>
      <c r="P1542" t="s">
        <v>23</v>
      </c>
      <c r="Q1542">
        <v>64</v>
      </c>
    </row>
    <row r="1543" spans="1:17" x14ac:dyDescent="0.35">
      <c r="A1543" s="1">
        <v>45825</v>
      </c>
      <c r="B1543" t="s">
        <v>44</v>
      </c>
      <c r="C1543" t="s">
        <v>45</v>
      </c>
      <c r="D1543" t="s">
        <v>46</v>
      </c>
      <c r="E1543" t="s">
        <v>27</v>
      </c>
      <c r="F1543">
        <v>689.53</v>
      </c>
      <c r="G1543">
        <v>626.4</v>
      </c>
      <c r="H1543">
        <v>95.99</v>
      </c>
      <c r="I1543">
        <v>98.1</v>
      </c>
      <c r="J1543">
        <v>77.03</v>
      </c>
      <c r="K1543" t="s">
        <v>47</v>
      </c>
      <c r="L1543">
        <v>8.4</v>
      </c>
      <c r="M1543">
        <v>2.9</v>
      </c>
      <c r="N1543" t="s">
        <v>29</v>
      </c>
      <c r="O1543">
        <v>14</v>
      </c>
      <c r="P1543" t="s">
        <v>23</v>
      </c>
      <c r="Q1543">
        <v>63.9</v>
      </c>
    </row>
    <row r="1544" spans="1:17" x14ac:dyDescent="0.35">
      <c r="A1544" s="1">
        <v>45825</v>
      </c>
      <c r="B1544" t="s">
        <v>97</v>
      </c>
      <c r="C1544" t="s">
        <v>72</v>
      </c>
      <c r="D1544" t="s">
        <v>98</v>
      </c>
      <c r="E1544" t="s">
        <v>27</v>
      </c>
      <c r="F1544">
        <v>262.45999999999998</v>
      </c>
      <c r="G1544">
        <v>54</v>
      </c>
      <c r="H1544">
        <v>97.03</v>
      </c>
      <c r="I1544">
        <v>94.19</v>
      </c>
      <c r="J1544">
        <v>84.2</v>
      </c>
      <c r="K1544" t="s">
        <v>47</v>
      </c>
      <c r="L1544">
        <v>7.2</v>
      </c>
      <c r="M1544">
        <v>5</v>
      </c>
      <c r="N1544" t="s">
        <v>29</v>
      </c>
      <c r="O1544">
        <v>12</v>
      </c>
      <c r="P1544" t="s">
        <v>43</v>
      </c>
      <c r="Q1544">
        <v>59</v>
      </c>
    </row>
    <row r="1545" spans="1:17" x14ac:dyDescent="0.35">
      <c r="A1545" s="1">
        <v>45825</v>
      </c>
      <c r="B1545" t="s">
        <v>48</v>
      </c>
      <c r="C1545" t="s">
        <v>49</v>
      </c>
      <c r="D1545" t="s">
        <v>50</v>
      </c>
      <c r="E1545" t="s">
        <v>33</v>
      </c>
      <c r="F1545">
        <v>309.05</v>
      </c>
      <c r="G1545">
        <v>118.4</v>
      </c>
      <c r="H1545">
        <v>92.06</v>
      </c>
      <c r="I1545">
        <v>96.46</v>
      </c>
      <c r="J1545">
        <v>79.28</v>
      </c>
      <c r="K1545" t="s">
        <v>47</v>
      </c>
      <c r="L1545">
        <v>7.3</v>
      </c>
      <c r="M1545">
        <v>5</v>
      </c>
      <c r="N1545" t="s">
        <v>35</v>
      </c>
      <c r="O1545">
        <v>9</v>
      </c>
      <c r="P1545" t="s">
        <v>23</v>
      </c>
      <c r="Q1545">
        <v>59.1</v>
      </c>
    </row>
    <row r="1546" spans="1:17" x14ac:dyDescent="0.35">
      <c r="A1546" s="1">
        <v>45825</v>
      </c>
      <c r="B1546" t="s">
        <v>64</v>
      </c>
      <c r="C1546" t="s">
        <v>25</v>
      </c>
      <c r="D1546" t="s">
        <v>65</v>
      </c>
      <c r="E1546" t="s">
        <v>27</v>
      </c>
      <c r="F1546">
        <v>379.68</v>
      </c>
      <c r="G1546">
        <v>38.700000000000003</v>
      </c>
      <c r="H1546">
        <v>96.96</v>
      </c>
      <c r="I1546">
        <v>96.21</v>
      </c>
      <c r="J1546">
        <v>77.790000000000006</v>
      </c>
      <c r="K1546" t="s">
        <v>28</v>
      </c>
      <c r="L1546">
        <v>7.6</v>
      </c>
      <c r="M1546">
        <v>1.6</v>
      </c>
      <c r="N1546" t="s">
        <v>29</v>
      </c>
      <c r="O1546">
        <v>15</v>
      </c>
      <c r="P1546" t="s">
        <v>30</v>
      </c>
      <c r="Q1546">
        <v>60.9</v>
      </c>
    </row>
    <row r="1547" spans="1:17" x14ac:dyDescent="0.35">
      <c r="A1547" s="1">
        <v>45825</v>
      </c>
      <c r="B1547" t="s">
        <v>48</v>
      </c>
      <c r="C1547" t="s">
        <v>49</v>
      </c>
      <c r="D1547" t="s">
        <v>50</v>
      </c>
      <c r="E1547" t="s">
        <v>27</v>
      </c>
      <c r="F1547">
        <v>256.82</v>
      </c>
      <c r="G1547">
        <v>26.8</v>
      </c>
      <c r="H1547">
        <v>97.1</v>
      </c>
      <c r="I1547">
        <v>94.58</v>
      </c>
      <c r="J1547">
        <v>76.63</v>
      </c>
      <c r="K1547" t="s">
        <v>34</v>
      </c>
      <c r="L1547">
        <v>7.2</v>
      </c>
      <c r="M1547">
        <v>4.3</v>
      </c>
      <c r="N1547" t="s">
        <v>29</v>
      </c>
      <c r="O1547">
        <v>11</v>
      </c>
      <c r="P1547" t="s">
        <v>43</v>
      </c>
      <c r="Q1547">
        <v>57.7</v>
      </c>
    </row>
    <row r="1548" spans="1:17" x14ac:dyDescent="0.35">
      <c r="A1548" s="1">
        <v>45825</v>
      </c>
      <c r="B1548" t="s">
        <v>53</v>
      </c>
      <c r="C1548" t="s">
        <v>41</v>
      </c>
      <c r="D1548" t="s">
        <v>54</v>
      </c>
      <c r="E1548" t="s">
        <v>27</v>
      </c>
      <c r="F1548">
        <v>582.1</v>
      </c>
      <c r="G1548">
        <v>56.4</v>
      </c>
      <c r="H1548">
        <v>94.12</v>
      </c>
      <c r="I1548">
        <v>98.09</v>
      </c>
      <c r="J1548">
        <v>77.42</v>
      </c>
      <c r="K1548" t="s">
        <v>28</v>
      </c>
      <c r="L1548">
        <v>9.1</v>
      </c>
      <c r="M1548">
        <v>2.2000000000000002</v>
      </c>
      <c r="N1548" t="s">
        <v>29</v>
      </c>
      <c r="O1548">
        <v>15</v>
      </c>
      <c r="P1548" t="s">
        <v>43</v>
      </c>
      <c r="Q1548">
        <v>63.1</v>
      </c>
    </row>
    <row r="1549" spans="1:17" x14ac:dyDescent="0.35">
      <c r="A1549" s="1">
        <v>45825</v>
      </c>
      <c r="B1549" t="s">
        <v>76</v>
      </c>
      <c r="C1549" t="s">
        <v>45</v>
      </c>
      <c r="D1549" t="s">
        <v>77</v>
      </c>
      <c r="E1549" t="s">
        <v>27</v>
      </c>
      <c r="F1549">
        <v>411.81</v>
      </c>
      <c r="G1549">
        <v>393.5</v>
      </c>
      <c r="H1549">
        <v>95.98</v>
      </c>
      <c r="I1549">
        <v>99.42</v>
      </c>
      <c r="J1549">
        <v>76.2</v>
      </c>
      <c r="K1549" t="s">
        <v>47</v>
      </c>
      <c r="L1549">
        <v>8.9</v>
      </c>
      <c r="M1549">
        <v>2.2999999999999998</v>
      </c>
      <c r="N1549" t="s">
        <v>39</v>
      </c>
      <c r="O1549">
        <v>9</v>
      </c>
      <c r="P1549" t="s">
        <v>23</v>
      </c>
      <c r="Q1549">
        <v>65.2</v>
      </c>
    </row>
    <row r="1550" spans="1:17" x14ac:dyDescent="0.35">
      <c r="A1550" s="1">
        <v>45825</v>
      </c>
      <c r="B1550" t="s">
        <v>82</v>
      </c>
      <c r="C1550" t="s">
        <v>72</v>
      </c>
      <c r="D1550" t="s">
        <v>83</v>
      </c>
      <c r="E1550" t="s">
        <v>20</v>
      </c>
      <c r="F1550">
        <v>73.72</v>
      </c>
      <c r="G1550">
        <v>189.9</v>
      </c>
      <c r="H1550">
        <v>88.6</v>
      </c>
      <c r="I1550">
        <v>94.98</v>
      </c>
      <c r="J1550">
        <v>72.03</v>
      </c>
      <c r="K1550" t="s">
        <v>58</v>
      </c>
      <c r="L1550">
        <v>7.6</v>
      </c>
      <c r="N1550" t="s">
        <v>35</v>
      </c>
      <c r="O1550">
        <v>10</v>
      </c>
      <c r="P1550" t="s">
        <v>23</v>
      </c>
      <c r="Q1550">
        <v>70.3</v>
      </c>
    </row>
    <row r="1551" spans="1:17" x14ac:dyDescent="0.35">
      <c r="A1551" s="1">
        <v>45825</v>
      </c>
      <c r="B1551" t="s">
        <v>69</v>
      </c>
      <c r="C1551" t="s">
        <v>18</v>
      </c>
      <c r="D1551" t="s">
        <v>70</v>
      </c>
      <c r="E1551" t="s">
        <v>20</v>
      </c>
      <c r="F1551">
        <v>126.02</v>
      </c>
      <c r="G1551">
        <v>122.4</v>
      </c>
      <c r="H1551">
        <v>93.83</v>
      </c>
      <c r="I1551">
        <v>96.83</v>
      </c>
      <c r="J1551">
        <v>76.02</v>
      </c>
      <c r="K1551" t="s">
        <v>58</v>
      </c>
      <c r="L1551">
        <v>7.2</v>
      </c>
      <c r="N1551" t="s">
        <v>35</v>
      </c>
      <c r="O1551">
        <v>10</v>
      </c>
      <c r="P1551" t="s">
        <v>23</v>
      </c>
      <c r="Q1551">
        <v>70.7</v>
      </c>
    </row>
    <row r="1552" spans="1:17" x14ac:dyDescent="0.35">
      <c r="A1552" s="1">
        <v>45825</v>
      </c>
      <c r="B1552" t="s">
        <v>24</v>
      </c>
      <c r="C1552" t="s">
        <v>25</v>
      </c>
      <c r="D1552" t="s">
        <v>26</v>
      </c>
      <c r="E1552" t="s">
        <v>27</v>
      </c>
      <c r="F1552">
        <v>569.54</v>
      </c>
      <c r="G1552">
        <v>38.200000000000003</v>
      </c>
      <c r="H1552">
        <v>96.29</v>
      </c>
      <c r="I1552">
        <v>97.15</v>
      </c>
      <c r="J1552">
        <v>75.55</v>
      </c>
      <c r="K1552" t="s">
        <v>47</v>
      </c>
      <c r="L1552">
        <v>8.5</v>
      </c>
      <c r="M1552">
        <v>2.6</v>
      </c>
      <c r="N1552" t="s">
        <v>29</v>
      </c>
      <c r="O1552">
        <v>8</v>
      </c>
      <c r="P1552" t="s">
        <v>30</v>
      </c>
      <c r="Q1552">
        <v>61.4</v>
      </c>
    </row>
    <row r="1553" spans="1:17" x14ac:dyDescent="0.35">
      <c r="A1553" s="1">
        <v>45825</v>
      </c>
      <c r="B1553" t="s">
        <v>95</v>
      </c>
      <c r="C1553" t="s">
        <v>49</v>
      </c>
      <c r="D1553" t="s">
        <v>96</v>
      </c>
      <c r="E1553" t="s">
        <v>33</v>
      </c>
      <c r="F1553">
        <v>358.59</v>
      </c>
      <c r="G1553">
        <v>180.7</v>
      </c>
      <c r="H1553">
        <v>94.44</v>
      </c>
      <c r="I1553">
        <v>95.27</v>
      </c>
      <c r="J1553">
        <v>75.23</v>
      </c>
      <c r="K1553" t="s">
        <v>47</v>
      </c>
      <c r="L1553">
        <v>7.1</v>
      </c>
      <c r="M1553">
        <v>3</v>
      </c>
      <c r="N1553" t="s">
        <v>22</v>
      </c>
      <c r="O1553">
        <v>6</v>
      </c>
      <c r="P1553" t="s">
        <v>43</v>
      </c>
      <c r="Q1553">
        <v>60.7</v>
      </c>
    </row>
    <row r="1554" spans="1:17" x14ac:dyDescent="0.35">
      <c r="A1554" s="1">
        <v>45825</v>
      </c>
      <c r="B1554" t="s">
        <v>55</v>
      </c>
      <c r="C1554" t="s">
        <v>56</v>
      </c>
      <c r="D1554">
        <v>4</v>
      </c>
      <c r="E1554" t="s">
        <v>57</v>
      </c>
      <c r="F1554">
        <v>30</v>
      </c>
      <c r="G1554">
        <v>136.69999999999999</v>
      </c>
      <c r="H1554">
        <v>89.64</v>
      </c>
      <c r="I1554">
        <v>94.61</v>
      </c>
      <c r="J1554">
        <v>73.66</v>
      </c>
      <c r="K1554" t="s">
        <v>21</v>
      </c>
      <c r="L1554">
        <v>6.6</v>
      </c>
      <c r="N1554" t="s">
        <v>35</v>
      </c>
      <c r="O1554">
        <v>3</v>
      </c>
      <c r="P1554" t="s">
        <v>43</v>
      </c>
      <c r="Q1554">
        <v>68</v>
      </c>
    </row>
    <row r="1555" spans="1:17" x14ac:dyDescent="0.35">
      <c r="A1555" s="1">
        <v>45825</v>
      </c>
      <c r="B1555" t="s">
        <v>17</v>
      </c>
      <c r="C1555" t="s">
        <v>18</v>
      </c>
      <c r="D1555" t="s">
        <v>19</v>
      </c>
      <c r="E1555" t="s">
        <v>20</v>
      </c>
      <c r="F1555">
        <v>161.65</v>
      </c>
      <c r="G1555">
        <v>72.5</v>
      </c>
      <c r="H1555">
        <v>92.7</v>
      </c>
      <c r="I1555">
        <v>96.63</v>
      </c>
      <c r="J1555">
        <v>78.349999999999994</v>
      </c>
      <c r="K1555" t="s">
        <v>21</v>
      </c>
      <c r="L1555">
        <v>7</v>
      </c>
      <c r="N1555" t="s">
        <v>22</v>
      </c>
      <c r="O1555">
        <v>9</v>
      </c>
      <c r="P1555" t="s">
        <v>23</v>
      </c>
      <c r="Q1555">
        <v>69.3</v>
      </c>
    </row>
    <row r="1556" spans="1:17" x14ac:dyDescent="0.35">
      <c r="A1556" s="1">
        <v>45825</v>
      </c>
      <c r="B1556" t="s">
        <v>97</v>
      </c>
      <c r="C1556" t="s">
        <v>72</v>
      </c>
      <c r="D1556" t="s">
        <v>98</v>
      </c>
      <c r="E1556" t="s">
        <v>27</v>
      </c>
      <c r="F1556">
        <v>111.54</v>
      </c>
      <c r="G1556">
        <v>41.4</v>
      </c>
      <c r="H1556">
        <v>95.21</v>
      </c>
      <c r="I1556">
        <v>93.68</v>
      </c>
      <c r="J1556">
        <v>76.040000000000006</v>
      </c>
      <c r="K1556" t="s">
        <v>47</v>
      </c>
      <c r="L1556">
        <v>7</v>
      </c>
      <c r="M1556">
        <v>3.4</v>
      </c>
      <c r="N1556" t="s">
        <v>39</v>
      </c>
      <c r="O1556">
        <v>9</v>
      </c>
      <c r="P1556" t="s">
        <v>43</v>
      </c>
      <c r="Q1556">
        <v>57.7</v>
      </c>
    </row>
    <row r="1557" spans="1:17" x14ac:dyDescent="0.35">
      <c r="A1557" s="1">
        <v>45825</v>
      </c>
      <c r="B1557" t="s">
        <v>51</v>
      </c>
      <c r="C1557" t="s">
        <v>45</v>
      </c>
      <c r="D1557" t="s">
        <v>52</v>
      </c>
      <c r="E1557" t="s">
        <v>33</v>
      </c>
      <c r="F1557">
        <v>312.22000000000003</v>
      </c>
      <c r="G1557">
        <v>374.5</v>
      </c>
      <c r="H1557">
        <v>95.12</v>
      </c>
      <c r="I1557">
        <v>99.37</v>
      </c>
      <c r="J1557">
        <v>74.900000000000006</v>
      </c>
      <c r="K1557" t="s">
        <v>88</v>
      </c>
      <c r="L1557">
        <v>7.1</v>
      </c>
      <c r="M1557">
        <v>2.2999999999999998</v>
      </c>
      <c r="N1557" t="s">
        <v>35</v>
      </c>
      <c r="O1557">
        <v>8</v>
      </c>
      <c r="P1557" t="s">
        <v>23</v>
      </c>
      <c r="Q1557">
        <v>61.9</v>
      </c>
    </row>
    <row r="1558" spans="1:17" x14ac:dyDescent="0.35">
      <c r="A1558" s="1">
        <v>45825</v>
      </c>
      <c r="B1558" t="s">
        <v>59</v>
      </c>
      <c r="C1558" t="s">
        <v>60</v>
      </c>
      <c r="D1558" t="s">
        <v>61</v>
      </c>
      <c r="E1558" t="s">
        <v>62</v>
      </c>
      <c r="F1558">
        <v>400.2</v>
      </c>
      <c r="G1558">
        <v>182.6</v>
      </c>
      <c r="H1558">
        <v>89.86</v>
      </c>
      <c r="I1558">
        <v>95.58</v>
      </c>
      <c r="J1558">
        <v>86.43</v>
      </c>
      <c r="K1558" t="s">
        <v>63</v>
      </c>
      <c r="L1558">
        <v>8.6999999999999993</v>
      </c>
      <c r="N1558" t="s">
        <v>35</v>
      </c>
      <c r="O1558">
        <v>3</v>
      </c>
      <c r="P1558" t="s">
        <v>23</v>
      </c>
      <c r="Q1558">
        <v>75.8</v>
      </c>
    </row>
    <row r="1559" spans="1:17" x14ac:dyDescent="0.35">
      <c r="A1559" s="1">
        <v>45825</v>
      </c>
      <c r="B1559" t="s">
        <v>55</v>
      </c>
      <c r="C1559" t="s">
        <v>56</v>
      </c>
      <c r="D1559">
        <v>4</v>
      </c>
      <c r="E1559" t="s">
        <v>57</v>
      </c>
      <c r="F1559">
        <v>30</v>
      </c>
      <c r="G1559">
        <v>140.9</v>
      </c>
      <c r="H1559">
        <v>85.1</v>
      </c>
      <c r="I1559">
        <v>93.98</v>
      </c>
      <c r="J1559">
        <v>72.25</v>
      </c>
      <c r="K1559" t="s">
        <v>21</v>
      </c>
      <c r="L1559">
        <v>7.3</v>
      </c>
      <c r="N1559" t="s">
        <v>35</v>
      </c>
      <c r="O1559">
        <v>3</v>
      </c>
      <c r="P1559" t="s">
        <v>43</v>
      </c>
      <c r="Q1559">
        <v>68.2</v>
      </c>
    </row>
    <row r="1560" spans="1:17" x14ac:dyDescent="0.35">
      <c r="A1560" s="1">
        <v>45825</v>
      </c>
      <c r="B1560" t="s">
        <v>59</v>
      </c>
      <c r="C1560" t="s">
        <v>60</v>
      </c>
      <c r="D1560" t="s">
        <v>61</v>
      </c>
      <c r="E1560" t="s">
        <v>62</v>
      </c>
      <c r="F1560">
        <v>378.74</v>
      </c>
      <c r="G1560">
        <v>186.7</v>
      </c>
      <c r="H1560">
        <v>85.88</v>
      </c>
      <c r="I1560">
        <v>96.38</v>
      </c>
      <c r="J1560">
        <v>85.99</v>
      </c>
      <c r="K1560" t="s">
        <v>34</v>
      </c>
      <c r="L1560">
        <v>7.7</v>
      </c>
      <c r="N1560" t="s">
        <v>35</v>
      </c>
      <c r="O1560">
        <v>3</v>
      </c>
      <c r="P1560" t="s">
        <v>43</v>
      </c>
      <c r="Q1560">
        <v>73</v>
      </c>
    </row>
    <row r="1561" spans="1:17" x14ac:dyDescent="0.35">
      <c r="A1561" s="1">
        <v>45825</v>
      </c>
      <c r="B1561" t="s">
        <v>97</v>
      </c>
      <c r="C1561" t="s">
        <v>72</v>
      </c>
      <c r="D1561" t="s">
        <v>98</v>
      </c>
      <c r="E1561" t="s">
        <v>27</v>
      </c>
      <c r="F1561">
        <v>143.13999999999999</v>
      </c>
      <c r="G1561">
        <v>71.099999999999994</v>
      </c>
      <c r="H1561">
        <v>96.08</v>
      </c>
      <c r="I1561">
        <v>93.67</v>
      </c>
      <c r="J1561">
        <v>75.56</v>
      </c>
      <c r="K1561" t="s">
        <v>34</v>
      </c>
      <c r="L1561">
        <v>7.9</v>
      </c>
      <c r="M1561">
        <v>2.1</v>
      </c>
      <c r="N1561" t="s">
        <v>29</v>
      </c>
      <c r="O1561">
        <v>13</v>
      </c>
      <c r="P1561" t="s">
        <v>23</v>
      </c>
      <c r="Q1561">
        <v>60.7</v>
      </c>
    </row>
    <row r="1562" spans="1:17" x14ac:dyDescent="0.35">
      <c r="A1562" s="1">
        <v>45825</v>
      </c>
      <c r="B1562" t="s">
        <v>74</v>
      </c>
      <c r="C1562" t="s">
        <v>67</v>
      </c>
      <c r="D1562" t="s">
        <v>75</v>
      </c>
      <c r="E1562" t="s">
        <v>27</v>
      </c>
      <c r="F1562">
        <v>119.17</v>
      </c>
      <c r="G1562">
        <v>52.8</v>
      </c>
      <c r="H1562">
        <v>94.53</v>
      </c>
      <c r="I1562">
        <v>94.47</v>
      </c>
      <c r="J1562">
        <v>82.76</v>
      </c>
      <c r="K1562" t="s">
        <v>47</v>
      </c>
      <c r="L1562">
        <v>6.9</v>
      </c>
      <c r="M1562">
        <v>2.8</v>
      </c>
      <c r="N1562" t="s">
        <v>29</v>
      </c>
      <c r="O1562">
        <v>15</v>
      </c>
      <c r="P1562" t="s">
        <v>23</v>
      </c>
      <c r="Q1562">
        <v>59.3</v>
      </c>
    </row>
    <row r="1563" spans="1:17" x14ac:dyDescent="0.35">
      <c r="A1563" s="1">
        <v>45825</v>
      </c>
      <c r="B1563" t="s">
        <v>64</v>
      </c>
      <c r="C1563" t="s">
        <v>25</v>
      </c>
      <c r="D1563" t="s">
        <v>65</v>
      </c>
      <c r="E1563" t="s">
        <v>27</v>
      </c>
      <c r="F1563">
        <v>387.02</v>
      </c>
      <c r="G1563">
        <v>52.5</v>
      </c>
      <c r="H1563">
        <v>97.62</v>
      </c>
      <c r="I1563">
        <v>96.9</v>
      </c>
      <c r="J1563">
        <v>79.89</v>
      </c>
      <c r="K1563" t="s">
        <v>47</v>
      </c>
      <c r="L1563">
        <v>7.9</v>
      </c>
      <c r="M1563">
        <v>3.1</v>
      </c>
      <c r="N1563" t="s">
        <v>29</v>
      </c>
      <c r="O1563">
        <v>10</v>
      </c>
      <c r="P1563" t="s">
        <v>30</v>
      </c>
      <c r="Q1563">
        <v>61.2</v>
      </c>
    </row>
    <row r="1564" spans="1:17" x14ac:dyDescent="0.35">
      <c r="A1564" s="1">
        <v>45825</v>
      </c>
      <c r="B1564" t="s">
        <v>80</v>
      </c>
      <c r="C1564" t="s">
        <v>45</v>
      </c>
      <c r="D1564" t="s">
        <v>81</v>
      </c>
      <c r="E1564" t="s">
        <v>27</v>
      </c>
      <c r="F1564">
        <v>405.15</v>
      </c>
      <c r="G1564">
        <v>563.1</v>
      </c>
      <c r="H1564">
        <v>95.29</v>
      </c>
      <c r="I1564">
        <v>99.31</v>
      </c>
      <c r="J1564">
        <v>76.680000000000007</v>
      </c>
      <c r="K1564" t="s">
        <v>34</v>
      </c>
      <c r="L1564">
        <v>9.4</v>
      </c>
      <c r="M1564">
        <v>3.2</v>
      </c>
      <c r="N1564" t="s">
        <v>39</v>
      </c>
      <c r="O1564">
        <v>11</v>
      </c>
      <c r="P1564" t="s">
        <v>23</v>
      </c>
      <c r="Q1564">
        <v>65.400000000000006</v>
      </c>
    </row>
    <row r="1565" spans="1:17" x14ac:dyDescent="0.35">
      <c r="A1565" s="1">
        <v>45825</v>
      </c>
      <c r="B1565" t="s">
        <v>40</v>
      </c>
      <c r="C1565" t="s">
        <v>41</v>
      </c>
      <c r="D1565" t="s">
        <v>42</v>
      </c>
      <c r="E1565" t="s">
        <v>27</v>
      </c>
      <c r="F1565">
        <v>688.54</v>
      </c>
      <c r="G1565">
        <v>50.9</v>
      </c>
      <c r="H1565">
        <v>92.93</v>
      </c>
      <c r="I1565">
        <v>98.27</v>
      </c>
      <c r="J1565">
        <v>79.8</v>
      </c>
      <c r="K1565" t="s">
        <v>47</v>
      </c>
      <c r="L1565">
        <v>9.1999999999999993</v>
      </c>
      <c r="M1565">
        <v>2.5</v>
      </c>
      <c r="N1565" t="s">
        <v>39</v>
      </c>
      <c r="O1565">
        <v>12</v>
      </c>
      <c r="P1565" t="s">
        <v>43</v>
      </c>
      <c r="Q1565">
        <v>63.2</v>
      </c>
    </row>
    <row r="1566" spans="1:17" x14ac:dyDescent="0.35">
      <c r="A1566" s="1">
        <v>45825</v>
      </c>
      <c r="B1566" t="s">
        <v>59</v>
      </c>
      <c r="C1566" t="s">
        <v>60</v>
      </c>
      <c r="D1566" t="s">
        <v>61</v>
      </c>
      <c r="E1566" t="s">
        <v>62</v>
      </c>
      <c r="F1566">
        <v>408.61</v>
      </c>
      <c r="G1566">
        <v>175</v>
      </c>
      <c r="H1566">
        <v>89.85</v>
      </c>
      <c r="I1566">
        <v>96.28</v>
      </c>
      <c r="J1566">
        <v>90.57</v>
      </c>
      <c r="K1566" t="s">
        <v>34</v>
      </c>
      <c r="L1566">
        <v>9</v>
      </c>
      <c r="N1566" t="s">
        <v>35</v>
      </c>
      <c r="O1566">
        <v>4</v>
      </c>
      <c r="P1566" t="s">
        <v>23</v>
      </c>
      <c r="Q1566">
        <v>77.3</v>
      </c>
    </row>
    <row r="1567" spans="1:17" x14ac:dyDescent="0.35">
      <c r="A1567" s="1">
        <v>45825</v>
      </c>
      <c r="B1567" t="s">
        <v>69</v>
      </c>
      <c r="C1567" t="s">
        <v>18</v>
      </c>
      <c r="D1567" t="s">
        <v>70</v>
      </c>
      <c r="E1567" t="s">
        <v>20</v>
      </c>
      <c r="F1567">
        <v>133.86000000000001</v>
      </c>
      <c r="G1567">
        <v>114.6</v>
      </c>
      <c r="H1567">
        <v>91.28</v>
      </c>
      <c r="I1567">
        <v>93.27</v>
      </c>
      <c r="J1567">
        <v>76.92</v>
      </c>
      <c r="K1567" t="s">
        <v>21</v>
      </c>
      <c r="L1567">
        <v>7.8</v>
      </c>
      <c r="N1567" t="s">
        <v>22</v>
      </c>
      <c r="O1567">
        <v>7</v>
      </c>
      <c r="P1567" t="s">
        <v>23</v>
      </c>
      <c r="Q1567">
        <v>70.599999999999994</v>
      </c>
    </row>
    <row r="1568" spans="1:17" x14ac:dyDescent="0.35">
      <c r="A1568" s="1">
        <v>45825</v>
      </c>
      <c r="B1568" t="s">
        <v>91</v>
      </c>
      <c r="C1568" t="s">
        <v>67</v>
      </c>
      <c r="D1568" t="s">
        <v>92</v>
      </c>
      <c r="E1568" t="s">
        <v>27</v>
      </c>
      <c r="F1568">
        <v>492.5</v>
      </c>
      <c r="G1568">
        <v>44</v>
      </c>
      <c r="H1568">
        <v>94</v>
      </c>
      <c r="I1568">
        <v>95.86</v>
      </c>
      <c r="J1568">
        <v>76.959999999999994</v>
      </c>
      <c r="K1568" t="s">
        <v>47</v>
      </c>
      <c r="L1568">
        <v>8</v>
      </c>
      <c r="M1568">
        <v>4.5</v>
      </c>
      <c r="N1568" t="s">
        <v>39</v>
      </c>
      <c r="O1568">
        <v>13</v>
      </c>
      <c r="P1568" t="s">
        <v>23</v>
      </c>
      <c r="Q1568">
        <v>59</v>
      </c>
    </row>
    <row r="1569" spans="1:17" x14ac:dyDescent="0.35">
      <c r="A1569" s="1">
        <v>45825</v>
      </c>
      <c r="B1569" t="s">
        <v>66</v>
      </c>
      <c r="C1569" t="s">
        <v>67</v>
      </c>
      <c r="D1569" t="s">
        <v>68</v>
      </c>
      <c r="E1569" t="s">
        <v>27</v>
      </c>
      <c r="F1569">
        <v>414.31</v>
      </c>
      <c r="G1569">
        <v>45.1</v>
      </c>
      <c r="H1569">
        <v>94.48</v>
      </c>
      <c r="I1569">
        <v>95.29</v>
      </c>
      <c r="J1569">
        <v>77.75</v>
      </c>
      <c r="K1569" t="s">
        <v>47</v>
      </c>
      <c r="L1569">
        <v>9.1999999999999993</v>
      </c>
      <c r="M1569">
        <v>4.7</v>
      </c>
      <c r="N1569" t="s">
        <v>29</v>
      </c>
      <c r="O1569">
        <v>12</v>
      </c>
      <c r="P1569" t="s">
        <v>23</v>
      </c>
      <c r="Q1569">
        <v>61</v>
      </c>
    </row>
    <row r="1570" spans="1:17" x14ac:dyDescent="0.35">
      <c r="A1570" s="1">
        <v>45825</v>
      </c>
      <c r="B1570" t="s">
        <v>99</v>
      </c>
      <c r="C1570" t="s">
        <v>72</v>
      </c>
      <c r="D1570" t="s">
        <v>100</v>
      </c>
      <c r="E1570" t="s">
        <v>27</v>
      </c>
      <c r="F1570">
        <v>124.49</v>
      </c>
      <c r="G1570">
        <v>34.6</v>
      </c>
      <c r="H1570">
        <v>96.91</v>
      </c>
      <c r="I1570">
        <v>93.5</v>
      </c>
      <c r="J1570">
        <v>79.989999999999995</v>
      </c>
      <c r="K1570" t="s">
        <v>34</v>
      </c>
      <c r="L1570">
        <v>6.8</v>
      </c>
      <c r="M1570">
        <v>2.7</v>
      </c>
      <c r="N1570" t="s">
        <v>39</v>
      </c>
      <c r="O1570">
        <v>14</v>
      </c>
      <c r="P1570" t="s">
        <v>23</v>
      </c>
      <c r="Q1570">
        <v>58.6</v>
      </c>
    </row>
    <row r="1571" spans="1:17" x14ac:dyDescent="0.35">
      <c r="A1571" s="1">
        <v>45825</v>
      </c>
      <c r="B1571" t="s">
        <v>99</v>
      </c>
      <c r="C1571" t="s">
        <v>72</v>
      </c>
      <c r="D1571" t="s">
        <v>100</v>
      </c>
      <c r="E1571" t="s">
        <v>27</v>
      </c>
      <c r="F1571">
        <v>73.22</v>
      </c>
      <c r="G1571">
        <v>18.7</v>
      </c>
      <c r="H1571">
        <v>95.31</v>
      </c>
      <c r="I1571">
        <v>96.45</v>
      </c>
      <c r="J1571">
        <v>78.31</v>
      </c>
      <c r="K1571" t="s">
        <v>28</v>
      </c>
      <c r="L1571">
        <v>7.6</v>
      </c>
      <c r="M1571">
        <v>4.0999999999999996</v>
      </c>
      <c r="N1571" t="s">
        <v>39</v>
      </c>
      <c r="O1571">
        <v>13</v>
      </c>
      <c r="P1571" t="s">
        <v>43</v>
      </c>
      <c r="Q1571">
        <v>58.6</v>
      </c>
    </row>
    <row r="1572" spans="1:17" x14ac:dyDescent="0.35">
      <c r="A1572" s="1">
        <v>45825</v>
      </c>
      <c r="B1572" t="s">
        <v>95</v>
      </c>
      <c r="C1572" t="s">
        <v>49</v>
      </c>
      <c r="D1572" t="s">
        <v>96</v>
      </c>
      <c r="E1572" t="s">
        <v>27</v>
      </c>
      <c r="F1572">
        <v>489.05</v>
      </c>
      <c r="G1572">
        <v>51</v>
      </c>
      <c r="H1572">
        <v>93.25</v>
      </c>
      <c r="I1572">
        <v>96.04</v>
      </c>
      <c r="J1572">
        <v>81.430000000000007</v>
      </c>
      <c r="K1572" t="s">
        <v>28</v>
      </c>
      <c r="L1572">
        <v>9.3000000000000007</v>
      </c>
      <c r="M1572">
        <v>2</v>
      </c>
      <c r="N1572" t="s">
        <v>39</v>
      </c>
      <c r="O1572">
        <v>15</v>
      </c>
      <c r="P1572" t="s">
        <v>23</v>
      </c>
      <c r="Q1572">
        <v>63.6</v>
      </c>
    </row>
    <row r="1573" spans="1:17" x14ac:dyDescent="0.35">
      <c r="A1573" s="1">
        <v>45825</v>
      </c>
      <c r="B1573" t="s">
        <v>36</v>
      </c>
      <c r="C1573" t="s">
        <v>37</v>
      </c>
      <c r="D1573" t="s">
        <v>38</v>
      </c>
      <c r="E1573" t="s">
        <v>33</v>
      </c>
      <c r="F1573">
        <v>335.41</v>
      </c>
      <c r="G1573">
        <v>154</v>
      </c>
      <c r="H1573">
        <v>95.49</v>
      </c>
      <c r="I1573">
        <v>96.48</v>
      </c>
      <c r="J1573">
        <v>78.47</v>
      </c>
      <c r="K1573" t="s">
        <v>47</v>
      </c>
      <c r="L1573">
        <v>8.1</v>
      </c>
      <c r="M1573">
        <v>3.1</v>
      </c>
      <c r="N1573" t="s">
        <v>35</v>
      </c>
      <c r="O1573">
        <v>7</v>
      </c>
      <c r="P1573" t="s">
        <v>23</v>
      </c>
      <c r="Q1573">
        <v>62.9</v>
      </c>
    </row>
    <row r="1574" spans="1:17" x14ac:dyDescent="0.35">
      <c r="A1574" s="1">
        <v>45825</v>
      </c>
      <c r="B1574" t="s">
        <v>59</v>
      </c>
      <c r="C1574" t="s">
        <v>60</v>
      </c>
      <c r="D1574" t="s">
        <v>61</v>
      </c>
      <c r="E1574" t="s">
        <v>62</v>
      </c>
      <c r="F1574">
        <v>467.16</v>
      </c>
      <c r="G1574">
        <v>175.5</v>
      </c>
      <c r="H1574">
        <v>90.26</v>
      </c>
      <c r="I1574">
        <v>95.45</v>
      </c>
      <c r="J1574">
        <v>91.84</v>
      </c>
      <c r="K1574" t="s">
        <v>34</v>
      </c>
      <c r="L1574">
        <v>8.8000000000000007</v>
      </c>
      <c r="N1574" t="s">
        <v>35</v>
      </c>
      <c r="O1574">
        <v>5</v>
      </c>
      <c r="P1574" t="s">
        <v>23</v>
      </c>
      <c r="Q1574">
        <v>77.099999999999994</v>
      </c>
    </row>
    <row r="1575" spans="1:17" x14ac:dyDescent="0.35">
      <c r="A1575" s="1">
        <v>45825</v>
      </c>
      <c r="B1575" t="s">
        <v>59</v>
      </c>
      <c r="C1575" t="s">
        <v>60</v>
      </c>
      <c r="D1575" t="s">
        <v>61</v>
      </c>
      <c r="E1575" t="s">
        <v>62</v>
      </c>
      <c r="F1575">
        <v>516.4</v>
      </c>
      <c r="G1575">
        <v>191.5</v>
      </c>
      <c r="H1575">
        <v>86.67</v>
      </c>
      <c r="I1575">
        <v>94.53</v>
      </c>
      <c r="J1575">
        <v>90.99</v>
      </c>
      <c r="K1575" t="s">
        <v>34</v>
      </c>
      <c r="L1575">
        <v>8.1</v>
      </c>
      <c r="N1575" t="s">
        <v>35</v>
      </c>
      <c r="O1575">
        <v>6</v>
      </c>
      <c r="P1575" t="s">
        <v>23</v>
      </c>
      <c r="Q1575">
        <v>74.599999999999994</v>
      </c>
    </row>
    <row r="1576" spans="1:17" x14ac:dyDescent="0.35">
      <c r="A1576" s="1">
        <v>45825</v>
      </c>
      <c r="B1576" t="s">
        <v>59</v>
      </c>
      <c r="C1576" t="s">
        <v>60</v>
      </c>
      <c r="D1576" t="s">
        <v>61</v>
      </c>
      <c r="E1576" t="s">
        <v>62</v>
      </c>
      <c r="F1576">
        <v>341.06</v>
      </c>
      <c r="G1576">
        <v>187.1</v>
      </c>
      <c r="H1576">
        <v>86.18</v>
      </c>
      <c r="I1576">
        <v>95.88</v>
      </c>
      <c r="J1576">
        <v>88.42</v>
      </c>
      <c r="K1576" t="s">
        <v>63</v>
      </c>
      <c r="L1576">
        <v>7.8</v>
      </c>
      <c r="N1576" t="s">
        <v>35</v>
      </c>
      <c r="O1576">
        <v>3</v>
      </c>
      <c r="P1576" t="s">
        <v>43</v>
      </c>
      <c r="Q1576">
        <v>73.7</v>
      </c>
    </row>
    <row r="1577" spans="1:17" x14ac:dyDescent="0.35">
      <c r="A1577" s="1">
        <v>45825</v>
      </c>
      <c r="B1577" t="s">
        <v>78</v>
      </c>
      <c r="C1577" t="s">
        <v>41</v>
      </c>
      <c r="D1577" t="s">
        <v>79</v>
      </c>
      <c r="E1577" t="s">
        <v>27</v>
      </c>
      <c r="F1577">
        <v>673.87</v>
      </c>
      <c r="G1577">
        <v>52.7</v>
      </c>
      <c r="H1577">
        <v>94.77</v>
      </c>
      <c r="I1577">
        <v>98.15</v>
      </c>
      <c r="J1577">
        <v>82.66</v>
      </c>
      <c r="K1577" t="s">
        <v>28</v>
      </c>
      <c r="L1577">
        <v>9.4</v>
      </c>
      <c r="M1577">
        <v>2.2999999999999998</v>
      </c>
      <c r="N1577" t="s">
        <v>29</v>
      </c>
      <c r="O1577">
        <v>12</v>
      </c>
      <c r="P1577" t="s">
        <v>43</v>
      </c>
      <c r="Q1577">
        <v>64.400000000000006</v>
      </c>
    </row>
    <row r="1578" spans="1:17" x14ac:dyDescent="0.35">
      <c r="A1578" s="1">
        <v>45825</v>
      </c>
      <c r="B1578" t="s">
        <v>55</v>
      </c>
      <c r="C1578" t="s">
        <v>56</v>
      </c>
      <c r="D1578">
        <v>4</v>
      </c>
      <c r="E1578" t="s">
        <v>57</v>
      </c>
      <c r="F1578">
        <v>30</v>
      </c>
      <c r="G1578">
        <v>167.5</v>
      </c>
      <c r="H1578">
        <v>86.47</v>
      </c>
      <c r="I1578">
        <v>96.96</v>
      </c>
      <c r="J1578">
        <v>71.63</v>
      </c>
      <c r="K1578" t="s">
        <v>58</v>
      </c>
      <c r="L1578">
        <v>6.5</v>
      </c>
      <c r="N1578" t="s">
        <v>35</v>
      </c>
      <c r="O1578">
        <v>5</v>
      </c>
      <c r="P1578" t="s">
        <v>43</v>
      </c>
      <c r="Q1578">
        <v>68</v>
      </c>
    </row>
    <row r="1579" spans="1:17" x14ac:dyDescent="0.35">
      <c r="A1579" s="1">
        <v>45826</v>
      </c>
      <c r="B1579" t="s">
        <v>24</v>
      </c>
      <c r="C1579" t="s">
        <v>25</v>
      </c>
      <c r="D1579" t="s">
        <v>26</v>
      </c>
      <c r="E1579" t="s">
        <v>27</v>
      </c>
      <c r="F1579">
        <v>536.35</v>
      </c>
      <c r="G1579">
        <v>31.4</v>
      </c>
      <c r="H1579">
        <v>93.75</v>
      </c>
      <c r="I1579">
        <v>97.79</v>
      </c>
      <c r="J1579">
        <v>79.03</v>
      </c>
      <c r="K1579" t="s">
        <v>47</v>
      </c>
      <c r="L1579">
        <v>8.9</v>
      </c>
      <c r="M1579">
        <v>3.6</v>
      </c>
      <c r="N1579" t="s">
        <v>29</v>
      </c>
      <c r="O1579">
        <v>9</v>
      </c>
      <c r="P1579" t="s">
        <v>30</v>
      </c>
      <c r="Q1579">
        <v>61.5</v>
      </c>
    </row>
    <row r="1580" spans="1:17" x14ac:dyDescent="0.35">
      <c r="A1580" s="1">
        <v>45826</v>
      </c>
      <c r="B1580" t="s">
        <v>64</v>
      </c>
      <c r="C1580" t="s">
        <v>25</v>
      </c>
      <c r="D1580" t="s">
        <v>65</v>
      </c>
      <c r="E1580" t="s">
        <v>27</v>
      </c>
      <c r="F1580">
        <v>718.34</v>
      </c>
      <c r="G1580">
        <v>70</v>
      </c>
      <c r="H1580">
        <v>96.53</v>
      </c>
      <c r="I1580">
        <v>98.44</v>
      </c>
      <c r="J1580">
        <v>82.82</v>
      </c>
      <c r="K1580" t="s">
        <v>28</v>
      </c>
      <c r="L1580">
        <v>9.1999999999999993</v>
      </c>
      <c r="M1580">
        <v>4.8</v>
      </c>
      <c r="N1580" t="s">
        <v>39</v>
      </c>
      <c r="O1580">
        <v>8</v>
      </c>
      <c r="P1580" t="s">
        <v>30</v>
      </c>
      <c r="Q1580">
        <v>63.2</v>
      </c>
    </row>
    <row r="1581" spans="1:17" x14ac:dyDescent="0.35">
      <c r="A1581" s="1">
        <v>45826</v>
      </c>
      <c r="B1581" t="s">
        <v>55</v>
      </c>
      <c r="C1581" t="s">
        <v>56</v>
      </c>
      <c r="D1581">
        <v>4</v>
      </c>
      <c r="E1581" t="s">
        <v>57</v>
      </c>
      <c r="F1581">
        <v>30</v>
      </c>
      <c r="G1581">
        <v>148.1</v>
      </c>
      <c r="H1581">
        <v>91.57</v>
      </c>
      <c r="I1581">
        <v>93.62</v>
      </c>
      <c r="J1581">
        <v>72.23</v>
      </c>
      <c r="K1581" t="s">
        <v>63</v>
      </c>
      <c r="L1581">
        <v>6.5</v>
      </c>
      <c r="N1581" t="s">
        <v>35</v>
      </c>
      <c r="O1581">
        <v>3</v>
      </c>
      <c r="P1581" t="s">
        <v>23</v>
      </c>
      <c r="Q1581">
        <v>68</v>
      </c>
    </row>
    <row r="1582" spans="1:17" x14ac:dyDescent="0.35">
      <c r="A1582" s="1">
        <v>45826</v>
      </c>
      <c r="B1582" t="s">
        <v>93</v>
      </c>
      <c r="C1582" t="s">
        <v>37</v>
      </c>
      <c r="D1582" t="s">
        <v>94</v>
      </c>
      <c r="E1582" t="s">
        <v>27</v>
      </c>
      <c r="F1582">
        <v>205.53</v>
      </c>
      <c r="G1582">
        <v>23.6</v>
      </c>
      <c r="H1582">
        <v>96.86</v>
      </c>
      <c r="I1582">
        <v>94.41</v>
      </c>
      <c r="J1582">
        <v>84.1</v>
      </c>
      <c r="K1582" t="s">
        <v>34</v>
      </c>
      <c r="L1582">
        <v>7.5</v>
      </c>
      <c r="M1582">
        <v>1.9</v>
      </c>
      <c r="N1582" t="s">
        <v>39</v>
      </c>
      <c r="O1582">
        <v>15</v>
      </c>
      <c r="P1582" t="s">
        <v>23</v>
      </c>
      <c r="Q1582">
        <v>60.9</v>
      </c>
    </row>
    <row r="1583" spans="1:17" x14ac:dyDescent="0.35">
      <c r="A1583" s="1">
        <v>45826</v>
      </c>
      <c r="B1583" t="s">
        <v>59</v>
      </c>
      <c r="C1583" t="s">
        <v>60</v>
      </c>
      <c r="D1583" t="s">
        <v>61</v>
      </c>
      <c r="E1583" t="s">
        <v>62</v>
      </c>
      <c r="F1583">
        <v>342.32</v>
      </c>
      <c r="G1583">
        <v>171.8</v>
      </c>
      <c r="H1583">
        <v>88.45</v>
      </c>
      <c r="I1583">
        <v>96.17</v>
      </c>
      <c r="J1583">
        <v>91.6</v>
      </c>
      <c r="K1583" t="s">
        <v>34</v>
      </c>
      <c r="L1583">
        <v>7.5</v>
      </c>
      <c r="N1583" t="s">
        <v>35</v>
      </c>
      <c r="O1583">
        <v>4</v>
      </c>
      <c r="P1583" t="s">
        <v>43</v>
      </c>
      <c r="Q1583">
        <v>74.2</v>
      </c>
    </row>
    <row r="1584" spans="1:17" x14ac:dyDescent="0.35">
      <c r="A1584" s="1">
        <v>45826</v>
      </c>
      <c r="B1584" t="s">
        <v>36</v>
      </c>
      <c r="C1584" t="s">
        <v>37</v>
      </c>
      <c r="D1584" t="s">
        <v>38</v>
      </c>
      <c r="E1584" t="s">
        <v>27</v>
      </c>
      <c r="F1584">
        <v>246.72</v>
      </c>
      <c r="G1584">
        <v>65.7</v>
      </c>
      <c r="H1584">
        <v>94.45</v>
      </c>
      <c r="I1584">
        <v>96.22</v>
      </c>
      <c r="J1584">
        <v>80.61</v>
      </c>
      <c r="K1584" t="s">
        <v>28</v>
      </c>
      <c r="L1584">
        <v>8.1999999999999993</v>
      </c>
      <c r="M1584">
        <v>2.4</v>
      </c>
      <c r="N1584" t="s">
        <v>29</v>
      </c>
      <c r="O1584">
        <v>14</v>
      </c>
      <c r="P1584" t="s">
        <v>23</v>
      </c>
      <c r="Q1584">
        <v>61.9</v>
      </c>
    </row>
    <row r="1585" spans="1:17" x14ac:dyDescent="0.35">
      <c r="A1585" s="1">
        <v>45826</v>
      </c>
      <c r="B1585" t="s">
        <v>95</v>
      </c>
      <c r="C1585" t="s">
        <v>49</v>
      </c>
      <c r="D1585" t="s">
        <v>96</v>
      </c>
      <c r="E1585" t="s">
        <v>33</v>
      </c>
      <c r="F1585">
        <v>385.87</v>
      </c>
      <c r="G1585">
        <v>174</v>
      </c>
      <c r="H1585">
        <v>94.58</v>
      </c>
      <c r="I1585">
        <v>95.27</v>
      </c>
      <c r="J1585">
        <v>73.739999999999995</v>
      </c>
      <c r="K1585" t="s">
        <v>28</v>
      </c>
      <c r="L1585">
        <v>8.1999999999999993</v>
      </c>
      <c r="M1585">
        <v>3.1</v>
      </c>
      <c r="N1585" t="s">
        <v>22</v>
      </c>
      <c r="O1585">
        <v>9</v>
      </c>
      <c r="P1585" t="s">
        <v>23</v>
      </c>
      <c r="Q1585">
        <v>62.2</v>
      </c>
    </row>
    <row r="1586" spans="1:17" x14ac:dyDescent="0.35">
      <c r="A1586" s="1">
        <v>45826</v>
      </c>
      <c r="B1586" t="s">
        <v>55</v>
      </c>
      <c r="C1586" t="s">
        <v>56</v>
      </c>
      <c r="D1586">
        <v>4</v>
      </c>
      <c r="E1586" t="s">
        <v>57</v>
      </c>
      <c r="F1586">
        <v>30</v>
      </c>
      <c r="G1586">
        <v>135.6</v>
      </c>
      <c r="H1586">
        <v>85.4</v>
      </c>
      <c r="I1586">
        <v>96.26</v>
      </c>
      <c r="J1586">
        <v>78.239999999999995</v>
      </c>
      <c r="K1586" t="s">
        <v>58</v>
      </c>
      <c r="L1586">
        <v>7.5</v>
      </c>
      <c r="N1586" t="s">
        <v>35</v>
      </c>
      <c r="O1586">
        <v>4</v>
      </c>
      <c r="P1586" t="s">
        <v>43</v>
      </c>
      <c r="Q1586">
        <v>70.2</v>
      </c>
    </row>
    <row r="1587" spans="1:17" x14ac:dyDescent="0.35">
      <c r="A1587" s="1">
        <v>45826</v>
      </c>
      <c r="B1587" t="s">
        <v>53</v>
      </c>
      <c r="C1587" t="s">
        <v>41</v>
      </c>
      <c r="D1587" t="s">
        <v>54</v>
      </c>
      <c r="E1587" t="s">
        <v>27</v>
      </c>
      <c r="F1587">
        <v>569.6</v>
      </c>
      <c r="G1587">
        <v>53.7</v>
      </c>
      <c r="H1587">
        <v>97.12</v>
      </c>
      <c r="I1587">
        <v>98.18</v>
      </c>
      <c r="J1587">
        <v>82.31</v>
      </c>
      <c r="K1587" t="s">
        <v>28</v>
      </c>
      <c r="L1587">
        <v>8.1</v>
      </c>
      <c r="M1587">
        <v>2.6</v>
      </c>
      <c r="N1587" t="s">
        <v>29</v>
      </c>
      <c r="O1587">
        <v>15</v>
      </c>
      <c r="P1587" t="s">
        <v>43</v>
      </c>
      <c r="Q1587">
        <v>62.4</v>
      </c>
    </row>
    <row r="1588" spans="1:17" x14ac:dyDescent="0.35">
      <c r="A1588" s="1">
        <v>45826</v>
      </c>
      <c r="B1588" t="s">
        <v>64</v>
      </c>
      <c r="C1588" t="s">
        <v>25</v>
      </c>
      <c r="D1588" t="s">
        <v>65</v>
      </c>
      <c r="E1588" t="s">
        <v>27</v>
      </c>
      <c r="F1588">
        <v>236.57</v>
      </c>
      <c r="G1588">
        <v>24.9</v>
      </c>
      <c r="H1588">
        <v>95.2</v>
      </c>
      <c r="I1588">
        <v>96.54</v>
      </c>
      <c r="J1588">
        <v>82.79</v>
      </c>
      <c r="K1588" t="s">
        <v>47</v>
      </c>
      <c r="L1588">
        <v>7.3</v>
      </c>
      <c r="M1588">
        <v>2.7</v>
      </c>
      <c r="N1588" t="s">
        <v>29</v>
      </c>
      <c r="O1588">
        <v>11</v>
      </c>
      <c r="P1588" t="s">
        <v>30</v>
      </c>
      <c r="Q1588">
        <v>59.9</v>
      </c>
    </row>
    <row r="1589" spans="1:17" x14ac:dyDescent="0.35">
      <c r="A1589" s="1">
        <v>45826</v>
      </c>
      <c r="B1589" t="s">
        <v>31</v>
      </c>
      <c r="C1589" t="s">
        <v>18</v>
      </c>
      <c r="D1589" t="s">
        <v>32</v>
      </c>
      <c r="E1589" t="s">
        <v>33</v>
      </c>
      <c r="F1589">
        <v>156.32</v>
      </c>
      <c r="G1589">
        <v>233</v>
      </c>
      <c r="H1589">
        <v>94.18</v>
      </c>
      <c r="I1589">
        <v>96.25</v>
      </c>
      <c r="J1589">
        <v>71.22</v>
      </c>
      <c r="K1589" t="s">
        <v>47</v>
      </c>
      <c r="L1589">
        <v>7.7</v>
      </c>
      <c r="M1589">
        <v>2.9</v>
      </c>
      <c r="N1589" t="s">
        <v>22</v>
      </c>
      <c r="O1589">
        <v>8</v>
      </c>
      <c r="P1589" t="s">
        <v>23</v>
      </c>
      <c r="Q1589">
        <v>61.2</v>
      </c>
    </row>
    <row r="1590" spans="1:17" x14ac:dyDescent="0.35">
      <c r="A1590" s="1">
        <v>45826</v>
      </c>
      <c r="B1590" t="s">
        <v>89</v>
      </c>
      <c r="C1590" t="s">
        <v>67</v>
      </c>
      <c r="D1590" t="s">
        <v>90</v>
      </c>
      <c r="E1590" t="s">
        <v>27</v>
      </c>
      <c r="F1590">
        <v>666.51</v>
      </c>
      <c r="G1590">
        <v>25.6</v>
      </c>
      <c r="H1590">
        <v>95.4</v>
      </c>
      <c r="I1590">
        <v>94.87</v>
      </c>
      <c r="J1590">
        <v>80.930000000000007</v>
      </c>
      <c r="K1590" t="s">
        <v>28</v>
      </c>
      <c r="L1590">
        <v>8.3000000000000007</v>
      </c>
      <c r="M1590">
        <v>4.5</v>
      </c>
      <c r="N1590" t="s">
        <v>29</v>
      </c>
      <c r="O1590">
        <v>12</v>
      </c>
      <c r="P1590" t="s">
        <v>23</v>
      </c>
      <c r="Q1590">
        <v>59.9</v>
      </c>
    </row>
    <row r="1591" spans="1:17" x14ac:dyDescent="0.35">
      <c r="A1591" s="1">
        <v>45826</v>
      </c>
      <c r="B1591" t="s">
        <v>55</v>
      </c>
      <c r="C1591" t="s">
        <v>56</v>
      </c>
      <c r="D1591">
        <v>4</v>
      </c>
      <c r="E1591" t="s">
        <v>57</v>
      </c>
      <c r="F1591">
        <v>30</v>
      </c>
      <c r="G1591">
        <v>139.19999999999999</v>
      </c>
      <c r="H1591">
        <v>90.74</v>
      </c>
      <c r="I1591">
        <v>95.14</v>
      </c>
      <c r="J1591">
        <v>75.959999999999994</v>
      </c>
      <c r="K1591" t="s">
        <v>58</v>
      </c>
      <c r="L1591">
        <v>6.2</v>
      </c>
      <c r="N1591" t="s">
        <v>35</v>
      </c>
      <c r="O1591">
        <v>4</v>
      </c>
      <c r="P1591" t="s">
        <v>23</v>
      </c>
      <c r="Q1591">
        <v>68.099999999999994</v>
      </c>
    </row>
    <row r="1592" spans="1:17" x14ac:dyDescent="0.35">
      <c r="A1592" s="1">
        <v>45826</v>
      </c>
      <c r="B1592" t="s">
        <v>55</v>
      </c>
      <c r="C1592" t="s">
        <v>56</v>
      </c>
      <c r="D1592">
        <v>4</v>
      </c>
      <c r="E1592" t="s">
        <v>57</v>
      </c>
      <c r="F1592">
        <v>30</v>
      </c>
      <c r="G1592">
        <v>155.6</v>
      </c>
      <c r="H1592">
        <v>91.92</v>
      </c>
      <c r="I1592">
        <v>96.03</v>
      </c>
      <c r="J1592">
        <v>70.66</v>
      </c>
      <c r="K1592" t="s">
        <v>63</v>
      </c>
      <c r="L1592">
        <v>7.7</v>
      </c>
      <c r="N1592" t="s">
        <v>35</v>
      </c>
      <c r="O1592">
        <v>5</v>
      </c>
      <c r="P1592" t="s">
        <v>23</v>
      </c>
      <c r="Q1592">
        <v>70.8</v>
      </c>
    </row>
    <row r="1593" spans="1:17" x14ac:dyDescent="0.35">
      <c r="A1593" s="1">
        <v>45826</v>
      </c>
      <c r="B1593" t="s">
        <v>40</v>
      </c>
      <c r="C1593" t="s">
        <v>41</v>
      </c>
      <c r="D1593" t="s">
        <v>42</v>
      </c>
      <c r="E1593" t="s">
        <v>27</v>
      </c>
      <c r="F1593">
        <v>323.48</v>
      </c>
      <c r="G1593">
        <v>66.7</v>
      </c>
      <c r="H1593">
        <v>96.37</v>
      </c>
      <c r="I1593">
        <v>97.95</v>
      </c>
      <c r="J1593">
        <v>78.41</v>
      </c>
      <c r="K1593" t="s">
        <v>47</v>
      </c>
      <c r="L1593">
        <v>7.6</v>
      </c>
      <c r="M1593">
        <v>1.5</v>
      </c>
      <c r="N1593" t="s">
        <v>29</v>
      </c>
      <c r="O1593">
        <v>14</v>
      </c>
      <c r="P1593" t="s">
        <v>43</v>
      </c>
      <c r="Q1593">
        <v>61.8</v>
      </c>
    </row>
    <row r="1594" spans="1:17" x14ac:dyDescent="0.35">
      <c r="A1594" s="1">
        <v>45826</v>
      </c>
      <c r="B1594" t="s">
        <v>69</v>
      </c>
      <c r="C1594" t="s">
        <v>18</v>
      </c>
      <c r="D1594" t="s">
        <v>70</v>
      </c>
      <c r="E1594" t="s">
        <v>20</v>
      </c>
      <c r="F1594">
        <v>80.069999999999993</v>
      </c>
      <c r="G1594">
        <v>132.80000000000001</v>
      </c>
      <c r="H1594">
        <v>89.68</v>
      </c>
      <c r="I1594">
        <v>96.21</v>
      </c>
      <c r="J1594">
        <v>78.510000000000005</v>
      </c>
      <c r="K1594" t="s">
        <v>63</v>
      </c>
      <c r="L1594">
        <v>6.6</v>
      </c>
      <c r="N1594" t="s">
        <v>22</v>
      </c>
      <c r="O1594">
        <v>8</v>
      </c>
      <c r="P1594" t="s">
        <v>23</v>
      </c>
      <c r="Q1594">
        <v>69.2</v>
      </c>
    </row>
    <row r="1595" spans="1:17" x14ac:dyDescent="0.35">
      <c r="A1595" s="1">
        <v>45826</v>
      </c>
      <c r="B1595" t="s">
        <v>99</v>
      </c>
      <c r="C1595" t="s">
        <v>72</v>
      </c>
      <c r="D1595" t="s">
        <v>100</v>
      </c>
      <c r="E1595" t="s">
        <v>33</v>
      </c>
      <c r="F1595">
        <v>283.94</v>
      </c>
      <c r="G1595">
        <v>108.8</v>
      </c>
      <c r="H1595">
        <v>93.98</v>
      </c>
      <c r="I1595">
        <v>93.26</v>
      </c>
      <c r="J1595">
        <v>73.81</v>
      </c>
      <c r="K1595" t="s">
        <v>34</v>
      </c>
      <c r="L1595">
        <v>8.3000000000000007</v>
      </c>
      <c r="M1595">
        <v>4.9000000000000004</v>
      </c>
      <c r="N1595" t="s">
        <v>35</v>
      </c>
      <c r="O1595">
        <v>8</v>
      </c>
      <c r="P1595" t="s">
        <v>23</v>
      </c>
      <c r="Q1595">
        <v>59.6</v>
      </c>
    </row>
    <row r="1596" spans="1:17" x14ac:dyDescent="0.35">
      <c r="A1596" s="1">
        <v>45826</v>
      </c>
      <c r="B1596" t="s">
        <v>66</v>
      </c>
      <c r="C1596" t="s">
        <v>67</v>
      </c>
      <c r="D1596" t="s">
        <v>68</v>
      </c>
      <c r="E1596" t="s">
        <v>27</v>
      </c>
      <c r="F1596">
        <v>607.70000000000005</v>
      </c>
      <c r="G1596">
        <v>62.8</v>
      </c>
      <c r="H1596">
        <v>93.89</v>
      </c>
      <c r="I1596">
        <v>94.23</v>
      </c>
      <c r="J1596">
        <v>80.63</v>
      </c>
      <c r="K1596" t="s">
        <v>34</v>
      </c>
      <c r="L1596">
        <v>8</v>
      </c>
      <c r="M1596">
        <v>4.8</v>
      </c>
      <c r="N1596" t="s">
        <v>29</v>
      </c>
      <c r="O1596">
        <v>14</v>
      </c>
      <c r="P1596" t="s">
        <v>23</v>
      </c>
      <c r="Q1596">
        <v>59.5</v>
      </c>
    </row>
    <row r="1597" spans="1:17" x14ac:dyDescent="0.35">
      <c r="A1597" s="1">
        <v>45826</v>
      </c>
      <c r="B1597" t="s">
        <v>55</v>
      </c>
      <c r="C1597" t="s">
        <v>56</v>
      </c>
      <c r="D1597">
        <v>4</v>
      </c>
      <c r="E1597" t="s">
        <v>57</v>
      </c>
      <c r="F1597">
        <v>30</v>
      </c>
      <c r="G1597">
        <v>152.30000000000001</v>
      </c>
      <c r="H1597">
        <v>91.18</v>
      </c>
      <c r="I1597">
        <v>94.12</v>
      </c>
      <c r="J1597">
        <v>72.180000000000007</v>
      </c>
      <c r="K1597" t="s">
        <v>21</v>
      </c>
      <c r="L1597">
        <v>6.8</v>
      </c>
      <c r="N1597" t="s">
        <v>35</v>
      </c>
      <c r="O1597">
        <v>3</v>
      </c>
      <c r="P1597" t="s">
        <v>23</v>
      </c>
      <c r="Q1597">
        <v>68.7</v>
      </c>
    </row>
    <row r="1598" spans="1:17" x14ac:dyDescent="0.35">
      <c r="A1598" s="1">
        <v>45826</v>
      </c>
      <c r="B1598" t="s">
        <v>95</v>
      </c>
      <c r="C1598" t="s">
        <v>49</v>
      </c>
      <c r="D1598" t="s">
        <v>96</v>
      </c>
      <c r="E1598" t="s">
        <v>33</v>
      </c>
      <c r="F1598">
        <v>386.03</v>
      </c>
      <c r="G1598">
        <v>177.3</v>
      </c>
      <c r="H1598">
        <v>94.24</v>
      </c>
      <c r="I1598">
        <v>94.81</v>
      </c>
      <c r="J1598">
        <v>70.010000000000005</v>
      </c>
      <c r="K1598" t="s">
        <v>28</v>
      </c>
      <c r="L1598">
        <v>7.7</v>
      </c>
      <c r="M1598">
        <v>4.4000000000000004</v>
      </c>
      <c r="N1598" t="s">
        <v>35</v>
      </c>
      <c r="O1598">
        <v>8</v>
      </c>
      <c r="P1598" t="s">
        <v>23</v>
      </c>
      <c r="Q1598">
        <v>59.7</v>
      </c>
    </row>
    <row r="1599" spans="1:17" x14ac:dyDescent="0.35">
      <c r="A1599" s="1">
        <v>45826</v>
      </c>
      <c r="B1599" t="s">
        <v>24</v>
      </c>
      <c r="C1599" t="s">
        <v>25</v>
      </c>
      <c r="D1599" t="s">
        <v>26</v>
      </c>
      <c r="E1599" t="s">
        <v>27</v>
      </c>
      <c r="F1599">
        <v>449.49</v>
      </c>
      <c r="G1599">
        <v>35.4</v>
      </c>
      <c r="H1599">
        <v>94.1</v>
      </c>
      <c r="I1599">
        <v>96.05</v>
      </c>
      <c r="J1599">
        <v>83.4</v>
      </c>
      <c r="K1599" t="s">
        <v>47</v>
      </c>
      <c r="L1599">
        <v>9.1999999999999993</v>
      </c>
      <c r="M1599">
        <v>4.5</v>
      </c>
      <c r="N1599" t="s">
        <v>29</v>
      </c>
      <c r="O1599">
        <v>14</v>
      </c>
      <c r="P1599" t="s">
        <v>30</v>
      </c>
      <c r="Q1599">
        <v>62</v>
      </c>
    </row>
    <row r="1600" spans="1:17" x14ac:dyDescent="0.35">
      <c r="A1600" s="1">
        <v>45826</v>
      </c>
      <c r="B1600" t="s">
        <v>78</v>
      </c>
      <c r="C1600" t="s">
        <v>41</v>
      </c>
      <c r="D1600" t="s">
        <v>79</v>
      </c>
      <c r="E1600" t="s">
        <v>27</v>
      </c>
      <c r="F1600">
        <v>567.87</v>
      </c>
      <c r="G1600">
        <v>65</v>
      </c>
      <c r="H1600">
        <v>94.25</v>
      </c>
      <c r="I1600">
        <v>96.55</v>
      </c>
      <c r="J1600">
        <v>79.709999999999994</v>
      </c>
      <c r="K1600" t="s">
        <v>34</v>
      </c>
      <c r="L1600">
        <v>8.1</v>
      </c>
      <c r="M1600">
        <v>3</v>
      </c>
      <c r="N1600" t="s">
        <v>29</v>
      </c>
      <c r="O1600">
        <v>15</v>
      </c>
      <c r="P1600" t="s">
        <v>43</v>
      </c>
      <c r="Q1600">
        <v>61.2</v>
      </c>
    </row>
    <row r="1601" spans="1:17" x14ac:dyDescent="0.35">
      <c r="A1601" s="1">
        <v>45826</v>
      </c>
      <c r="B1601" t="s">
        <v>97</v>
      </c>
      <c r="C1601" t="s">
        <v>72</v>
      </c>
      <c r="D1601" t="s">
        <v>98</v>
      </c>
      <c r="E1601" t="s">
        <v>27</v>
      </c>
      <c r="F1601">
        <v>68.36</v>
      </c>
      <c r="G1601">
        <v>66.5</v>
      </c>
      <c r="H1601">
        <v>93.75</v>
      </c>
      <c r="I1601">
        <v>93.44</v>
      </c>
      <c r="J1601">
        <v>78.45</v>
      </c>
      <c r="K1601" t="s">
        <v>28</v>
      </c>
      <c r="L1601">
        <v>7.4</v>
      </c>
      <c r="M1601">
        <v>4.5999999999999996</v>
      </c>
      <c r="N1601" t="s">
        <v>39</v>
      </c>
      <c r="O1601">
        <v>8</v>
      </c>
      <c r="P1601" t="s">
        <v>43</v>
      </c>
      <c r="Q1601">
        <v>58.2</v>
      </c>
    </row>
    <row r="1602" spans="1:17" x14ac:dyDescent="0.35">
      <c r="A1602" s="1">
        <v>45826</v>
      </c>
      <c r="B1602" t="s">
        <v>101</v>
      </c>
      <c r="C1602" t="s">
        <v>45</v>
      </c>
      <c r="D1602" t="s">
        <v>102</v>
      </c>
      <c r="E1602" t="s">
        <v>33</v>
      </c>
      <c r="F1602">
        <v>693.78</v>
      </c>
      <c r="G1602">
        <v>1535.6</v>
      </c>
      <c r="H1602">
        <v>97.41</v>
      </c>
      <c r="I1602">
        <v>98.51</v>
      </c>
      <c r="J1602">
        <v>79.86</v>
      </c>
      <c r="K1602" t="s">
        <v>88</v>
      </c>
      <c r="L1602">
        <v>8.9</v>
      </c>
      <c r="M1602">
        <v>2.1</v>
      </c>
      <c r="N1602" t="s">
        <v>35</v>
      </c>
      <c r="O1602">
        <v>10</v>
      </c>
      <c r="P1602" t="s">
        <v>23</v>
      </c>
      <c r="Q1602">
        <v>66.099999999999994</v>
      </c>
    </row>
    <row r="1603" spans="1:17" x14ac:dyDescent="0.35">
      <c r="A1603" s="1">
        <v>45826</v>
      </c>
      <c r="B1603" t="s">
        <v>59</v>
      </c>
      <c r="C1603" t="s">
        <v>60</v>
      </c>
      <c r="D1603" t="s">
        <v>61</v>
      </c>
      <c r="E1603" t="s">
        <v>62</v>
      </c>
      <c r="F1603">
        <v>349.9</v>
      </c>
      <c r="G1603">
        <v>183.6</v>
      </c>
      <c r="H1603">
        <v>88.71</v>
      </c>
      <c r="I1603">
        <v>93.37</v>
      </c>
      <c r="J1603">
        <v>88.17</v>
      </c>
      <c r="K1603" t="s">
        <v>63</v>
      </c>
      <c r="L1603">
        <v>8.1999999999999993</v>
      </c>
      <c r="N1603" t="s">
        <v>35</v>
      </c>
      <c r="O1603">
        <v>4</v>
      </c>
      <c r="P1603" t="s">
        <v>23</v>
      </c>
      <c r="Q1603">
        <v>74.5</v>
      </c>
    </row>
    <row r="1604" spans="1:17" x14ac:dyDescent="0.35">
      <c r="A1604" s="1">
        <v>45826</v>
      </c>
      <c r="B1604" t="s">
        <v>59</v>
      </c>
      <c r="C1604" t="s">
        <v>60</v>
      </c>
      <c r="D1604" t="s">
        <v>61</v>
      </c>
      <c r="E1604" t="s">
        <v>62</v>
      </c>
      <c r="F1604">
        <v>366.92</v>
      </c>
      <c r="G1604">
        <v>171.1</v>
      </c>
      <c r="H1604">
        <v>90.91</v>
      </c>
      <c r="I1604">
        <v>95.11</v>
      </c>
      <c r="J1604">
        <v>91</v>
      </c>
      <c r="K1604" t="s">
        <v>34</v>
      </c>
      <c r="L1604">
        <v>7.6</v>
      </c>
      <c r="N1604" t="s">
        <v>35</v>
      </c>
      <c r="O1604">
        <v>4</v>
      </c>
      <c r="P1604" t="s">
        <v>23</v>
      </c>
      <c r="Q1604">
        <v>74.599999999999994</v>
      </c>
    </row>
    <row r="1605" spans="1:17" x14ac:dyDescent="0.35">
      <c r="A1605" s="1">
        <v>45826</v>
      </c>
      <c r="B1605" t="s">
        <v>53</v>
      </c>
      <c r="C1605" t="s">
        <v>41</v>
      </c>
      <c r="D1605" t="s">
        <v>54</v>
      </c>
      <c r="E1605" t="s">
        <v>27</v>
      </c>
      <c r="F1605">
        <v>504.61</v>
      </c>
      <c r="G1605">
        <v>63.1</v>
      </c>
      <c r="H1605">
        <v>92.38</v>
      </c>
      <c r="I1605">
        <v>98.04</v>
      </c>
      <c r="J1605">
        <v>76.14</v>
      </c>
      <c r="K1605" t="s">
        <v>28</v>
      </c>
      <c r="L1605">
        <v>9.1999999999999993</v>
      </c>
      <c r="M1605">
        <v>2.2999999999999998</v>
      </c>
      <c r="N1605" t="s">
        <v>39</v>
      </c>
      <c r="O1605">
        <v>14</v>
      </c>
      <c r="P1605" t="s">
        <v>43</v>
      </c>
      <c r="Q1605">
        <v>62.8</v>
      </c>
    </row>
    <row r="1606" spans="1:17" x14ac:dyDescent="0.35">
      <c r="A1606" s="1">
        <v>45826</v>
      </c>
      <c r="B1606" t="s">
        <v>59</v>
      </c>
      <c r="C1606" t="s">
        <v>60</v>
      </c>
      <c r="D1606" t="s">
        <v>61</v>
      </c>
      <c r="E1606" t="s">
        <v>62</v>
      </c>
      <c r="F1606">
        <v>409.41</v>
      </c>
      <c r="G1606">
        <v>187.7</v>
      </c>
      <c r="H1606">
        <v>85.44</v>
      </c>
      <c r="I1606">
        <v>95.78</v>
      </c>
      <c r="J1606">
        <v>88.64</v>
      </c>
      <c r="K1606" t="s">
        <v>63</v>
      </c>
      <c r="L1606">
        <v>8.3000000000000007</v>
      </c>
      <c r="N1606" t="s">
        <v>35</v>
      </c>
      <c r="O1606">
        <v>3</v>
      </c>
      <c r="P1606" t="s">
        <v>43</v>
      </c>
      <c r="Q1606">
        <v>74.599999999999994</v>
      </c>
    </row>
    <row r="1607" spans="1:17" x14ac:dyDescent="0.35">
      <c r="A1607" s="1">
        <v>45826</v>
      </c>
      <c r="B1607" t="s">
        <v>95</v>
      </c>
      <c r="C1607" t="s">
        <v>49</v>
      </c>
      <c r="D1607" t="s">
        <v>96</v>
      </c>
      <c r="E1607" t="s">
        <v>33</v>
      </c>
      <c r="F1607">
        <v>344.84</v>
      </c>
      <c r="G1607">
        <v>183.9</v>
      </c>
      <c r="H1607">
        <v>95.18</v>
      </c>
      <c r="I1607">
        <v>95.19</v>
      </c>
      <c r="J1607">
        <v>74.58</v>
      </c>
      <c r="K1607" t="s">
        <v>28</v>
      </c>
      <c r="L1607">
        <v>7.2</v>
      </c>
      <c r="M1607">
        <v>4.3</v>
      </c>
      <c r="N1607" t="s">
        <v>35</v>
      </c>
      <c r="O1607">
        <v>7</v>
      </c>
      <c r="P1607" t="s">
        <v>43</v>
      </c>
      <c r="Q1607">
        <v>60</v>
      </c>
    </row>
    <row r="1608" spans="1:17" x14ac:dyDescent="0.35">
      <c r="A1608" s="1">
        <v>45826</v>
      </c>
      <c r="B1608" t="s">
        <v>51</v>
      </c>
      <c r="C1608" t="s">
        <v>45</v>
      </c>
      <c r="D1608" t="s">
        <v>52</v>
      </c>
      <c r="E1608" t="s">
        <v>33</v>
      </c>
      <c r="F1608">
        <v>295.29000000000002</v>
      </c>
      <c r="G1608">
        <v>437.4</v>
      </c>
      <c r="H1608">
        <v>95.53</v>
      </c>
      <c r="I1608">
        <v>98.38</v>
      </c>
      <c r="J1608">
        <v>71.8</v>
      </c>
      <c r="K1608" t="s">
        <v>88</v>
      </c>
      <c r="L1608">
        <v>7.1</v>
      </c>
      <c r="M1608">
        <v>4.8</v>
      </c>
      <c r="N1608" t="s">
        <v>22</v>
      </c>
      <c r="O1608">
        <v>6</v>
      </c>
      <c r="P1608" t="s">
        <v>23</v>
      </c>
      <c r="Q1608">
        <v>59.6</v>
      </c>
    </row>
    <row r="1609" spans="1:17" x14ac:dyDescent="0.35">
      <c r="A1609" s="1">
        <v>45826</v>
      </c>
      <c r="B1609" t="s">
        <v>31</v>
      </c>
      <c r="C1609" t="s">
        <v>18</v>
      </c>
      <c r="D1609" t="s">
        <v>32</v>
      </c>
      <c r="E1609" t="s">
        <v>27</v>
      </c>
      <c r="F1609">
        <v>305.72000000000003</v>
      </c>
      <c r="G1609">
        <v>65.3</v>
      </c>
      <c r="H1609">
        <v>96.54</v>
      </c>
      <c r="I1609">
        <v>94.24</v>
      </c>
      <c r="J1609">
        <v>81.95</v>
      </c>
      <c r="K1609" t="s">
        <v>28</v>
      </c>
      <c r="L1609">
        <v>7.9</v>
      </c>
      <c r="M1609">
        <v>2.8</v>
      </c>
      <c r="N1609" t="s">
        <v>29</v>
      </c>
      <c r="O1609">
        <v>13</v>
      </c>
      <c r="P1609" t="s">
        <v>23</v>
      </c>
      <c r="Q1609">
        <v>61.4</v>
      </c>
    </row>
    <row r="1610" spans="1:17" x14ac:dyDescent="0.35">
      <c r="A1610" s="1">
        <v>45826</v>
      </c>
      <c r="B1610" t="s">
        <v>53</v>
      </c>
      <c r="C1610" t="s">
        <v>41</v>
      </c>
      <c r="D1610" t="s">
        <v>54</v>
      </c>
      <c r="E1610" t="s">
        <v>27</v>
      </c>
      <c r="F1610">
        <v>687.42</v>
      </c>
      <c r="G1610">
        <v>56.9</v>
      </c>
      <c r="H1610">
        <v>93.71</v>
      </c>
      <c r="I1610">
        <v>96.6</v>
      </c>
      <c r="J1610">
        <v>77.2</v>
      </c>
      <c r="K1610" t="s">
        <v>28</v>
      </c>
      <c r="L1610">
        <v>8.9</v>
      </c>
      <c r="M1610">
        <v>2.4</v>
      </c>
      <c r="N1610" t="s">
        <v>39</v>
      </c>
      <c r="O1610">
        <v>11</v>
      </c>
      <c r="P1610" t="s">
        <v>43</v>
      </c>
      <c r="Q1610">
        <v>62.3</v>
      </c>
    </row>
    <row r="1611" spans="1:17" x14ac:dyDescent="0.35">
      <c r="A1611" s="1">
        <v>45826</v>
      </c>
      <c r="B1611" t="s">
        <v>91</v>
      </c>
      <c r="C1611" t="s">
        <v>67</v>
      </c>
      <c r="D1611" t="s">
        <v>92</v>
      </c>
      <c r="E1611" t="s">
        <v>27</v>
      </c>
      <c r="F1611">
        <v>203.79</v>
      </c>
      <c r="G1611">
        <v>18.3</v>
      </c>
      <c r="H1611">
        <v>94.2</v>
      </c>
      <c r="I1611">
        <v>95.06</v>
      </c>
      <c r="J1611">
        <v>82.39</v>
      </c>
      <c r="K1611" t="s">
        <v>47</v>
      </c>
      <c r="L1611">
        <v>8.4</v>
      </c>
      <c r="M1611">
        <v>2.5</v>
      </c>
      <c r="N1611" t="s">
        <v>39</v>
      </c>
      <c r="O1611">
        <v>9</v>
      </c>
      <c r="P1611" t="s">
        <v>43</v>
      </c>
      <c r="Q1611">
        <v>61.3</v>
      </c>
    </row>
    <row r="1612" spans="1:17" x14ac:dyDescent="0.35">
      <c r="A1612" s="1">
        <v>45826</v>
      </c>
      <c r="B1612" t="s">
        <v>59</v>
      </c>
      <c r="C1612" t="s">
        <v>60</v>
      </c>
      <c r="D1612" t="s">
        <v>61</v>
      </c>
      <c r="E1612" t="s">
        <v>62</v>
      </c>
      <c r="F1612">
        <v>410.78</v>
      </c>
      <c r="G1612">
        <v>185.4</v>
      </c>
      <c r="H1612">
        <v>91.38</v>
      </c>
      <c r="I1612">
        <v>95.46</v>
      </c>
      <c r="J1612">
        <v>88.04</v>
      </c>
      <c r="K1612" t="s">
        <v>63</v>
      </c>
      <c r="L1612">
        <v>8.1</v>
      </c>
      <c r="N1612" t="s">
        <v>35</v>
      </c>
      <c r="O1612">
        <v>6</v>
      </c>
      <c r="P1612" t="s">
        <v>23</v>
      </c>
      <c r="Q1612">
        <v>75.2</v>
      </c>
    </row>
    <row r="1613" spans="1:17" x14ac:dyDescent="0.35">
      <c r="A1613" s="1">
        <v>45826</v>
      </c>
      <c r="B1613" t="s">
        <v>99</v>
      </c>
      <c r="C1613" t="s">
        <v>72</v>
      </c>
      <c r="D1613" t="s">
        <v>100</v>
      </c>
      <c r="E1613" t="s">
        <v>27</v>
      </c>
      <c r="F1613">
        <v>191.88</v>
      </c>
      <c r="G1613">
        <v>24.4</v>
      </c>
      <c r="H1613">
        <v>96.04</v>
      </c>
      <c r="I1613">
        <v>93.21</v>
      </c>
      <c r="J1613">
        <v>77.23</v>
      </c>
      <c r="K1613" t="s">
        <v>28</v>
      </c>
      <c r="L1613">
        <v>8</v>
      </c>
      <c r="M1613">
        <v>4.8</v>
      </c>
      <c r="N1613" t="s">
        <v>29</v>
      </c>
      <c r="O1613">
        <v>15</v>
      </c>
      <c r="P1613" t="s">
        <v>23</v>
      </c>
      <c r="Q1613">
        <v>58.4</v>
      </c>
    </row>
    <row r="1614" spans="1:17" x14ac:dyDescent="0.35">
      <c r="A1614" s="1">
        <v>45826</v>
      </c>
      <c r="B1614" t="s">
        <v>48</v>
      </c>
      <c r="C1614" t="s">
        <v>49</v>
      </c>
      <c r="D1614" t="s">
        <v>50</v>
      </c>
      <c r="E1614" t="s">
        <v>27</v>
      </c>
      <c r="F1614">
        <v>296.75</v>
      </c>
      <c r="G1614">
        <v>27.3</v>
      </c>
      <c r="H1614">
        <v>95.46</v>
      </c>
      <c r="I1614">
        <v>95.27</v>
      </c>
      <c r="J1614">
        <v>81.150000000000006</v>
      </c>
      <c r="K1614" t="s">
        <v>28</v>
      </c>
      <c r="L1614">
        <v>7.6</v>
      </c>
      <c r="M1614">
        <v>2.1</v>
      </c>
      <c r="N1614" t="s">
        <v>29</v>
      </c>
      <c r="O1614">
        <v>14</v>
      </c>
      <c r="P1614" t="s">
        <v>23</v>
      </c>
      <c r="Q1614">
        <v>60.5</v>
      </c>
    </row>
    <row r="1615" spans="1:17" x14ac:dyDescent="0.35">
      <c r="A1615" s="1">
        <v>45826</v>
      </c>
      <c r="B1615" t="s">
        <v>48</v>
      </c>
      <c r="C1615" t="s">
        <v>49</v>
      </c>
      <c r="D1615" t="s">
        <v>50</v>
      </c>
      <c r="E1615" t="s">
        <v>33</v>
      </c>
      <c r="F1615">
        <v>269.88</v>
      </c>
      <c r="G1615">
        <v>164.5</v>
      </c>
      <c r="H1615">
        <v>93.42</v>
      </c>
      <c r="I1615">
        <v>93.67</v>
      </c>
      <c r="J1615">
        <v>76.53</v>
      </c>
      <c r="K1615" t="s">
        <v>28</v>
      </c>
      <c r="L1615">
        <v>8.4</v>
      </c>
      <c r="M1615">
        <v>4.3</v>
      </c>
      <c r="N1615" t="s">
        <v>22</v>
      </c>
      <c r="O1615">
        <v>9</v>
      </c>
      <c r="P1615" t="s">
        <v>43</v>
      </c>
      <c r="Q1615">
        <v>61.7</v>
      </c>
    </row>
    <row r="1616" spans="1:17" x14ac:dyDescent="0.35">
      <c r="A1616" s="1">
        <v>45826</v>
      </c>
      <c r="B1616" t="s">
        <v>59</v>
      </c>
      <c r="C1616" t="s">
        <v>60</v>
      </c>
      <c r="D1616" t="s">
        <v>61</v>
      </c>
      <c r="E1616" t="s">
        <v>62</v>
      </c>
      <c r="F1616">
        <v>348.97</v>
      </c>
      <c r="G1616">
        <v>178.2</v>
      </c>
      <c r="H1616">
        <v>88.11</v>
      </c>
      <c r="I1616">
        <v>94.7</v>
      </c>
      <c r="J1616">
        <v>86.03</v>
      </c>
      <c r="K1616" t="s">
        <v>63</v>
      </c>
      <c r="L1616">
        <v>8</v>
      </c>
      <c r="N1616" t="s">
        <v>35</v>
      </c>
      <c r="O1616">
        <v>4</v>
      </c>
      <c r="P1616" t="s">
        <v>43</v>
      </c>
      <c r="Q1616">
        <v>73.8</v>
      </c>
    </row>
    <row r="1617" spans="1:17" x14ac:dyDescent="0.35">
      <c r="A1617" s="1">
        <v>45826</v>
      </c>
      <c r="B1617" t="s">
        <v>76</v>
      </c>
      <c r="C1617" t="s">
        <v>45</v>
      </c>
      <c r="D1617" t="s">
        <v>77</v>
      </c>
      <c r="E1617" t="s">
        <v>33</v>
      </c>
      <c r="F1617">
        <v>362.62</v>
      </c>
      <c r="G1617">
        <v>475.4</v>
      </c>
      <c r="H1617">
        <v>92.72</v>
      </c>
      <c r="I1617">
        <v>98.3</v>
      </c>
      <c r="J1617">
        <v>73.39</v>
      </c>
      <c r="K1617" t="s">
        <v>47</v>
      </c>
      <c r="L1617">
        <v>7.1</v>
      </c>
      <c r="M1617">
        <v>4.5999999999999996</v>
      </c>
      <c r="N1617" t="s">
        <v>35</v>
      </c>
      <c r="O1617">
        <v>5</v>
      </c>
      <c r="P1617" t="s">
        <v>23</v>
      </c>
      <c r="Q1617">
        <v>59.5</v>
      </c>
    </row>
    <row r="1618" spans="1:17" x14ac:dyDescent="0.35">
      <c r="A1618" s="1">
        <v>45826</v>
      </c>
      <c r="B1618" t="s">
        <v>99</v>
      </c>
      <c r="C1618" t="s">
        <v>72</v>
      </c>
      <c r="D1618" t="s">
        <v>100</v>
      </c>
      <c r="E1618" t="s">
        <v>33</v>
      </c>
      <c r="F1618">
        <v>249.92</v>
      </c>
      <c r="G1618">
        <v>164.7</v>
      </c>
      <c r="H1618">
        <v>95.67</v>
      </c>
      <c r="I1618">
        <v>93.34</v>
      </c>
      <c r="J1618">
        <v>73.09</v>
      </c>
      <c r="K1618" t="s">
        <v>28</v>
      </c>
      <c r="L1618">
        <v>8.1</v>
      </c>
      <c r="M1618">
        <v>3.3</v>
      </c>
      <c r="N1618" t="s">
        <v>22</v>
      </c>
      <c r="O1618">
        <v>9</v>
      </c>
      <c r="P1618" t="s">
        <v>43</v>
      </c>
      <c r="Q1618">
        <v>61.6</v>
      </c>
    </row>
    <row r="1619" spans="1:17" x14ac:dyDescent="0.35">
      <c r="A1619" s="1">
        <v>45826</v>
      </c>
      <c r="B1619" t="s">
        <v>53</v>
      </c>
      <c r="C1619" t="s">
        <v>41</v>
      </c>
      <c r="D1619" t="s">
        <v>54</v>
      </c>
      <c r="E1619" t="s">
        <v>27</v>
      </c>
      <c r="F1619">
        <v>443.67</v>
      </c>
      <c r="G1619">
        <v>30.5</v>
      </c>
      <c r="H1619">
        <v>97.65</v>
      </c>
      <c r="I1619">
        <v>96.07</v>
      </c>
      <c r="J1619">
        <v>82.38</v>
      </c>
      <c r="K1619" t="s">
        <v>47</v>
      </c>
      <c r="L1619">
        <v>8.6999999999999993</v>
      </c>
      <c r="M1619">
        <v>1.6</v>
      </c>
      <c r="N1619" t="s">
        <v>29</v>
      </c>
      <c r="O1619">
        <v>13</v>
      </c>
      <c r="P1619" t="s">
        <v>43</v>
      </c>
      <c r="Q1619">
        <v>63.4</v>
      </c>
    </row>
    <row r="1620" spans="1:17" x14ac:dyDescent="0.35">
      <c r="A1620" s="1">
        <v>45826</v>
      </c>
      <c r="B1620" t="s">
        <v>74</v>
      </c>
      <c r="C1620" t="s">
        <v>67</v>
      </c>
      <c r="D1620" t="s">
        <v>75</v>
      </c>
      <c r="E1620" t="s">
        <v>27</v>
      </c>
      <c r="F1620">
        <v>335.32</v>
      </c>
      <c r="G1620">
        <v>19.100000000000001</v>
      </c>
      <c r="H1620">
        <v>93.96</v>
      </c>
      <c r="I1620">
        <v>94.84</v>
      </c>
      <c r="J1620">
        <v>83.63</v>
      </c>
      <c r="K1620" t="s">
        <v>28</v>
      </c>
      <c r="L1620">
        <v>7.8</v>
      </c>
      <c r="M1620">
        <v>3</v>
      </c>
      <c r="N1620" t="s">
        <v>29</v>
      </c>
      <c r="O1620">
        <v>15</v>
      </c>
      <c r="P1620" t="s">
        <v>43</v>
      </c>
      <c r="Q1620">
        <v>60.1</v>
      </c>
    </row>
    <row r="1621" spans="1:17" x14ac:dyDescent="0.35">
      <c r="A1621" s="1">
        <v>45826</v>
      </c>
      <c r="B1621" t="s">
        <v>76</v>
      </c>
      <c r="C1621" t="s">
        <v>45</v>
      </c>
      <c r="D1621" t="s">
        <v>77</v>
      </c>
      <c r="E1621" t="s">
        <v>33</v>
      </c>
      <c r="F1621">
        <v>584.44000000000005</v>
      </c>
      <c r="G1621">
        <v>608.1</v>
      </c>
      <c r="H1621">
        <v>93.64</v>
      </c>
      <c r="I1621">
        <v>98.68</v>
      </c>
      <c r="J1621">
        <v>71.260000000000005</v>
      </c>
      <c r="K1621" t="s">
        <v>47</v>
      </c>
      <c r="L1621">
        <v>9.1</v>
      </c>
      <c r="M1621">
        <v>2.7</v>
      </c>
      <c r="N1621" t="s">
        <v>22</v>
      </c>
      <c r="O1621">
        <v>8</v>
      </c>
      <c r="P1621" t="s">
        <v>23</v>
      </c>
      <c r="Q1621">
        <v>64</v>
      </c>
    </row>
    <row r="1622" spans="1:17" x14ac:dyDescent="0.35">
      <c r="A1622" s="1">
        <v>45826</v>
      </c>
      <c r="B1622" t="s">
        <v>31</v>
      </c>
      <c r="C1622" t="s">
        <v>18</v>
      </c>
      <c r="D1622" t="s">
        <v>32</v>
      </c>
      <c r="E1622" t="s">
        <v>27</v>
      </c>
      <c r="F1622">
        <v>234.02</v>
      </c>
      <c r="G1622">
        <v>39.200000000000003</v>
      </c>
      <c r="H1622">
        <v>92.91</v>
      </c>
      <c r="I1622">
        <v>93.32</v>
      </c>
      <c r="J1622">
        <v>83.69</v>
      </c>
      <c r="K1622" t="s">
        <v>47</v>
      </c>
      <c r="L1622">
        <v>7.6</v>
      </c>
      <c r="M1622">
        <v>1.5</v>
      </c>
      <c r="N1622" t="s">
        <v>29</v>
      </c>
      <c r="O1622">
        <v>14</v>
      </c>
      <c r="P1622" t="s">
        <v>23</v>
      </c>
      <c r="Q1622">
        <v>60.8</v>
      </c>
    </row>
    <row r="1623" spans="1:17" x14ac:dyDescent="0.35">
      <c r="A1623" s="1">
        <v>45826</v>
      </c>
      <c r="B1623" t="s">
        <v>93</v>
      </c>
      <c r="C1623" t="s">
        <v>37</v>
      </c>
      <c r="D1623" t="s">
        <v>94</v>
      </c>
      <c r="E1623" t="s">
        <v>27</v>
      </c>
      <c r="F1623">
        <v>314.66000000000003</v>
      </c>
      <c r="G1623">
        <v>58.8</v>
      </c>
      <c r="H1623">
        <v>94.99</v>
      </c>
      <c r="I1623">
        <v>96.65</v>
      </c>
      <c r="J1623">
        <v>81.42</v>
      </c>
      <c r="K1623" t="s">
        <v>47</v>
      </c>
      <c r="L1623">
        <v>8</v>
      </c>
      <c r="M1623">
        <v>2.2999999999999998</v>
      </c>
      <c r="N1623" t="s">
        <v>39</v>
      </c>
      <c r="O1623">
        <v>9</v>
      </c>
      <c r="P1623" t="s">
        <v>23</v>
      </c>
      <c r="Q1623">
        <v>61.8</v>
      </c>
    </row>
    <row r="1624" spans="1:17" x14ac:dyDescent="0.35">
      <c r="A1624" s="1">
        <v>45826</v>
      </c>
      <c r="B1624" t="s">
        <v>95</v>
      </c>
      <c r="C1624" t="s">
        <v>49</v>
      </c>
      <c r="D1624" t="s">
        <v>96</v>
      </c>
      <c r="E1624" t="s">
        <v>33</v>
      </c>
      <c r="F1624">
        <v>272.51</v>
      </c>
      <c r="G1624">
        <v>173.3</v>
      </c>
      <c r="H1624">
        <v>97.94</v>
      </c>
      <c r="I1624">
        <v>96.19</v>
      </c>
      <c r="J1624">
        <v>79.73</v>
      </c>
      <c r="K1624" t="s">
        <v>28</v>
      </c>
      <c r="L1624">
        <v>8</v>
      </c>
      <c r="M1624">
        <v>4.3</v>
      </c>
      <c r="N1624" t="s">
        <v>22</v>
      </c>
      <c r="O1624">
        <v>6</v>
      </c>
      <c r="P1624" t="s">
        <v>43</v>
      </c>
      <c r="Q1624">
        <v>62.8</v>
      </c>
    </row>
    <row r="1625" spans="1:17" x14ac:dyDescent="0.35">
      <c r="A1625" s="1">
        <v>45826</v>
      </c>
      <c r="B1625" t="s">
        <v>89</v>
      </c>
      <c r="C1625" t="s">
        <v>67</v>
      </c>
      <c r="D1625" t="s">
        <v>90</v>
      </c>
      <c r="E1625" t="s">
        <v>27</v>
      </c>
      <c r="F1625">
        <v>601.1</v>
      </c>
      <c r="G1625">
        <v>48.6</v>
      </c>
      <c r="H1625">
        <v>94.06</v>
      </c>
      <c r="I1625">
        <v>94.21</v>
      </c>
      <c r="J1625">
        <v>81.05</v>
      </c>
      <c r="K1625" t="s">
        <v>47</v>
      </c>
      <c r="L1625">
        <v>8.6999999999999993</v>
      </c>
      <c r="M1625">
        <v>2</v>
      </c>
      <c r="N1625" t="s">
        <v>29</v>
      </c>
      <c r="O1625">
        <v>10</v>
      </c>
      <c r="P1625" t="s">
        <v>23</v>
      </c>
      <c r="Q1625">
        <v>62.4</v>
      </c>
    </row>
    <row r="1626" spans="1:17" x14ac:dyDescent="0.35">
      <c r="A1626" s="1">
        <v>45826</v>
      </c>
      <c r="B1626" t="s">
        <v>91</v>
      </c>
      <c r="C1626" t="s">
        <v>67</v>
      </c>
      <c r="D1626" t="s">
        <v>92</v>
      </c>
      <c r="E1626" t="s">
        <v>27</v>
      </c>
      <c r="F1626">
        <v>159.76</v>
      </c>
      <c r="G1626">
        <v>65.400000000000006</v>
      </c>
      <c r="H1626">
        <v>94.23</v>
      </c>
      <c r="I1626">
        <v>96.32</v>
      </c>
      <c r="J1626">
        <v>78.03</v>
      </c>
      <c r="K1626" t="s">
        <v>28</v>
      </c>
      <c r="L1626">
        <v>6.6</v>
      </c>
      <c r="M1626">
        <v>1.9</v>
      </c>
      <c r="N1626" t="s">
        <v>39</v>
      </c>
      <c r="O1626">
        <v>11</v>
      </c>
      <c r="P1626" t="s">
        <v>43</v>
      </c>
      <c r="Q1626">
        <v>59.1</v>
      </c>
    </row>
    <row r="1627" spans="1:17" x14ac:dyDescent="0.35">
      <c r="A1627" s="1">
        <v>45826</v>
      </c>
      <c r="B1627" t="s">
        <v>93</v>
      </c>
      <c r="C1627" t="s">
        <v>37</v>
      </c>
      <c r="D1627" t="s">
        <v>94</v>
      </c>
      <c r="E1627" t="s">
        <v>27</v>
      </c>
      <c r="F1627">
        <v>206.12</v>
      </c>
      <c r="G1627">
        <v>34.200000000000003</v>
      </c>
      <c r="H1627">
        <v>95.73</v>
      </c>
      <c r="I1627">
        <v>96.64</v>
      </c>
      <c r="J1627">
        <v>82.12</v>
      </c>
      <c r="K1627" t="s">
        <v>34</v>
      </c>
      <c r="L1627">
        <v>7.4</v>
      </c>
      <c r="M1627">
        <v>1.8</v>
      </c>
      <c r="N1627" t="s">
        <v>29</v>
      </c>
      <c r="O1627">
        <v>10</v>
      </c>
      <c r="P1627" t="s">
        <v>23</v>
      </c>
      <c r="Q1627">
        <v>60.9</v>
      </c>
    </row>
    <row r="1628" spans="1:17" x14ac:dyDescent="0.35">
      <c r="A1628" s="1">
        <v>45826</v>
      </c>
      <c r="B1628" t="s">
        <v>93</v>
      </c>
      <c r="C1628" t="s">
        <v>37</v>
      </c>
      <c r="D1628" t="s">
        <v>94</v>
      </c>
      <c r="E1628" t="s">
        <v>27</v>
      </c>
      <c r="F1628">
        <v>336.33</v>
      </c>
      <c r="G1628">
        <v>57</v>
      </c>
      <c r="H1628">
        <v>93.44</v>
      </c>
      <c r="I1628">
        <v>94.89</v>
      </c>
      <c r="J1628">
        <v>82.13</v>
      </c>
      <c r="K1628" t="s">
        <v>47</v>
      </c>
      <c r="L1628">
        <v>7.5</v>
      </c>
      <c r="M1628">
        <v>2.5</v>
      </c>
      <c r="N1628" t="s">
        <v>39</v>
      </c>
      <c r="O1628">
        <v>11</v>
      </c>
      <c r="P1628" t="s">
        <v>23</v>
      </c>
      <c r="Q1628">
        <v>60.4</v>
      </c>
    </row>
    <row r="1629" spans="1:17" x14ac:dyDescent="0.35">
      <c r="A1629" s="1">
        <v>45826</v>
      </c>
      <c r="B1629" t="s">
        <v>40</v>
      </c>
      <c r="C1629" t="s">
        <v>41</v>
      </c>
      <c r="D1629" t="s">
        <v>42</v>
      </c>
      <c r="E1629" t="s">
        <v>27</v>
      </c>
      <c r="F1629">
        <v>241.42</v>
      </c>
      <c r="G1629">
        <v>66.099999999999994</v>
      </c>
      <c r="H1629">
        <v>92.87</v>
      </c>
      <c r="I1629">
        <v>97.6</v>
      </c>
      <c r="J1629">
        <v>78.7</v>
      </c>
      <c r="K1629" t="s">
        <v>34</v>
      </c>
      <c r="L1629">
        <v>7.4</v>
      </c>
      <c r="M1629">
        <v>3.8</v>
      </c>
      <c r="N1629" t="s">
        <v>39</v>
      </c>
      <c r="O1629">
        <v>13</v>
      </c>
      <c r="P1629" t="s">
        <v>43</v>
      </c>
      <c r="Q1629">
        <v>59.3</v>
      </c>
    </row>
    <row r="1630" spans="1:17" x14ac:dyDescent="0.35">
      <c r="A1630" s="1">
        <v>45826</v>
      </c>
      <c r="B1630" t="s">
        <v>40</v>
      </c>
      <c r="C1630" t="s">
        <v>41</v>
      </c>
      <c r="D1630" t="s">
        <v>42</v>
      </c>
      <c r="E1630" t="s">
        <v>27</v>
      </c>
      <c r="F1630">
        <v>345.02</v>
      </c>
      <c r="G1630">
        <v>71.8</v>
      </c>
      <c r="H1630">
        <v>94.08</v>
      </c>
      <c r="I1630">
        <v>98.48</v>
      </c>
      <c r="J1630">
        <v>83.58</v>
      </c>
      <c r="K1630" t="s">
        <v>28</v>
      </c>
      <c r="L1630">
        <v>7.2</v>
      </c>
      <c r="M1630">
        <v>4.4000000000000004</v>
      </c>
      <c r="N1630" t="s">
        <v>39</v>
      </c>
      <c r="O1630">
        <v>10</v>
      </c>
      <c r="P1630" t="s">
        <v>43</v>
      </c>
      <c r="Q1630">
        <v>59.8</v>
      </c>
    </row>
    <row r="1631" spans="1:17" x14ac:dyDescent="0.35">
      <c r="A1631" s="1">
        <v>45826</v>
      </c>
      <c r="B1631" t="s">
        <v>93</v>
      </c>
      <c r="C1631" t="s">
        <v>37</v>
      </c>
      <c r="D1631" t="s">
        <v>94</v>
      </c>
      <c r="E1631" t="s">
        <v>27</v>
      </c>
      <c r="F1631">
        <v>360.26</v>
      </c>
      <c r="G1631">
        <v>40.9</v>
      </c>
      <c r="H1631">
        <v>97.47</v>
      </c>
      <c r="I1631">
        <v>94.81</v>
      </c>
      <c r="J1631">
        <v>75.010000000000005</v>
      </c>
      <c r="K1631" t="s">
        <v>34</v>
      </c>
      <c r="L1631">
        <v>8.4</v>
      </c>
      <c r="M1631">
        <v>3.7</v>
      </c>
      <c r="N1631" t="s">
        <v>39</v>
      </c>
      <c r="O1631">
        <v>10</v>
      </c>
      <c r="P1631" t="s">
        <v>23</v>
      </c>
      <c r="Q1631">
        <v>60.2</v>
      </c>
    </row>
    <row r="1632" spans="1:17" x14ac:dyDescent="0.35">
      <c r="A1632" s="1">
        <v>45826</v>
      </c>
      <c r="B1632" t="s">
        <v>71</v>
      </c>
      <c r="C1632" t="s">
        <v>72</v>
      </c>
      <c r="D1632" t="s">
        <v>73</v>
      </c>
      <c r="E1632" t="s">
        <v>27</v>
      </c>
      <c r="F1632">
        <v>80.55</v>
      </c>
      <c r="G1632">
        <v>51.7</v>
      </c>
      <c r="H1632">
        <v>95.51</v>
      </c>
      <c r="I1632">
        <v>95.85</v>
      </c>
      <c r="J1632">
        <v>78.81</v>
      </c>
      <c r="K1632" t="s">
        <v>28</v>
      </c>
      <c r="L1632">
        <v>7.1</v>
      </c>
      <c r="M1632">
        <v>3.1</v>
      </c>
      <c r="N1632" t="s">
        <v>39</v>
      </c>
      <c r="O1632">
        <v>9</v>
      </c>
      <c r="P1632" t="s">
        <v>43</v>
      </c>
      <c r="Q1632">
        <v>59.2</v>
      </c>
    </row>
    <row r="1633" spans="1:17" x14ac:dyDescent="0.35">
      <c r="A1633" s="1">
        <v>45826</v>
      </c>
      <c r="B1633" t="s">
        <v>76</v>
      </c>
      <c r="C1633" t="s">
        <v>45</v>
      </c>
      <c r="D1633" t="s">
        <v>77</v>
      </c>
      <c r="E1633" t="s">
        <v>27</v>
      </c>
      <c r="F1633">
        <v>939.94</v>
      </c>
      <c r="G1633">
        <v>272.60000000000002</v>
      </c>
      <c r="H1633">
        <v>96.3</v>
      </c>
      <c r="I1633">
        <v>98.71</v>
      </c>
      <c r="J1633">
        <v>84.23</v>
      </c>
      <c r="K1633" t="s">
        <v>28</v>
      </c>
      <c r="L1633">
        <v>8.1999999999999993</v>
      </c>
      <c r="M1633">
        <v>4.9000000000000004</v>
      </c>
      <c r="N1633" t="s">
        <v>29</v>
      </c>
      <c r="O1633">
        <v>14</v>
      </c>
      <c r="P1633" t="s">
        <v>23</v>
      </c>
      <c r="Q1633">
        <v>63.6</v>
      </c>
    </row>
    <row r="1634" spans="1:17" x14ac:dyDescent="0.35">
      <c r="A1634" s="1">
        <v>45826</v>
      </c>
      <c r="B1634" t="s">
        <v>59</v>
      </c>
      <c r="C1634" t="s">
        <v>60</v>
      </c>
      <c r="D1634" t="s">
        <v>61</v>
      </c>
      <c r="E1634" t="s">
        <v>62</v>
      </c>
      <c r="F1634">
        <v>541.36</v>
      </c>
      <c r="G1634">
        <v>174.9</v>
      </c>
      <c r="H1634">
        <v>90.1</v>
      </c>
      <c r="I1634">
        <v>93.87</v>
      </c>
      <c r="J1634">
        <v>86.16</v>
      </c>
      <c r="K1634" t="s">
        <v>63</v>
      </c>
      <c r="L1634">
        <v>8</v>
      </c>
      <c r="N1634" t="s">
        <v>35</v>
      </c>
      <c r="O1634">
        <v>4</v>
      </c>
      <c r="P1634" t="s">
        <v>23</v>
      </c>
      <c r="Q1634">
        <v>74</v>
      </c>
    </row>
    <row r="1635" spans="1:17" x14ac:dyDescent="0.35">
      <c r="A1635" s="1">
        <v>45826</v>
      </c>
      <c r="B1635" t="s">
        <v>78</v>
      </c>
      <c r="C1635" t="s">
        <v>41</v>
      </c>
      <c r="D1635" t="s">
        <v>79</v>
      </c>
      <c r="E1635" t="s">
        <v>27</v>
      </c>
      <c r="F1635">
        <v>249.57</v>
      </c>
      <c r="G1635">
        <v>61.5</v>
      </c>
      <c r="H1635">
        <v>93.46</v>
      </c>
      <c r="I1635">
        <v>97.24</v>
      </c>
      <c r="J1635">
        <v>80.91</v>
      </c>
      <c r="K1635" t="s">
        <v>28</v>
      </c>
      <c r="L1635">
        <v>7.4</v>
      </c>
      <c r="M1635">
        <v>5</v>
      </c>
      <c r="N1635" t="s">
        <v>39</v>
      </c>
      <c r="O1635">
        <v>15</v>
      </c>
      <c r="P1635" t="s">
        <v>43</v>
      </c>
      <c r="Q1635">
        <v>58.8</v>
      </c>
    </row>
    <row r="1636" spans="1:17" x14ac:dyDescent="0.35">
      <c r="A1636" s="1">
        <v>45826</v>
      </c>
      <c r="B1636" t="s">
        <v>48</v>
      </c>
      <c r="C1636" t="s">
        <v>49</v>
      </c>
      <c r="D1636" t="s">
        <v>50</v>
      </c>
      <c r="E1636" t="s">
        <v>27</v>
      </c>
      <c r="F1636">
        <v>330.48</v>
      </c>
      <c r="G1636">
        <v>35.700000000000003</v>
      </c>
      <c r="H1636">
        <v>95.28</v>
      </c>
      <c r="I1636">
        <v>95.64</v>
      </c>
      <c r="J1636">
        <v>80.569999999999993</v>
      </c>
      <c r="K1636" t="s">
        <v>34</v>
      </c>
      <c r="L1636">
        <v>8</v>
      </c>
      <c r="M1636">
        <v>2</v>
      </c>
      <c r="N1636" t="s">
        <v>39</v>
      </c>
      <c r="O1636">
        <v>13</v>
      </c>
      <c r="P1636" t="s">
        <v>23</v>
      </c>
      <c r="Q1636">
        <v>61.3</v>
      </c>
    </row>
    <row r="1637" spans="1:17" x14ac:dyDescent="0.35">
      <c r="A1637" s="1">
        <v>45826</v>
      </c>
      <c r="B1637" t="s">
        <v>66</v>
      </c>
      <c r="C1637" t="s">
        <v>67</v>
      </c>
      <c r="D1637" t="s">
        <v>68</v>
      </c>
      <c r="E1637" t="s">
        <v>27</v>
      </c>
      <c r="F1637">
        <v>390.78</v>
      </c>
      <c r="G1637">
        <v>18.899999999999999</v>
      </c>
      <c r="H1637">
        <v>93.47</v>
      </c>
      <c r="I1637">
        <v>93.62</v>
      </c>
      <c r="J1637">
        <v>78.930000000000007</v>
      </c>
      <c r="K1637" t="s">
        <v>28</v>
      </c>
      <c r="L1637">
        <v>8.3000000000000007</v>
      </c>
      <c r="M1637">
        <v>3.2</v>
      </c>
      <c r="N1637" t="s">
        <v>29</v>
      </c>
      <c r="O1637">
        <v>14</v>
      </c>
      <c r="P1637" t="s">
        <v>43</v>
      </c>
      <c r="Q1637">
        <v>59.7</v>
      </c>
    </row>
    <row r="1638" spans="1:17" x14ac:dyDescent="0.35">
      <c r="A1638" s="1">
        <v>45826</v>
      </c>
      <c r="B1638" t="s">
        <v>74</v>
      </c>
      <c r="C1638" t="s">
        <v>67</v>
      </c>
      <c r="D1638" t="s">
        <v>75</v>
      </c>
      <c r="E1638" t="s">
        <v>27</v>
      </c>
      <c r="F1638">
        <v>766.53</v>
      </c>
      <c r="G1638">
        <v>28.5</v>
      </c>
      <c r="H1638">
        <v>95.65</v>
      </c>
      <c r="I1638">
        <v>95.02</v>
      </c>
      <c r="J1638">
        <v>78.02</v>
      </c>
      <c r="K1638" t="s">
        <v>34</v>
      </c>
      <c r="L1638">
        <v>8.6999999999999993</v>
      </c>
      <c r="M1638">
        <v>2.5</v>
      </c>
      <c r="N1638" t="s">
        <v>29</v>
      </c>
      <c r="O1638">
        <v>13</v>
      </c>
      <c r="P1638" t="s">
        <v>43</v>
      </c>
      <c r="Q1638">
        <v>61.5</v>
      </c>
    </row>
    <row r="1639" spans="1:17" x14ac:dyDescent="0.35">
      <c r="A1639" s="1">
        <v>45826</v>
      </c>
      <c r="B1639" t="s">
        <v>24</v>
      </c>
      <c r="C1639" t="s">
        <v>25</v>
      </c>
      <c r="D1639" t="s">
        <v>26</v>
      </c>
      <c r="E1639" t="s">
        <v>27</v>
      </c>
      <c r="F1639">
        <v>430.02</v>
      </c>
      <c r="G1639">
        <v>71.3</v>
      </c>
      <c r="H1639">
        <v>97.6</v>
      </c>
      <c r="I1639">
        <v>97.62</v>
      </c>
      <c r="J1639">
        <v>79.16</v>
      </c>
      <c r="K1639" t="s">
        <v>47</v>
      </c>
      <c r="L1639">
        <v>9.5</v>
      </c>
      <c r="M1639">
        <v>4.5</v>
      </c>
      <c r="N1639" t="s">
        <v>29</v>
      </c>
      <c r="O1639">
        <v>9</v>
      </c>
      <c r="P1639" t="s">
        <v>30</v>
      </c>
      <c r="Q1639">
        <v>63.3</v>
      </c>
    </row>
    <row r="1640" spans="1:17" x14ac:dyDescent="0.35">
      <c r="A1640" s="1">
        <v>45826</v>
      </c>
      <c r="B1640" t="s">
        <v>55</v>
      </c>
      <c r="C1640" t="s">
        <v>56</v>
      </c>
      <c r="D1640">
        <v>4</v>
      </c>
      <c r="E1640" t="s">
        <v>57</v>
      </c>
      <c r="F1640">
        <v>30</v>
      </c>
      <c r="G1640">
        <v>151.4</v>
      </c>
      <c r="H1640">
        <v>90.5</v>
      </c>
      <c r="I1640">
        <v>96.86</v>
      </c>
      <c r="J1640">
        <v>74.37</v>
      </c>
      <c r="K1640" t="s">
        <v>58</v>
      </c>
      <c r="L1640">
        <v>6.4</v>
      </c>
      <c r="N1640" t="s">
        <v>35</v>
      </c>
      <c r="O1640">
        <v>2</v>
      </c>
      <c r="P1640" t="s">
        <v>23</v>
      </c>
      <c r="Q1640">
        <v>68.8</v>
      </c>
    </row>
    <row r="1641" spans="1:17" x14ac:dyDescent="0.35">
      <c r="A1641" s="1">
        <v>45826</v>
      </c>
      <c r="B1641" t="s">
        <v>84</v>
      </c>
      <c r="C1641" t="s">
        <v>18</v>
      </c>
      <c r="D1641" t="s">
        <v>85</v>
      </c>
      <c r="E1641" t="s">
        <v>27</v>
      </c>
      <c r="F1641">
        <v>185.29</v>
      </c>
      <c r="G1641">
        <v>31.1</v>
      </c>
      <c r="H1641">
        <v>96.69</v>
      </c>
      <c r="I1641">
        <v>94.03</v>
      </c>
      <c r="J1641">
        <v>79.040000000000006</v>
      </c>
      <c r="K1641" t="s">
        <v>34</v>
      </c>
      <c r="L1641">
        <v>7.6</v>
      </c>
      <c r="M1641">
        <v>4.5</v>
      </c>
      <c r="N1641" t="s">
        <v>29</v>
      </c>
      <c r="O1641">
        <v>14</v>
      </c>
      <c r="P1641" t="s">
        <v>23</v>
      </c>
      <c r="Q1641">
        <v>58.6</v>
      </c>
    </row>
    <row r="1642" spans="1:17" x14ac:dyDescent="0.35">
      <c r="A1642" s="1">
        <v>45826</v>
      </c>
      <c r="B1642" t="s">
        <v>66</v>
      </c>
      <c r="C1642" t="s">
        <v>67</v>
      </c>
      <c r="D1642" t="s">
        <v>68</v>
      </c>
      <c r="E1642" t="s">
        <v>27</v>
      </c>
      <c r="F1642">
        <v>495.68</v>
      </c>
      <c r="G1642">
        <v>63.8</v>
      </c>
      <c r="H1642">
        <v>94.29</v>
      </c>
      <c r="I1642">
        <v>93.26</v>
      </c>
      <c r="J1642">
        <v>82.24</v>
      </c>
      <c r="K1642" t="s">
        <v>47</v>
      </c>
      <c r="L1642">
        <v>8.8000000000000007</v>
      </c>
      <c r="M1642">
        <v>4.4000000000000004</v>
      </c>
      <c r="N1642" t="s">
        <v>29</v>
      </c>
      <c r="O1642">
        <v>13</v>
      </c>
      <c r="P1642" t="s">
        <v>43</v>
      </c>
      <c r="Q1642">
        <v>61.3</v>
      </c>
    </row>
    <row r="1643" spans="1:17" x14ac:dyDescent="0.35">
      <c r="A1643" s="1">
        <v>45826</v>
      </c>
      <c r="B1643" t="s">
        <v>44</v>
      </c>
      <c r="C1643" t="s">
        <v>45</v>
      </c>
      <c r="D1643" t="s">
        <v>46</v>
      </c>
      <c r="E1643" t="s">
        <v>27</v>
      </c>
      <c r="F1643">
        <v>772.76</v>
      </c>
      <c r="G1643">
        <v>461.5</v>
      </c>
      <c r="H1643">
        <v>97.15</v>
      </c>
      <c r="I1643">
        <v>99.3</v>
      </c>
      <c r="J1643">
        <v>80.290000000000006</v>
      </c>
      <c r="K1643" t="s">
        <v>28</v>
      </c>
      <c r="L1643">
        <v>8.6</v>
      </c>
      <c r="M1643">
        <v>2.7</v>
      </c>
      <c r="N1643" t="s">
        <v>29</v>
      </c>
      <c r="O1643">
        <v>15</v>
      </c>
      <c r="P1643" t="s">
        <v>23</v>
      </c>
      <c r="Q1643">
        <v>65.3</v>
      </c>
    </row>
    <row r="1644" spans="1:17" x14ac:dyDescent="0.35">
      <c r="A1644" s="1">
        <v>45826</v>
      </c>
      <c r="B1644" t="s">
        <v>64</v>
      </c>
      <c r="C1644" t="s">
        <v>25</v>
      </c>
      <c r="D1644" t="s">
        <v>65</v>
      </c>
      <c r="E1644" t="s">
        <v>27</v>
      </c>
      <c r="F1644">
        <v>457.77</v>
      </c>
      <c r="G1644">
        <v>55.7</v>
      </c>
      <c r="H1644">
        <v>92.98</v>
      </c>
      <c r="I1644">
        <v>97.14</v>
      </c>
      <c r="J1644">
        <v>79.36</v>
      </c>
      <c r="K1644" t="s">
        <v>47</v>
      </c>
      <c r="L1644">
        <v>9.3000000000000007</v>
      </c>
      <c r="M1644">
        <v>2.1</v>
      </c>
      <c r="N1644" t="s">
        <v>39</v>
      </c>
      <c r="O1644">
        <v>11</v>
      </c>
      <c r="P1644" t="s">
        <v>30</v>
      </c>
      <c r="Q1644">
        <v>63.5</v>
      </c>
    </row>
    <row r="1645" spans="1:17" x14ac:dyDescent="0.35">
      <c r="A1645" s="1">
        <v>45826</v>
      </c>
      <c r="B1645" t="s">
        <v>84</v>
      </c>
      <c r="C1645" t="s">
        <v>18</v>
      </c>
      <c r="D1645" t="s">
        <v>85</v>
      </c>
      <c r="E1645" t="s">
        <v>27</v>
      </c>
      <c r="F1645">
        <v>162.97</v>
      </c>
      <c r="G1645">
        <v>56.9</v>
      </c>
      <c r="H1645">
        <v>92.15</v>
      </c>
      <c r="I1645">
        <v>94.76</v>
      </c>
      <c r="J1645">
        <v>83.43</v>
      </c>
      <c r="K1645" t="s">
        <v>28</v>
      </c>
      <c r="L1645">
        <v>7.1</v>
      </c>
      <c r="M1645">
        <v>3.4</v>
      </c>
      <c r="N1645" t="s">
        <v>29</v>
      </c>
      <c r="O1645">
        <v>13</v>
      </c>
      <c r="P1645" t="s">
        <v>23</v>
      </c>
      <c r="Q1645">
        <v>59.1</v>
      </c>
    </row>
    <row r="1646" spans="1:17" x14ac:dyDescent="0.35">
      <c r="A1646" s="1">
        <v>45826</v>
      </c>
      <c r="B1646" t="s">
        <v>101</v>
      </c>
      <c r="C1646" t="s">
        <v>45</v>
      </c>
      <c r="D1646" t="s">
        <v>102</v>
      </c>
      <c r="E1646" t="s">
        <v>33</v>
      </c>
      <c r="F1646">
        <v>739.01</v>
      </c>
      <c r="G1646">
        <v>1445.5</v>
      </c>
      <c r="H1646">
        <v>96.11</v>
      </c>
      <c r="I1646">
        <v>98.54</v>
      </c>
      <c r="J1646">
        <v>73.540000000000006</v>
      </c>
      <c r="K1646" t="s">
        <v>47</v>
      </c>
      <c r="L1646">
        <v>8.6</v>
      </c>
      <c r="M1646">
        <v>2.9</v>
      </c>
      <c r="N1646" t="s">
        <v>35</v>
      </c>
      <c r="O1646">
        <v>9</v>
      </c>
      <c r="P1646" t="s">
        <v>23</v>
      </c>
      <c r="Q1646">
        <v>63.8</v>
      </c>
    </row>
    <row r="1647" spans="1:17" x14ac:dyDescent="0.35">
      <c r="A1647" s="1">
        <v>45826</v>
      </c>
      <c r="B1647" t="s">
        <v>31</v>
      </c>
      <c r="C1647" t="s">
        <v>18</v>
      </c>
      <c r="D1647" t="s">
        <v>32</v>
      </c>
      <c r="E1647" t="s">
        <v>33</v>
      </c>
      <c r="F1647">
        <v>278.20999999999998</v>
      </c>
      <c r="G1647">
        <v>120.5</v>
      </c>
      <c r="H1647">
        <v>97.5</v>
      </c>
      <c r="I1647">
        <v>93.94</v>
      </c>
      <c r="J1647">
        <v>75.53</v>
      </c>
      <c r="K1647" t="s">
        <v>34</v>
      </c>
      <c r="L1647">
        <v>8</v>
      </c>
      <c r="M1647">
        <v>3.7</v>
      </c>
      <c r="N1647" t="s">
        <v>35</v>
      </c>
      <c r="O1647">
        <v>9</v>
      </c>
      <c r="P1647" t="s">
        <v>23</v>
      </c>
      <c r="Q1647">
        <v>61.1</v>
      </c>
    </row>
    <row r="1648" spans="1:17" x14ac:dyDescent="0.35">
      <c r="A1648" s="1">
        <v>45826</v>
      </c>
      <c r="B1648" t="s">
        <v>24</v>
      </c>
      <c r="C1648" t="s">
        <v>25</v>
      </c>
      <c r="D1648" t="s">
        <v>26</v>
      </c>
      <c r="E1648" t="s">
        <v>27</v>
      </c>
      <c r="F1648">
        <v>821.41</v>
      </c>
      <c r="G1648">
        <v>61.9</v>
      </c>
      <c r="H1648">
        <v>92.1</v>
      </c>
      <c r="I1648">
        <v>96.9</v>
      </c>
      <c r="J1648">
        <v>75.459999999999994</v>
      </c>
      <c r="K1648" t="s">
        <v>28</v>
      </c>
      <c r="L1648">
        <v>8.5</v>
      </c>
      <c r="M1648">
        <v>3.1</v>
      </c>
      <c r="N1648" t="s">
        <v>39</v>
      </c>
      <c r="O1648">
        <v>14</v>
      </c>
      <c r="P1648" t="s">
        <v>30</v>
      </c>
      <c r="Q1648">
        <v>60.7</v>
      </c>
    </row>
    <row r="1649" spans="1:17" x14ac:dyDescent="0.35">
      <c r="A1649" s="1">
        <v>45826</v>
      </c>
      <c r="B1649" t="s">
        <v>78</v>
      </c>
      <c r="C1649" t="s">
        <v>41</v>
      </c>
      <c r="D1649" t="s">
        <v>79</v>
      </c>
      <c r="E1649" t="s">
        <v>27</v>
      </c>
      <c r="F1649">
        <v>461.19</v>
      </c>
      <c r="G1649">
        <v>31</v>
      </c>
      <c r="H1649">
        <v>95.72</v>
      </c>
      <c r="I1649">
        <v>96.63</v>
      </c>
      <c r="J1649">
        <v>78.540000000000006</v>
      </c>
      <c r="K1649" t="s">
        <v>34</v>
      </c>
      <c r="L1649">
        <v>8.1</v>
      </c>
      <c r="M1649">
        <v>4.9000000000000004</v>
      </c>
      <c r="N1649" t="s">
        <v>29</v>
      </c>
      <c r="O1649">
        <v>11</v>
      </c>
      <c r="P1649" t="s">
        <v>43</v>
      </c>
      <c r="Q1649">
        <v>59.3</v>
      </c>
    </row>
    <row r="1650" spans="1:17" x14ac:dyDescent="0.35">
      <c r="A1650" s="1">
        <v>45826</v>
      </c>
      <c r="B1650" t="s">
        <v>69</v>
      </c>
      <c r="C1650" t="s">
        <v>18</v>
      </c>
      <c r="D1650" t="s">
        <v>70</v>
      </c>
      <c r="E1650" t="s">
        <v>20</v>
      </c>
      <c r="F1650">
        <v>268.04000000000002</v>
      </c>
      <c r="G1650">
        <v>236.4</v>
      </c>
      <c r="H1650">
        <v>91.24</v>
      </c>
      <c r="I1650">
        <v>95.88</v>
      </c>
      <c r="J1650">
        <v>74.239999999999995</v>
      </c>
      <c r="K1650" t="s">
        <v>63</v>
      </c>
      <c r="L1650">
        <v>8.1999999999999993</v>
      </c>
      <c r="N1650" t="s">
        <v>35</v>
      </c>
      <c r="O1650">
        <v>7</v>
      </c>
      <c r="P1650" t="s">
        <v>23</v>
      </c>
      <c r="Q1650">
        <v>72.7</v>
      </c>
    </row>
    <row r="1651" spans="1:17" x14ac:dyDescent="0.35">
      <c r="A1651" s="1">
        <v>45826</v>
      </c>
      <c r="B1651" t="s">
        <v>31</v>
      </c>
      <c r="C1651" t="s">
        <v>18</v>
      </c>
      <c r="D1651" t="s">
        <v>32</v>
      </c>
      <c r="E1651" t="s">
        <v>33</v>
      </c>
      <c r="F1651">
        <v>180.06</v>
      </c>
      <c r="G1651">
        <v>135.30000000000001</v>
      </c>
      <c r="H1651">
        <v>94.94</v>
      </c>
      <c r="I1651">
        <v>94.96</v>
      </c>
      <c r="J1651">
        <v>73.22</v>
      </c>
      <c r="K1651" t="s">
        <v>34</v>
      </c>
      <c r="L1651">
        <v>7.2</v>
      </c>
      <c r="M1651">
        <v>2.6</v>
      </c>
      <c r="N1651" t="s">
        <v>22</v>
      </c>
      <c r="O1651">
        <v>7</v>
      </c>
      <c r="P1651" t="s">
        <v>23</v>
      </c>
      <c r="Q1651">
        <v>60.1</v>
      </c>
    </row>
    <row r="1652" spans="1:17" x14ac:dyDescent="0.35">
      <c r="A1652" s="1">
        <v>45826</v>
      </c>
      <c r="B1652" t="s">
        <v>84</v>
      </c>
      <c r="C1652" t="s">
        <v>18</v>
      </c>
      <c r="D1652" t="s">
        <v>85</v>
      </c>
      <c r="E1652" t="s">
        <v>33</v>
      </c>
      <c r="F1652">
        <v>293.39</v>
      </c>
      <c r="G1652">
        <v>96.3</v>
      </c>
      <c r="H1652">
        <v>94.78</v>
      </c>
      <c r="I1652">
        <v>93.23</v>
      </c>
      <c r="J1652">
        <v>74.13</v>
      </c>
      <c r="K1652" t="s">
        <v>34</v>
      </c>
      <c r="L1652">
        <v>7.8</v>
      </c>
      <c r="M1652">
        <v>2</v>
      </c>
      <c r="N1652" t="s">
        <v>35</v>
      </c>
      <c r="O1652">
        <v>6</v>
      </c>
      <c r="P1652" t="s">
        <v>23</v>
      </c>
      <c r="Q1652">
        <v>60.6</v>
      </c>
    </row>
    <row r="1653" spans="1:17" x14ac:dyDescent="0.35">
      <c r="A1653" s="1">
        <v>45826</v>
      </c>
      <c r="B1653" t="s">
        <v>86</v>
      </c>
      <c r="C1653" t="s">
        <v>25</v>
      </c>
      <c r="D1653" t="s">
        <v>87</v>
      </c>
      <c r="E1653" t="s">
        <v>27</v>
      </c>
      <c r="F1653">
        <v>816.25</v>
      </c>
      <c r="G1653">
        <v>28.8</v>
      </c>
      <c r="H1653">
        <v>92.12</v>
      </c>
      <c r="I1653">
        <v>96.38</v>
      </c>
      <c r="J1653">
        <v>76.260000000000005</v>
      </c>
      <c r="K1653" t="s">
        <v>28</v>
      </c>
      <c r="L1653">
        <v>8.1999999999999993</v>
      </c>
      <c r="M1653">
        <v>4.8</v>
      </c>
      <c r="N1653" t="s">
        <v>29</v>
      </c>
      <c r="O1653">
        <v>12</v>
      </c>
      <c r="P1653" t="s">
        <v>30</v>
      </c>
      <c r="Q1653">
        <v>58.5</v>
      </c>
    </row>
    <row r="1654" spans="1:17" x14ac:dyDescent="0.35">
      <c r="A1654" s="1">
        <v>45826</v>
      </c>
      <c r="B1654" t="s">
        <v>66</v>
      </c>
      <c r="C1654" t="s">
        <v>67</v>
      </c>
      <c r="D1654" t="s">
        <v>68</v>
      </c>
      <c r="E1654" t="s">
        <v>27</v>
      </c>
      <c r="F1654">
        <v>129.76</v>
      </c>
      <c r="G1654">
        <v>65.8</v>
      </c>
      <c r="H1654">
        <v>94.47</v>
      </c>
      <c r="I1654">
        <v>96.07</v>
      </c>
      <c r="J1654">
        <v>80</v>
      </c>
      <c r="K1654" t="s">
        <v>47</v>
      </c>
      <c r="L1654">
        <v>7.4</v>
      </c>
      <c r="M1654">
        <v>4.3</v>
      </c>
      <c r="N1654" t="s">
        <v>39</v>
      </c>
      <c r="O1654">
        <v>10</v>
      </c>
      <c r="P1654" t="s">
        <v>23</v>
      </c>
      <c r="Q1654">
        <v>59.2</v>
      </c>
    </row>
    <row r="1655" spans="1:17" x14ac:dyDescent="0.35">
      <c r="A1655" s="1">
        <v>45826</v>
      </c>
      <c r="B1655" t="s">
        <v>40</v>
      </c>
      <c r="C1655" t="s">
        <v>41</v>
      </c>
      <c r="D1655" t="s">
        <v>42</v>
      </c>
      <c r="E1655" t="s">
        <v>27</v>
      </c>
      <c r="F1655">
        <v>361.18</v>
      </c>
      <c r="G1655">
        <v>52.1</v>
      </c>
      <c r="H1655">
        <v>94.33</v>
      </c>
      <c r="I1655">
        <v>98.31</v>
      </c>
      <c r="J1655">
        <v>82.71</v>
      </c>
      <c r="K1655" t="s">
        <v>47</v>
      </c>
      <c r="L1655">
        <v>7.5</v>
      </c>
      <c r="M1655">
        <v>3.7</v>
      </c>
      <c r="N1655" t="s">
        <v>39</v>
      </c>
      <c r="O1655">
        <v>13</v>
      </c>
      <c r="P1655" t="s">
        <v>43</v>
      </c>
      <c r="Q1655">
        <v>60.3</v>
      </c>
    </row>
    <row r="1656" spans="1:17" x14ac:dyDescent="0.35">
      <c r="A1656" s="1">
        <v>45826</v>
      </c>
      <c r="B1656" t="s">
        <v>44</v>
      </c>
      <c r="C1656" t="s">
        <v>45</v>
      </c>
      <c r="D1656" t="s">
        <v>46</v>
      </c>
      <c r="E1656" t="s">
        <v>33</v>
      </c>
      <c r="F1656">
        <v>221.85</v>
      </c>
      <c r="G1656">
        <v>299.8</v>
      </c>
      <c r="H1656">
        <v>92.39</v>
      </c>
      <c r="I1656">
        <v>98.04</v>
      </c>
      <c r="J1656">
        <v>72.349999999999994</v>
      </c>
      <c r="K1656" t="s">
        <v>34</v>
      </c>
      <c r="L1656">
        <v>8</v>
      </c>
      <c r="M1656">
        <v>1.9</v>
      </c>
      <c r="N1656" t="s">
        <v>35</v>
      </c>
      <c r="O1656">
        <v>5</v>
      </c>
      <c r="P1656" t="s">
        <v>23</v>
      </c>
      <c r="Q1656">
        <v>62.5</v>
      </c>
    </row>
    <row r="1657" spans="1:17" x14ac:dyDescent="0.35">
      <c r="A1657" s="1">
        <v>45826</v>
      </c>
      <c r="B1657" t="s">
        <v>40</v>
      </c>
      <c r="C1657" t="s">
        <v>41</v>
      </c>
      <c r="D1657" t="s">
        <v>42</v>
      </c>
      <c r="E1657" t="s">
        <v>27</v>
      </c>
      <c r="F1657">
        <v>531.20000000000005</v>
      </c>
      <c r="G1657">
        <v>39.799999999999997</v>
      </c>
      <c r="H1657">
        <v>95.31</v>
      </c>
      <c r="I1657">
        <v>97.61</v>
      </c>
      <c r="J1657">
        <v>84.43</v>
      </c>
      <c r="K1657" t="s">
        <v>47</v>
      </c>
      <c r="L1657">
        <v>8.3000000000000007</v>
      </c>
      <c r="M1657">
        <v>4.2</v>
      </c>
      <c r="N1657" t="s">
        <v>39</v>
      </c>
      <c r="O1657">
        <v>15</v>
      </c>
      <c r="P1657" t="s">
        <v>43</v>
      </c>
      <c r="Q1657">
        <v>61.4</v>
      </c>
    </row>
    <row r="1658" spans="1:17" x14ac:dyDescent="0.35">
      <c r="A1658" s="1">
        <v>45826</v>
      </c>
      <c r="B1658" t="s">
        <v>31</v>
      </c>
      <c r="C1658" t="s">
        <v>18</v>
      </c>
      <c r="D1658" t="s">
        <v>32</v>
      </c>
      <c r="E1658" t="s">
        <v>27</v>
      </c>
      <c r="F1658">
        <v>90.67</v>
      </c>
      <c r="G1658">
        <v>47.2</v>
      </c>
      <c r="H1658">
        <v>94.75</v>
      </c>
      <c r="I1658">
        <v>96.79</v>
      </c>
      <c r="J1658">
        <v>83</v>
      </c>
      <c r="K1658" t="s">
        <v>28</v>
      </c>
      <c r="L1658">
        <v>7.6</v>
      </c>
      <c r="M1658">
        <v>4.7</v>
      </c>
      <c r="N1658" t="s">
        <v>29</v>
      </c>
      <c r="O1658">
        <v>15</v>
      </c>
      <c r="P1658" t="s">
        <v>23</v>
      </c>
      <c r="Q1658">
        <v>59.6</v>
      </c>
    </row>
    <row r="1659" spans="1:17" x14ac:dyDescent="0.35">
      <c r="A1659" s="1">
        <v>45826</v>
      </c>
      <c r="B1659" t="s">
        <v>66</v>
      </c>
      <c r="C1659" t="s">
        <v>67</v>
      </c>
      <c r="D1659" t="s">
        <v>68</v>
      </c>
      <c r="E1659" t="s">
        <v>27</v>
      </c>
      <c r="F1659">
        <v>549.52</v>
      </c>
      <c r="G1659">
        <v>59.1</v>
      </c>
      <c r="H1659">
        <v>95.13</v>
      </c>
      <c r="I1659">
        <v>96.91</v>
      </c>
      <c r="J1659">
        <v>81.48</v>
      </c>
      <c r="K1659" t="s">
        <v>34</v>
      </c>
      <c r="L1659">
        <v>9.1</v>
      </c>
      <c r="M1659">
        <v>2.2999999999999998</v>
      </c>
      <c r="N1659" t="s">
        <v>39</v>
      </c>
      <c r="O1659">
        <v>13</v>
      </c>
      <c r="P1659" t="s">
        <v>43</v>
      </c>
      <c r="Q1659">
        <v>63.7</v>
      </c>
    </row>
    <row r="1660" spans="1:17" x14ac:dyDescent="0.35">
      <c r="A1660" s="1">
        <v>45826</v>
      </c>
      <c r="B1660" t="s">
        <v>48</v>
      </c>
      <c r="C1660" t="s">
        <v>49</v>
      </c>
      <c r="D1660" t="s">
        <v>50</v>
      </c>
      <c r="E1660" t="s">
        <v>33</v>
      </c>
      <c r="F1660">
        <v>475.89</v>
      </c>
      <c r="G1660">
        <v>177.8</v>
      </c>
      <c r="H1660">
        <v>92.35</v>
      </c>
      <c r="I1660">
        <v>93.4</v>
      </c>
      <c r="J1660">
        <v>73.319999999999993</v>
      </c>
      <c r="K1660" t="s">
        <v>34</v>
      </c>
      <c r="L1660">
        <v>8.4</v>
      </c>
      <c r="M1660">
        <v>4.8</v>
      </c>
      <c r="N1660" t="s">
        <v>35</v>
      </c>
      <c r="O1660">
        <v>8</v>
      </c>
      <c r="P1660" t="s">
        <v>43</v>
      </c>
      <c r="Q1660">
        <v>60.6</v>
      </c>
    </row>
    <row r="1661" spans="1:17" x14ac:dyDescent="0.35">
      <c r="A1661" s="1">
        <v>45826</v>
      </c>
      <c r="B1661" t="s">
        <v>93</v>
      </c>
      <c r="C1661" t="s">
        <v>37</v>
      </c>
      <c r="D1661" t="s">
        <v>94</v>
      </c>
      <c r="E1661" t="s">
        <v>27</v>
      </c>
      <c r="F1661">
        <v>460.16</v>
      </c>
      <c r="G1661">
        <v>34.1</v>
      </c>
      <c r="H1661">
        <v>95.83</v>
      </c>
      <c r="I1661">
        <v>95.44</v>
      </c>
      <c r="J1661">
        <v>76.53</v>
      </c>
      <c r="K1661" t="s">
        <v>47</v>
      </c>
      <c r="L1661">
        <v>8.8000000000000007</v>
      </c>
      <c r="M1661">
        <v>4.2</v>
      </c>
      <c r="N1661" t="s">
        <v>39</v>
      </c>
      <c r="O1661">
        <v>8</v>
      </c>
      <c r="P1661" t="s">
        <v>23</v>
      </c>
      <c r="Q1661">
        <v>60.5</v>
      </c>
    </row>
    <row r="1662" spans="1:17" x14ac:dyDescent="0.35">
      <c r="A1662" s="1">
        <v>45826</v>
      </c>
      <c r="B1662" t="s">
        <v>44</v>
      </c>
      <c r="C1662" t="s">
        <v>45</v>
      </c>
      <c r="D1662" t="s">
        <v>46</v>
      </c>
      <c r="E1662" t="s">
        <v>33</v>
      </c>
      <c r="F1662">
        <v>565.92999999999995</v>
      </c>
      <c r="G1662">
        <v>642.20000000000005</v>
      </c>
      <c r="H1662">
        <v>92.84</v>
      </c>
      <c r="I1662">
        <v>99.19</v>
      </c>
      <c r="J1662">
        <v>76.989999999999995</v>
      </c>
      <c r="K1662" t="s">
        <v>47</v>
      </c>
      <c r="L1662">
        <v>8.8000000000000007</v>
      </c>
      <c r="M1662">
        <v>3.7</v>
      </c>
      <c r="N1662" t="s">
        <v>35</v>
      </c>
      <c r="O1662">
        <v>10</v>
      </c>
      <c r="P1662" t="s">
        <v>23</v>
      </c>
      <c r="Q1662">
        <v>63.7</v>
      </c>
    </row>
    <row r="1663" spans="1:17" x14ac:dyDescent="0.35">
      <c r="A1663" s="1">
        <v>45826</v>
      </c>
      <c r="B1663" t="s">
        <v>55</v>
      </c>
      <c r="C1663" t="s">
        <v>56</v>
      </c>
      <c r="D1663">
        <v>4</v>
      </c>
      <c r="E1663" t="s">
        <v>57</v>
      </c>
      <c r="F1663">
        <v>30</v>
      </c>
      <c r="G1663">
        <v>135.5</v>
      </c>
      <c r="H1663">
        <v>86.95</v>
      </c>
      <c r="I1663">
        <v>93.58</v>
      </c>
      <c r="J1663">
        <v>75.78</v>
      </c>
      <c r="K1663" t="s">
        <v>21</v>
      </c>
      <c r="L1663">
        <v>6.3</v>
      </c>
      <c r="N1663" t="s">
        <v>35</v>
      </c>
      <c r="O1663">
        <v>4</v>
      </c>
      <c r="P1663" t="s">
        <v>23</v>
      </c>
      <c r="Q1663">
        <v>67.099999999999994</v>
      </c>
    </row>
    <row r="1664" spans="1:17" x14ac:dyDescent="0.35">
      <c r="A1664" s="1">
        <v>45826</v>
      </c>
      <c r="B1664" t="s">
        <v>93</v>
      </c>
      <c r="C1664" t="s">
        <v>37</v>
      </c>
      <c r="D1664" t="s">
        <v>94</v>
      </c>
      <c r="E1664" t="s">
        <v>27</v>
      </c>
      <c r="F1664">
        <v>260.29000000000002</v>
      </c>
      <c r="G1664">
        <v>43.6</v>
      </c>
      <c r="H1664">
        <v>97</v>
      </c>
      <c r="I1664">
        <v>94.78</v>
      </c>
      <c r="J1664">
        <v>75.56</v>
      </c>
      <c r="K1664" t="s">
        <v>47</v>
      </c>
      <c r="L1664">
        <v>7.4</v>
      </c>
      <c r="M1664">
        <v>3.2</v>
      </c>
      <c r="N1664" t="s">
        <v>29</v>
      </c>
      <c r="O1664">
        <v>11</v>
      </c>
      <c r="P1664" t="s">
        <v>23</v>
      </c>
      <c r="Q1664">
        <v>59</v>
      </c>
    </row>
    <row r="1665" spans="1:17" x14ac:dyDescent="0.35">
      <c r="A1665" s="1">
        <v>45826</v>
      </c>
      <c r="B1665" t="s">
        <v>59</v>
      </c>
      <c r="C1665" t="s">
        <v>60</v>
      </c>
      <c r="D1665" t="s">
        <v>61</v>
      </c>
      <c r="E1665" t="s">
        <v>62</v>
      </c>
      <c r="F1665">
        <v>544.84</v>
      </c>
      <c r="G1665">
        <v>188.5</v>
      </c>
      <c r="H1665">
        <v>88.76</v>
      </c>
      <c r="I1665">
        <v>93.54</v>
      </c>
      <c r="J1665">
        <v>89.22</v>
      </c>
      <c r="K1665" t="s">
        <v>63</v>
      </c>
      <c r="L1665">
        <v>8.5</v>
      </c>
      <c r="N1665" t="s">
        <v>35</v>
      </c>
      <c r="O1665">
        <v>6</v>
      </c>
      <c r="P1665" t="s">
        <v>23</v>
      </c>
      <c r="Q1665">
        <v>75.3</v>
      </c>
    </row>
    <row r="1666" spans="1:17" x14ac:dyDescent="0.35">
      <c r="A1666" s="1">
        <v>45826</v>
      </c>
      <c r="B1666" t="s">
        <v>24</v>
      </c>
      <c r="C1666" t="s">
        <v>25</v>
      </c>
      <c r="D1666" t="s">
        <v>26</v>
      </c>
      <c r="E1666" t="s">
        <v>27</v>
      </c>
      <c r="F1666">
        <v>371.78</v>
      </c>
      <c r="G1666">
        <v>20.2</v>
      </c>
      <c r="H1666">
        <v>92.42</v>
      </c>
      <c r="I1666">
        <v>96.76</v>
      </c>
      <c r="J1666">
        <v>84.45</v>
      </c>
      <c r="K1666" t="s">
        <v>28</v>
      </c>
      <c r="L1666">
        <v>7.1</v>
      </c>
      <c r="M1666">
        <v>4</v>
      </c>
      <c r="N1666" t="s">
        <v>39</v>
      </c>
      <c r="O1666">
        <v>11</v>
      </c>
      <c r="P1666" t="s">
        <v>30</v>
      </c>
      <c r="Q1666">
        <v>58.5</v>
      </c>
    </row>
    <row r="1667" spans="1:17" x14ac:dyDescent="0.35">
      <c r="A1667" s="1">
        <v>45826</v>
      </c>
      <c r="B1667" t="s">
        <v>95</v>
      </c>
      <c r="C1667" t="s">
        <v>49</v>
      </c>
      <c r="D1667" t="s">
        <v>96</v>
      </c>
      <c r="E1667" t="s">
        <v>33</v>
      </c>
      <c r="F1667">
        <v>330.3</v>
      </c>
      <c r="G1667">
        <v>73.900000000000006</v>
      </c>
      <c r="H1667">
        <v>93.04</v>
      </c>
      <c r="I1667">
        <v>96.25</v>
      </c>
      <c r="J1667">
        <v>72.599999999999994</v>
      </c>
      <c r="K1667" t="s">
        <v>47</v>
      </c>
      <c r="L1667">
        <v>7.6</v>
      </c>
      <c r="M1667">
        <v>2.6</v>
      </c>
      <c r="N1667" t="s">
        <v>35</v>
      </c>
      <c r="O1667">
        <v>6</v>
      </c>
      <c r="P1667" t="s">
        <v>43</v>
      </c>
      <c r="Q1667">
        <v>59.4</v>
      </c>
    </row>
    <row r="1668" spans="1:17" x14ac:dyDescent="0.35">
      <c r="A1668" s="1">
        <v>45826</v>
      </c>
      <c r="B1668" t="s">
        <v>71</v>
      </c>
      <c r="C1668" t="s">
        <v>72</v>
      </c>
      <c r="D1668" t="s">
        <v>73</v>
      </c>
      <c r="E1668" t="s">
        <v>27</v>
      </c>
      <c r="F1668">
        <v>237.3</v>
      </c>
      <c r="G1668">
        <v>46.6</v>
      </c>
      <c r="H1668">
        <v>96.72</v>
      </c>
      <c r="I1668">
        <v>93.55</v>
      </c>
      <c r="J1668">
        <v>79.290000000000006</v>
      </c>
      <c r="K1668" t="s">
        <v>34</v>
      </c>
      <c r="L1668">
        <v>8.3000000000000007</v>
      </c>
      <c r="M1668">
        <v>4.8</v>
      </c>
      <c r="N1668" t="s">
        <v>39</v>
      </c>
      <c r="O1668">
        <v>13</v>
      </c>
      <c r="P1668" t="s">
        <v>43</v>
      </c>
      <c r="Q1668">
        <v>59.8</v>
      </c>
    </row>
    <row r="1669" spans="1:17" x14ac:dyDescent="0.35">
      <c r="A1669" s="1">
        <v>45826</v>
      </c>
      <c r="B1669" t="s">
        <v>71</v>
      </c>
      <c r="C1669" t="s">
        <v>72</v>
      </c>
      <c r="D1669" t="s">
        <v>73</v>
      </c>
      <c r="E1669" t="s">
        <v>27</v>
      </c>
      <c r="F1669">
        <v>215.73</v>
      </c>
      <c r="G1669">
        <v>37.1</v>
      </c>
      <c r="H1669">
        <v>95.36</v>
      </c>
      <c r="I1669">
        <v>96.5</v>
      </c>
      <c r="J1669">
        <v>84.74</v>
      </c>
      <c r="K1669" t="s">
        <v>28</v>
      </c>
      <c r="L1669">
        <v>7.2</v>
      </c>
      <c r="M1669">
        <v>4.8</v>
      </c>
      <c r="N1669" t="s">
        <v>39</v>
      </c>
      <c r="O1669">
        <v>10</v>
      </c>
      <c r="P1669" t="s">
        <v>23</v>
      </c>
      <c r="Q1669">
        <v>59</v>
      </c>
    </row>
    <row r="1670" spans="1:17" x14ac:dyDescent="0.35">
      <c r="A1670" s="1">
        <v>45826</v>
      </c>
      <c r="B1670" t="s">
        <v>53</v>
      </c>
      <c r="C1670" t="s">
        <v>41</v>
      </c>
      <c r="D1670" t="s">
        <v>54</v>
      </c>
      <c r="E1670" t="s">
        <v>27</v>
      </c>
      <c r="F1670">
        <v>402.26</v>
      </c>
      <c r="G1670">
        <v>34.9</v>
      </c>
      <c r="H1670">
        <v>92.54</v>
      </c>
      <c r="I1670">
        <v>96.2</v>
      </c>
      <c r="J1670">
        <v>82.3</v>
      </c>
      <c r="K1670" t="s">
        <v>47</v>
      </c>
      <c r="L1670">
        <v>8.1999999999999993</v>
      </c>
      <c r="M1670">
        <v>1.7</v>
      </c>
      <c r="N1670" t="s">
        <v>39</v>
      </c>
      <c r="O1670">
        <v>15</v>
      </c>
      <c r="P1670" t="s">
        <v>43</v>
      </c>
      <c r="Q1670">
        <v>61.7</v>
      </c>
    </row>
    <row r="1671" spans="1:17" x14ac:dyDescent="0.35">
      <c r="A1671" s="1">
        <v>45826</v>
      </c>
      <c r="B1671" t="s">
        <v>64</v>
      </c>
      <c r="C1671" t="s">
        <v>25</v>
      </c>
      <c r="D1671" t="s">
        <v>65</v>
      </c>
      <c r="E1671" t="s">
        <v>27</v>
      </c>
      <c r="F1671">
        <v>834.56</v>
      </c>
      <c r="G1671">
        <v>47.9</v>
      </c>
      <c r="H1671">
        <v>92.04</v>
      </c>
      <c r="I1671">
        <v>98.36</v>
      </c>
      <c r="J1671">
        <v>83.97</v>
      </c>
      <c r="K1671" t="s">
        <v>34</v>
      </c>
      <c r="L1671">
        <v>9.4</v>
      </c>
      <c r="M1671">
        <v>4.8</v>
      </c>
      <c r="N1671" t="s">
        <v>39</v>
      </c>
      <c r="O1671">
        <v>13</v>
      </c>
      <c r="P1671" t="s">
        <v>30</v>
      </c>
      <c r="Q1671">
        <v>62.5</v>
      </c>
    </row>
    <row r="1672" spans="1:17" x14ac:dyDescent="0.35">
      <c r="A1672" s="1">
        <v>45826</v>
      </c>
      <c r="B1672" t="s">
        <v>71</v>
      </c>
      <c r="C1672" t="s">
        <v>72</v>
      </c>
      <c r="D1672" t="s">
        <v>73</v>
      </c>
      <c r="E1672" t="s">
        <v>27</v>
      </c>
      <c r="F1672">
        <v>80.09</v>
      </c>
      <c r="G1672">
        <v>18.899999999999999</v>
      </c>
      <c r="H1672">
        <v>95.37</v>
      </c>
      <c r="I1672">
        <v>95.87</v>
      </c>
      <c r="J1672">
        <v>80.95</v>
      </c>
      <c r="K1672" t="s">
        <v>34</v>
      </c>
      <c r="L1672">
        <v>7.3</v>
      </c>
      <c r="M1672">
        <v>3.4</v>
      </c>
      <c r="N1672" t="s">
        <v>29</v>
      </c>
      <c r="O1672">
        <v>12</v>
      </c>
      <c r="P1672" t="s">
        <v>23</v>
      </c>
      <c r="Q1672">
        <v>59</v>
      </c>
    </row>
    <row r="1673" spans="1:17" x14ac:dyDescent="0.35">
      <c r="A1673" s="1">
        <v>45826</v>
      </c>
      <c r="B1673" t="s">
        <v>69</v>
      </c>
      <c r="C1673" t="s">
        <v>18</v>
      </c>
      <c r="D1673" t="s">
        <v>70</v>
      </c>
      <c r="E1673" t="s">
        <v>20</v>
      </c>
      <c r="F1673">
        <v>143.66</v>
      </c>
      <c r="G1673">
        <v>204.8</v>
      </c>
      <c r="H1673">
        <v>93.53</v>
      </c>
      <c r="I1673">
        <v>94.69</v>
      </c>
      <c r="J1673">
        <v>73.55</v>
      </c>
      <c r="K1673" t="s">
        <v>58</v>
      </c>
      <c r="L1673">
        <v>7</v>
      </c>
      <c r="N1673" t="s">
        <v>35</v>
      </c>
      <c r="O1673">
        <v>6</v>
      </c>
      <c r="P1673" t="s">
        <v>23</v>
      </c>
      <c r="Q1673">
        <v>70.400000000000006</v>
      </c>
    </row>
    <row r="1674" spans="1:17" x14ac:dyDescent="0.35">
      <c r="A1674" s="1">
        <v>45826</v>
      </c>
      <c r="B1674" t="s">
        <v>55</v>
      </c>
      <c r="C1674" t="s">
        <v>56</v>
      </c>
      <c r="D1674">
        <v>4</v>
      </c>
      <c r="E1674" t="s">
        <v>57</v>
      </c>
      <c r="F1674">
        <v>30</v>
      </c>
      <c r="G1674">
        <v>143.69999999999999</v>
      </c>
      <c r="H1674">
        <v>86.2</v>
      </c>
      <c r="I1674">
        <v>96.02</v>
      </c>
      <c r="J1674">
        <v>70.23</v>
      </c>
      <c r="K1674" t="s">
        <v>21</v>
      </c>
      <c r="L1674">
        <v>7.3</v>
      </c>
      <c r="N1674" t="s">
        <v>35</v>
      </c>
      <c r="O1674">
        <v>4</v>
      </c>
      <c r="P1674" t="s">
        <v>43</v>
      </c>
      <c r="Q1674">
        <v>68.5</v>
      </c>
    </row>
    <row r="1675" spans="1:17" x14ac:dyDescent="0.35">
      <c r="A1675" s="1">
        <v>45826</v>
      </c>
      <c r="B1675" t="s">
        <v>66</v>
      </c>
      <c r="C1675" t="s">
        <v>67</v>
      </c>
      <c r="D1675" t="s">
        <v>68</v>
      </c>
      <c r="E1675" t="s">
        <v>27</v>
      </c>
      <c r="F1675">
        <v>185.67</v>
      </c>
      <c r="G1675">
        <v>58.9</v>
      </c>
      <c r="H1675">
        <v>97.65</v>
      </c>
      <c r="I1675">
        <v>94.79</v>
      </c>
      <c r="J1675">
        <v>80.72</v>
      </c>
      <c r="K1675" t="s">
        <v>47</v>
      </c>
      <c r="L1675">
        <v>6.9</v>
      </c>
      <c r="M1675">
        <v>4.9000000000000004</v>
      </c>
      <c r="N1675" t="s">
        <v>39</v>
      </c>
      <c r="O1675">
        <v>11</v>
      </c>
      <c r="P1675" t="s">
        <v>23</v>
      </c>
      <c r="Q1675">
        <v>58.3</v>
      </c>
    </row>
    <row r="1676" spans="1:17" x14ac:dyDescent="0.35">
      <c r="A1676" s="1">
        <v>45826</v>
      </c>
      <c r="B1676" t="s">
        <v>93</v>
      </c>
      <c r="C1676" t="s">
        <v>37</v>
      </c>
      <c r="D1676" t="s">
        <v>94</v>
      </c>
      <c r="E1676" t="s">
        <v>27</v>
      </c>
      <c r="F1676">
        <v>498.59</v>
      </c>
      <c r="G1676">
        <v>26.3</v>
      </c>
      <c r="H1676">
        <v>96.95</v>
      </c>
      <c r="I1676">
        <v>94.32</v>
      </c>
      <c r="J1676">
        <v>82.14</v>
      </c>
      <c r="K1676" t="s">
        <v>28</v>
      </c>
      <c r="L1676">
        <v>9.1</v>
      </c>
      <c r="M1676">
        <v>2.4</v>
      </c>
      <c r="N1676" t="s">
        <v>29</v>
      </c>
      <c r="O1676">
        <v>11</v>
      </c>
      <c r="P1676" t="s">
        <v>23</v>
      </c>
      <c r="Q1676">
        <v>63</v>
      </c>
    </row>
    <row r="1677" spans="1:17" x14ac:dyDescent="0.35">
      <c r="A1677" s="1">
        <v>45826</v>
      </c>
      <c r="B1677" t="s">
        <v>40</v>
      </c>
      <c r="C1677" t="s">
        <v>41</v>
      </c>
      <c r="D1677" t="s">
        <v>42</v>
      </c>
      <c r="E1677" t="s">
        <v>27</v>
      </c>
      <c r="F1677">
        <v>331.68</v>
      </c>
      <c r="G1677">
        <v>64.2</v>
      </c>
      <c r="H1677">
        <v>96.83</v>
      </c>
      <c r="I1677">
        <v>96.25</v>
      </c>
      <c r="J1677">
        <v>76.86</v>
      </c>
      <c r="K1677" t="s">
        <v>47</v>
      </c>
      <c r="L1677">
        <v>7.9</v>
      </c>
      <c r="M1677">
        <v>3</v>
      </c>
      <c r="N1677" t="s">
        <v>29</v>
      </c>
      <c r="O1677">
        <v>11</v>
      </c>
      <c r="P1677" t="s">
        <v>43</v>
      </c>
      <c r="Q1677">
        <v>60.8</v>
      </c>
    </row>
    <row r="1678" spans="1:17" x14ac:dyDescent="0.35">
      <c r="A1678" s="1">
        <v>45826</v>
      </c>
      <c r="B1678" t="s">
        <v>101</v>
      </c>
      <c r="C1678" t="s">
        <v>45</v>
      </c>
      <c r="D1678" t="s">
        <v>102</v>
      </c>
      <c r="E1678" t="s">
        <v>33</v>
      </c>
      <c r="F1678">
        <v>329.8</v>
      </c>
      <c r="G1678">
        <v>1703</v>
      </c>
      <c r="H1678">
        <v>93.26</v>
      </c>
      <c r="I1678">
        <v>99.5</v>
      </c>
      <c r="J1678">
        <v>74.05</v>
      </c>
      <c r="K1678" t="s">
        <v>47</v>
      </c>
      <c r="L1678">
        <v>7.1</v>
      </c>
      <c r="M1678">
        <v>4.5</v>
      </c>
      <c r="N1678" t="s">
        <v>22</v>
      </c>
      <c r="O1678">
        <v>7</v>
      </c>
      <c r="P1678" t="s">
        <v>23</v>
      </c>
      <c r="Q1678">
        <v>60</v>
      </c>
    </row>
    <row r="1679" spans="1:17" x14ac:dyDescent="0.35">
      <c r="A1679" s="1">
        <v>45826</v>
      </c>
      <c r="B1679" t="s">
        <v>76</v>
      </c>
      <c r="C1679" t="s">
        <v>45</v>
      </c>
      <c r="D1679" t="s">
        <v>77</v>
      </c>
      <c r="E1679" t="s">
        <v>33</v>
      </c>
      <c r="F1679">
        <v>702.95</v>
      </c>
      <c r="G1679">
        <v>262.39999999999998</v>
      </c>
      <c r="H1679">
        <v>93.43</v>
      </c>
      <c r="I1679">
        <v>98.27</v>
      </c>
      <c r="J1679">
        <v>75.75</v>
      </c>
      <c r="K1679" t="s">
        <v>34</v>
      </c>
      <c r="L1679">
        <v>9</v>
      </c>
      <c r="M1679">
        <v>1.5</v>
      </c>
      <c r="N1679" t="s">
        <v>35</v>
      </c>
      <c r="O1679">
        <v>6</v>
      </c>
      <c r="P1679" t="s">
        <v>23</v>
      </c>
      <c r="Q1679">
        <v>65.2</v>
      </c>
    </row>
    <row r="1680" spans="1:17" x14ac:dyDescent="0.35">
      <c r="A1680" s="1">
        <v>45826</v>
      </c>
      <c r="B1680" t="s">
        <v>51</v>
      </c>
      <c r="C1680" t="s">
        <v>45</v>
      </c>
      <c r="D1680" t="s">
        <v>52</v>
      </c>
      <c r="E1680" t="s">
        <v>33</v>
      </c>
      <c r="F1680">
        <v>197.59</v>
      </c>
      <c r="G1680">
        <v>327.9</v>
      </c>
      <c r="H1680">
        <v>97.33</v>
      </c>
      <c r="I1680">
        <v>99.49</v>
      </c>
      <c r="J1680">
        <v>73.38</v>
      </c>
      <c r="K1680" t="s">
        <v>47</v>
      </c>
      <c r="L1680">
        <v>7.3</v>
      </c>
      <c r="M1680">
        <v>4.7</v>
      </c>
      <c r="N1680" t="s">
        <v>35</v>
      </c>
      <c r="O1680">
        <v>10</v>
      </c>
      <c r="P1680" t="s">
        <v>23</v>
      </c>
      <c r="Q1680">
        <v>60.7</v>
      </c>
    </row>
    <row r="1681" spans="1:17" x14ac:dyDescent="0.35">
      <c r="A1681" s="1">
        <v>45826</v>
      </c>
      <c r="B1681" t="s">
        <v>74</v>
      </c>
      <c r="C1681" t="s">
        <v>67</v>
      </c>
      <c r="D1681" t="s">
        <v>75</v>
      </c>
      <c r="E1681" t="s">
        <v>27</v>
      </c>
      <c r="F1681">
        <v>670.9</v>
      </c>
      <c r="G1681">
        <v>54.9</v>
      </c>
      <c r="H1681">
        <v>92.46</v>
      </c>
      <c r="I1681">
        <v>96.57</v>
      </c>
      <c r="J1681">
        <v>81.23</v>
      </c>
      <c r="K1681" t="s">
        <v>28</v>
      </c>
      <c r="L1681">
        <v>8.6999999999999993</v>
      </c>
      <c r="M1681">
        <v>4.8</v>
      </c>
      <c r="N1681" t="s">
        <v>39</v>
      </c>
      <c r="O1681">
        <v>11</v>
      </c>
      <c r="P1681" t="s">
        <v>23</v>
      </c>
      <c r="Q1681">
        <v>60.8</v>
      </c>
    </row>
    <row r="1682" spans="1:17" x14ac:dyDescent="0.35">
      <c r="A1682" s="1">
        <v>45827</v>
      </c>
      <c r="B1682" t="s">
        <v>101</v>
      </c>
      <c r="C1682" t="s">
        <v>45</v>
      </c>
      <c r="D1682" t="s">
        <v>102</v>
      </c>
      <c r="E1682" t="s">
        <v>27</v>
      </c>
      <c r="F1682">
        <v>881.01</v>
      </c>
      <c r="G1682">
        <v>817.9</v>
      </c>
      <c r="H1682">
        <v>95.08</v>
      </c>
      <c r="I1682">
        <v>99.48</v>
      </c>
      <c r="J1682">
        <v>80.66</v>
      </c>
      <c r="K1682" t="s">
        <v>88</v>
      </c>
      <c r="L1682">
        <v>8.9</v>
      </c>
      <c r="M1682">
        <v>2.9</v>
      </c>
      <c r="N1682" t="s">
        <v>39</v>
      </c>
      <c r="O1682">
        <v>11</v>
      </c>
      <c r="P1682" t="s">
        <v>23</v>
      </c>
      <c r="Q1682">
        <v>65.400000000000006</v>
      </c>
    </row>
    <row r="1683" spans="1:17" x14ac:dyDescent="0.35">
      <c r="A1683" s="1">
        <v>45827</v>
      </c>
      <c r="B1683" t="s">
        <v>53</v>
      </c>
      <c r="C1683" t="s">
        <v>41</v>
      </c>
      <c r="D1683" t="s">
        <v>54</v>
      </c>
      <c r="E1683" t="s">
        <v>27</v>
      </c>
      <c r="F1683">
        <v>477.18</v>
      </c>
      <c r="G1683">
        <v>47.8</v>
      </c>
      <c r="H1683">
        <v>97.14</v>
      </c>
      <c r="I1683">
        <v>97.3</v>
      </c>
      <c r="J1683">
        <v>84.17</v>
      </c>
      <c r="K1683" t="s">
        <v>47</v>
      </c>
      <c r="L1683">
        <v>9.1999999999999993</v>
      </c>
      <c r="M1683">
        <v>3.7</v>
      </c>
      <c r="N1683" t="s">
        <v>39</v>
      </c>
      <c r="O1683">
        <v>14</v>
      </c>
      <c r="P1683" t="s">
        <v>43</v>
      </c>
      <c r="Q1683">
        <v>63.6</v>
      </c>
    </row>
    <row r="1684" spans="1:17" x14ac:dyDescent="0.35">
      <c r="A1684" s="1">
        <v>45827</v>
      </c>
      <c r="B1684" t="s">
        <v>51</v>
      </c>
      <c r="C1684" t="s">
        <v>45</v>
      </c>
      <c r="D1684" t="s">
        <v>52</v>
      </c>
      <c r="E1684" t="s">
        <v>27</v>
      </c>
      <c r="F1684">
        <v>393.49</v>
      </c>
      <c r="G1684">
        <v>582.79999999999995</v>
      </c>
      <c r="H1684">
        <v>94.08</v>
      </c>
      <c r="I1684">
        <v>98.66</v>
      </c>
      <c r="J1684">
        <v>77.56</v>
      </c>
      <c r="K1684" t="s">
        <v>47</v>
      </c>
      <c r="L1684">
        <v>7.3</v>
      </c>
      <c r="M1684">
        <v>4.4000000000000004</v>
      </c>
      <c r="N1684" t="s">
        <v>29</v>
      </c>
      <c r="O1684">
        <v>12</v>
      </c>
      <c r="P1684" t="s">
        <v>23</v>
      </c>
      <c r="Q1684">
        <v>60.9</v>
      </c>
    </row>
    <row r="1685" spans="1:17" x14ac:dyDescent="0.35">
      <c r="A1685" s="1">
        <v>45827</v>
      </c>
      <c r="B1685" t="s">
        <v>59</v>
      </c>
      <c r="C1685" t="s">
        <v>60</v>
      </c>
      <c r="D1685" t="s">
        <v>61</v>
      </c>
      <c r="E1685" t="s">
        <v>62</v>
      </c>
      <c r="F1685">
        <v>311.64999999999998</v>
      </c>
      <c r="G1685">
        <v>192</v>
      </c>
      <c r="H1685">
        <v>90.85</v>
      </c>
      <c r="I1685">
        <v>96.88</v>
      </c>
      <c r="J1685">
        <v>91.48</v>
      </c>
      <c r="K1685" t="s">
        <v>63</v>
      </c>
      <c r="L1685">
        <v>7.2</v>
      </c>
      <c r="N1685" t="s">
        <v>35</v>
      </c>
      <c r="O1685">
        <v>6</v>
      </c>
      <c r="P1685" t="s">
        <v>23</v>
      </c>
      <c r="Q1685">
        <v>74.2</v>
      </c>
    </row>
    <row r="1686" spans="1:17" x14ac:dyDescent="0.35">
      <c r="A1686" s="1">
        <v>45827</v>
      </c>
      <c r="B1686" t="s">
        <v>78</v>
      </c>
      <c r="C1686" t="s">
        <v>41</v>
      </c>
      <c r="D1686" t="s">
        <v>79</v>
      </c>
      <c r="E1686" t="s">
        <v>27</v>
      </c>
      <c r="F1686">
        <v>366.51</v>
      </c>
      <c r="G1686">
        <v>41.2</v>
      </c>
      <c r="H1686">
        <v>95.14</v>
      </c>
      <c r="I1686">
        <v>96.66</v>
      </c>
      <c r="J1686">
        <v>84.75</v>
      </c>
      <c r="K1686" t="s">
        <v>28</v>
      </c>
      <c r="L1686">
        <v>7.1</v>
      </c>
      <c r="M1686">
        <v>3.1</v>
      </c>
      <c r="N1686" t="s">
        <v>29</v>
      </c>
      <c r="O1686">
        <v>15</v>
      </c>
      <c r="P1686" t="s">
        <v>43</v>
      </c>
      <c r="Q1686">
        <v>60</v>
      </c>
    </row>
    <row r="1687" spans="1:17" x14ac:dyDescent="0.35">
      <c r="A1687" s="1">
        <v>45827</v>
      </c>
      <c r="B1687" t="s">
        <v>64</v>
      </c>
      <c r="C1687" t="s">
        <v>25</v>
      </c>
      <c r="D1687" t="s">
        <v>65</v>
      </c>
      <c r="E1687" t="s">
        <v>27</v>
      </c>
      <c r="F1687">
        <v>435.62</v>
      </c>
      <c r="G1687">
        <v>50.3</v>
      </c>
      <c r="H1687">
        <v>94.74</v>
      </c>
      <c r="I1687">
        <v>97.18</v>
      </c>
      <c r="J1687">
        <v>76.64</v>
      </c>
      <c r="K1687" t="s">
        <v>28</v>
      </c>
      <c r="L1687">
        <v>9.4</v>
      </c>
      <c r="M1687">
        <v>4</v>
      </c>
      <c r="N1687" t="s">
        <v>39</v>
      </c>
      <c r="O1687">
        <v>13</v>
      </c>
      <c r="P1687" t="s">
        <v>30</v>
      </c>
      <c r="Q1687">
        <v>62.1</v>
      </c>
    </row>
    <row r="1688" spans="1:17" x14ac:dyDescent="0.35">
      <c r="A1688" s="1">
        <v>45827</v>
      </c>
      <c r="B1688" t="s">
        <v>86</v>
      </c>
      <c r="C1688" t="s">
        <v>25</v>
      </c>
      <c r="D1688" t="s">
        <v>87</v>
      </c>
      <c r="E1688" t="s">
        <v>27</v>
      </c>
      <c r="F1688">
        <v>543.26</v>
      </c>
      <c r="G1688">
        <v>62.9</v>
      </c>
      <c r="H1688">
        <v>94.5</v>
      </c>
      <c r="I1688">
        <v>97.04</v>
      </c>
      <c r="J1688">
        <v>76.19</v>
      </c>
      <c r="K1688" t="s">
        <v>28</v>
      </c>
      <c r="L1688">
        <v>9.5</v>
      </c>
      <c r="M1688">
        <v>4.0999999999999996</v>
      </c>
      <c r="N1688" t="s">
        <v>29</v>
      </c>
      <c r="O1688">
        <v>8</v>
      </c>
      <c r="P1688" t="s">
        <v>30</v>
      </c>
      <c r="Q1688">
        <v>62.3</v>
      </c>
    </row>
    <row r="1689" spans="1:17" x14ac:dyDescent="0.35">
      <c r="A1689" s="1">
        <v>45827</v>
      </c>
      <c r="B1689" t="s">
        <v>53</v>
      </c>
      <c r="C1689" t="s">
        <v>41</v>
      </c>
      <c r="D1689" t="s">
        <v>54</v>
      </c>
      <c r="E1689" t="s">
        <v>27</v>
      </c>
      <c r="F1689">
        <v>383.72</v>
      </c>
      <c r="G1689">
        <v>20.3</v>
      </c>
      <c r="H1689">
        <v>93.24</v>
      </c>
      <c r="I1689">
        <v>98.27</v>
      </c>
      <c r="J1689">
        <v>78.61</v>
      </c>
      <c r="K1689" t="s">
        <v>34</v>
      </c>
      <c r="L1689">
        <v>8.4</v>
      </c>
      <c r="M1689">
        <v>4.5999999999999996</v>
      </c>
      <c r="N1689" t="s">
        <v>29</v>
      </c>
      <c r="O1689">
        <v>13</v>
      </c>
      <c r="P1689" t="s">
        <v>43</v>
      </c>
      <c r="Q1689">
        <v>59.7</v>
      </c>
    </row>
    <row r="1690" spans="1:17" x14ac:dyDescent="0.35">
      <c r="A1690" s="1">
        <v>45827</v>
      </c>
      <c r="B1690" t="s">
        <v>55</v>
      </c>
      <c r="C1690" t="s">
        <v>56</v>
      </c>
      <c r="D1690">
        <v>4</v>
      </c>
      <c r="E1690" t="s">
        <v>57</v>
      </c>
      <c r="F1690">
        <v>30</v>
      </c>
      <c r="G1690">
        <v>163.4</v>
      </c>
      <c r="H1690">
        <v>88.39</v>
      </c>
      <c r="I1690">
        <v>95.39</v>
      </c>
      <c r="J1690">
        <v>70.88</v>
      </c>
      <c r="K1690" t="s">
        <v>58</v>
      </c>
      <c r="L1690">
        <v>7</v>
      </c>
      <c r="N1690" t="s">
        <v>35</v>
      </c>
      <c r="O1690">
        <v>5</v>
      </c>
      <c r="P1690" t="s">
        <v>43</v>
      </c>
      <c r="Q1690">
        <v>68.8</v>
      </c>
    </row>
    <row r="1691" spans="1:17" x14ac:dyDescent="0.35">
      <c r="A1691" s="1">
        <v>45827</v>
      </c>
      <c r="B1691" t="s">
        <v>40</v>
      </c>
      <c r="C1691" t="s">
        <v>41</v>
      </c>
      <c r="D1691" t="s">
        <v>42</v>
      </c>
      <c r="E1691" t="s">
        <v>27</v>
      </c>
      <c r="F1691">
        <v>493.69</v>
      </c>
      <c r="G1691">
        <v>50.3</v>
      </c>
      <c r="H1691">
        <v>93.8</v>
      </c>
      <c r="I1691">
        <v>96.02</v>
      </c>
      <c r="J1691">
        <v>79.3</v>
      </c>
      <c r="K1691" t="s">
        <v>47</v>
      </c>
      <c r="L1691">
        <v>9.1</v>
      </c>
      <c r="M1691">
        <v>3</v>
      </c>
      <c r="N1691" t="s">
        <v>39</v>
      </c>
      <c r="O1691">
        <v>15</v>
      </c>
      <c r="P1691" t="s">
        <v>43</v>
      </c>
      <c r="Q1691">
        <v>62.4</v>
      </c>
    </row>
    <row r="1692" spans="1:17" x14ac:dyDescent="0.35">
      <c r="A1692" s="1">
        <v>45827</v>
      </c>
      <c r="B1692" t="s">
        <v>55</v>
      </c>
      <c r="C1692" t="s">
        <v>56</v>
      </c>
      <c r="D1692">
        <v>4</v>
      </c>
      <c r="E1692" t="s">
        <v>57</v>
      </c>
      <c r="F1692">
        <v>30</v>
      </c>
      <c r="G1692">
        <v>152.9</v>
      </c>
      <c r="H1692">
        <v>88.98</v>
      </c>
      <c r="I1692">
        <v>93.12</v>
      </c>
      <c r="J1692">
        <v>71.25</v>
      </c>
      <c r="K1692" t="s">
        <v>63</v>
      </c>
      <c r="L1692">
        <v>7.8</v>
      </c>
      <c r="N1692" t="s">
        <v>35</v>
      </c>
      <c r="O1692">
        <v>3</v>
      </c>
      <c r="P1692" t="s">
        <v>23</v>
      </c>
      <c r="Q1692">
        <v>69.900000000000006</v>
      </c>
    </row>
    <row r="1693" spans="1:17" x14ac:dyDescent="0.35">
      <c r="A1693" s="1">
        <v>45827</v>
      </c>
      <c r="B1693" t="s">
        <v>59</v>
      </c>
      <c r="C1693" t="s">
        <v>60</v>
      </c>
      <c r="D1693" t="s">
        <v>61</v>
      </c>
      <c r="E1693" t="s">
        <v>62</v>
      </c>
      <c r="F1693">
        <v>516.37</v>
      </c>
      <c r="G1693">
        <v>176</v>
      </c>
      <c r="H1693">
        <v>91.7</v>
      </c>
      <c r="I1693">
        <v>93.06</v>
      </c>
      <c r="J1693">
        <v>91.56</v>
      </c>
      <c r="K1693" t="s">
        <v>63</v>
      </c>
      <c r="L1693">
        <v>9.1</v>
      </c>
      <c r="N1693" t="s">
        <v>35</v>
      </c>
      <c r="O1693">
        <v>6</v>
      </c>
      <c r="P1693" t="s">
        <v>43</v>
      </c>
      <c r="Q1693">
        <v>77.5</v>
      </c>
    </row>
    <row r="1694" spans="1:17" x14ac:dyDescent="0.35">
      <c r="A1694" s="1">
        <v>45827</v>
      </c>
      <c r="B1694" t="s">
        <v>76</v>
      </c>
      <c r="C1694" t="s">
        <v>45</v>
      </c>
      <c r="D1694" t="s">
        <v>77</v>
      </c>
      <c r="E1694" t="s">
        <v>27</v>
      </c>
      <c r="F1694">
        <v>685.21</v>
      </c>
      <c r="G1694">
        <v>248.1</v>
      </c>
      <c r="H1694">
        <v>93.31</v>
      </c>
      <c r="I1694">
        <v>99.06</v>
      </c>
      <c r="J1694">
        <v>76.69</v>
      </c>
      <c r="K1694" t="s">
        <v>28</v>
      </c>
      <c r="L1694">
        <v>8.8000000000000007</v>
      </c>
      <c r="M1694">
        <v>5</v>
      </c>
      <c r="N1694" t="s">
        <v>29</v>
      </c>
      <c r="O1694">
        <v>12</v>
      </c>
      <c r="P1694" t="s">
        <v>23</v>
      </c>
      <c r="Q1694">
        <v>62.8</v>
      </c>
    </row>
    <row r="1695" spans="1:17" x14ac:dyDescent="0.35">
      <c r="A1695" s="1">
        <v>45827</v>
      </c>
      <c r="B1695" t="s">
        <v>24</v>
      </c>
      <c r="C1695" t="s">
        <v>25</v>
      </c>
      <c r="D1695" t="s">
        <v>26</v>
      </c>
      <c r="E1695" t="s">
        <v>27</v>
      </c>
      <c r="F1695">
        <v>238.59</v>
      </c>
      <c r="G1695">
        <v>48.1</v>
      </c>
      <c r="H1695">
        <v>96.1</v>
      </c>
      <c r="I1695">
        <v>96.24</v>
      </c>
      <c r="J1695">
        <v>75.02</v>
      </c>
      <c r="K1695" t="s">
        <v>28</v>
      </c>
      <c r="L1695">
        <v>7</v>
      </c>
      <c r="M1695">
        <v>2.6</v>
      </c>
      <c r="N1695" t="s">
        <v>29</v>
      </c>
      <c r="O1695">
        <v>13</v>
      </c>
      <c r="P1695" t="s">
        <v>30</v>
      </c>
      <c r="Q1695">
        <v>58.8</v>
      </c>
    </row>
    <row r="1696" spans="1:17" x14ac:dyDescent="0.35">
      <c r="A1696" s="1">
        <v>45827</v>
      </c>
      <c r="B1696" t="s">
        <v>86</v>
      </c>
      <c r="C1696" t="s">
        <v>25</v>
      </c>
      <c r="D1696" t="s">
        <v>87</v>
      </c>
      <c r="E1696" t="s">
        <v>27</v>
      </c>
      <c r="F1696">
        <v>369.05</v>
      </c>
      <c r="G1696">
        <v>35</v>
      </c>
      <c r="H1696">
        <v>96.23</v>
      </c>
      <c r="I1696">
        <v>97.69</v>
      </c>
      <c r="J1696">
        <v>82.68</v>
      </c>
      <c r="K1696" t="s">
        <v>28</v>
      </c>
      <c r="L1696">
        <v>8.1</v>
      </c>
      <c r="M1696">
        <v>2.2999999999999998</v>
      </c>
      <c r="N1696" t="s">
        <v>39</v>
      </c>
      <c r="O1696">
        <v>13</v>
      </c>
      <c r="P1696" t="s">
        <v>30</v>
      </c>
      <c r="Q1696">
        <v>62.1</v>
      </c>
    </row>
    <row r="1697" spans="1:17" x14ac:dyDescent="0.35">
      <c r="A1697" s="1">
        <v>45827</v>
      </c>
      <c r="B1697" t="s">
        <v>95</v>
      </c>
      <c r="C1697" t="s">
        <v>49</v>
      </c>
      <c r="D1697" t="s">
        <v>96</v>
      </c>
      <c r="E1697" t="s">
        <v>27</v>
      </c>
      <c r="F1697">
        <v>333.85</v>
      </c>
      <c r="G1697">
        <v>60</v>
      </c>
      <c r="H1697">
        <v>96.75</v>
      </c>
      <c r="I1697">
        <v>94.1</v>
      </c>
      <c r="J1697">
        <v>76.430000000000007</v>
      </c>
      <c r="K1697" t="s">
        <v>47</v>
      </c>
      <c r="L1697">
        <v>7.7</v>
      </c>
      <c r="M1697">
        <v>2.2999999999999998</v>
      </c>
      <c r="N1697" t="s">
        <v>29</v>
      </c>
      <c r="O1697">
        <v>13</v>
      </c>
      <c r="P1697" t="s">
        <v>23</v>
      </c>
      <c r="Q1697">
        <v>60.4</v>
      </c>
    </row>
    <row r="1698" spans="1:17" x14ac:dyDescent="0.35">
      <c r="A1698" s="1">
        <v>45827</v>
      </c>
      <c r="B1698" t="s">
        <v>55</v>
      </c>
      <c r="C1698" t="s">
        <v>56</v>
      </c>
      <c r="D1698">
        <v>4</v>
      </c>
      <c r="E1698" t="s">
        <v>57</v>
      </c>
      <c r="F1698">
        <v>30</v>
      </c>
      <c r="G1698">
        <v>156.6</v>
      </c>
      <c r="H1698">
        <v>87.03</v>
      </c>
      <c r="I1698">
        <v>94.4</v>
      </c>
      <c r="J1698">
        <v>71.84</v>
      </c>
      <c r="K1698" t="s">
        <v>63</v>
      </c>
      <c r="L1698">
        <v>6.3</v>
      </c>
      <c r="N1698" t="s">
        <v>35</v>
      </c>
      <c r="O1698">
        <v>2</v>
      </c>
      <c r="P1698" t="s">
        <v>23</v>
      </c>
      <c r="Q1698">
        <v>67</v>
      </c>
    </row>
    <row r="1699" spans="1:17" x14ac:dyDescent="0.35">
      <c r="A1699" s="1">
        <v>45827</v>
      </c>
      <c r="B1699" t="s">
        <v>84</v>
      </c>
      <c r="C1699" t="s">
        <v>18</v>
      </c>
      <c r="D1699" t="s">
        <v>85</v>
      </c>
      <c r="E1699" t="s">
        <v>27</v>
      </c>
      <c r="F1699">
        <v>124.25</v>
      </c>
      <c r="G1699">
        <v>48</v>
      </c>
      <c r="H1699">
        <v>93.7</v>
      </c>
      <c r="I1699">
        <v>95.14</v>
      </c>
      <c r="J1699">
        <v>79.709999999999994</v>
      </c>
      <c r="K1699" t="s">
        <v>47</v>
      </c>
      <c r="L1699">
        <v>7.1</v>
      </c>
      <c r="M1699">
        <v>2.8</v>
      </c>
      <c r="N1699" t="s">
        <v>39</v>
      </c>
      <c r="O1699">
        <v>12</v>
      </c>
      <c r="P1699" t="s">
        <v>23</v>
      </c>
      <c r="Q1699">
        <v>59</v>
      </c>
    </row>
    <row r="1700" spans="1:17" x14ac:dyDescent="0.35">
      <c r="A1700" s="1">
        <v>45827</v>
      </c>
      <c r="B1700" t="s">
        <v>31</v>
      </c>
      <c r="C1700" t="s">
        <v>18</v>
      </c>
      <c r="D1700" t="s">
        <v>32</v>
      </c>
      <c r="E1700" t="s">
        <v>33</v>
      </c>
      <c r="F1700">
        <v>149.68</v>
      </c>
      <c r="G1700">
        <v>150.30000000000001</v>
      </c>
      <c r="H1700">
        <v>93.34</v>
      </c>
      <c r="I1700">
        <v>95.9</v>
      </c>
      <c r="J1700">
        <v>77.81</v>
      </c>
      <c r="K1700" t="s">
        <v>28</v>
      </c>
      <c r="L1700">
        <v>6.4</v>
      </c>
      <c r="M1700">
        <v>4.2</v>
      </c>
      <c r="N1700" t="s">
        <v>35</v>
      </c>
      <c r="O1700">
        <v>9</v>
      </c>
      <c r="P1700" t="s">
        <v>23</v>
      </c>
      <c r="Q1700">
        <v>58.7</v>
      </c>
    </row>
    <row r="1701" spans="1:17" x14ac:dyDescent="0.35">
      <c r="A1701" s="1">
        <v>45827</v>
      </c>
      <c r="B1701" t="s">
        <v>91</v>
      </c>
      <c r="C1701" t="s">
        <v>67</v>
      </c>
      <c r="D1701" t="s">
        <v>92</v>
      </c>
      <c r="E1701" t="s">
        <v>27</v>
      </c>
      <c r="F1701">
        <v>195.07</v>
      </c>
      <c r="G1701">
        <v>28.8</v>
      </c>
      <c r="H1701">
        <v>97.31</v>
      </c>
      <c r="I1701">
        <v>95.1</v>
      </c>
      <c r="J1701">
        <v>81.31</v>
      </c>
      <c r="K1701" t="s">
        <v>28</v>
      </c>
      <c r="L1701">
        <v>7.6</v>
      </c>
      <c r="M1701">
        <v>5</v>
      </c>
      <c r="N1701" t="s">
        <v>39</v>
      </c>
      <c r="O1701">
        <v>13</v>
      </c>
      <c r="P1701" t="s">
        <v>23</v>
      </c>
      <c r="Q1701">
        <v>58.9</v>
      </c>
    </row>
    <row r="1702" spans="1:17" x14ac:dyDescent="0.35">
      <c r="A1702" s="1">
        <v>45827</v>
      </c>
      <c r="B1702" t="s">
        <v>48</v>
      </c>
      <c r="C1702" t="s">
        <v>49</v>
      </c>
      <c r="D1702" t="s">
        <v>50</v>
      </c>
      <c r="E1702" t="s">
        <v>33</v>
      </c>
      <c r="F1702">
        <v>416.96</v>
      </c>
      <c r="G1702">
        <v>109.4</v>
      </c>
      <c r="H1702">
        <v>95.21</v>
      </c>
      <c r="I1702">
        <v>96.14</v>
      </c>
      <c r="J1702">
        <v>79.069999999999993</v>
      </c>
      <c r="K1702" t="s">
        <v>28</v>
      </c>
      <c r="L1702">
        <v>8.5</v>
      </c>
      <c r="M1702">
        <v>2.6</v>
      </c>
      <c r="N1702" t="s">
        <v>35</v>
      </c>
      <c r="O1702">
        <v>10</v>
      </c>
      <c r="P1702" t="s">
        <v>43</v>
      </c>
      <c r="Q1702">
        <v>63</v>
      </c>
    </row>
    <row r="1703" spans="1:17" x14ac:dyDescent="0.35">
      <c r="A1703" s="1">
        <v>45827</v>
      </c>
      <c r="B1703" t="s">
        <v>66</v>
      </c>
      <c r="C1703" t="s">
        <v>67</v>
      </c>
      <c r="D1703" t="s">
        <v>68</v>
      </c>
      <c r="E1703" t="s">
        <v>27</v>
      </c>
      <c r="F1703">
        <v>223.14</v>
      </c>
      <c r="G1703">
        <v>43.5</v>
      </c>
      <c r="H1703">
        <v>93.39</v>
      </c>
      <c r="I1703">
        <v>94.62</v>
      </c>
      <c r="J1703">
        <v>82.74</v>
      </c>
      <c r="K1703" t="s">
        <v>34</v>
      </c>
      <c r="L1703">
        <v>8</v>
      </c>
      <c r="M1703">
        <v>5</v>
      </c>
      <c r="N1703" t="s">
        <v>39</v>
      </c>
      <c r="O1703">
        <v>14</v>
      </c>
      <c r="P1703" t="s">
        <v>23</v>
      </c>
      <c r="Q1703">
        <v>59.3</v>
      </c>
    </row>
    <row r="1704" spans="1:17" x14ac:dyDescent="0.35">
      <c r="A1704" s="1">
        <v>45827</v>
      </c>
      <c r="B1704" t="s">
        <v>59</v>
      </c>
      <c r="C1704" t="s">
        <v>60</v>
      </c>
      <c r="D1704" t="s">
        <v>61</v>
      </c>
      <c r="E1704" t="s">
        <v>62</v>
      </c>
      <c r="F1704">
        <v>530.38</v>
      </c>
      <c r="G1704">
        <v>178.6</v>
      </c>
      <c r="H1704">
        <v>86.45</v>
      </c>
      <c r="I1704">
        <v>94.45</v>
      </c>
      <c r="J1704">
        <v>86.67</v>
      </c>
      <c r="K1704" t="s">
        <v>63</v>
      </c>
      <c r="L1704">
        <v>8.5</v>
      </c>
      <c r="N1704" t="s">
        <v>35</v>
      </c>
      <c r="O1704">
        <v>5</v>
      </c>
      <c r="P1704" t="s">
        <v>43</v>
      </c>
      <c r="Q1704">
        <v>74.5</v>
      </c>
    </row>
    <row r="1705" spans="1:17" x14ac:dyDescent="0.35">
      <c r="A1705" s="1">
        <v>45827</v>
      </c>
      <c r="B1705" t="s">
        <v>44</v>
      </c>
      <c r="C1705" t="s">
        <v>45</v>
      </c>
      <c r="D1705" t="s">
        <v>46</v>
      </c>
      <c r="E1705" t="s">
        <v>33</v>
      </c>
      <c r="F1705">
        <v>333.61</v>
      </c>
      <c r="G1705">
        <v>441.7</v>
      </c>
      <c r="H1705">
        <v>96.71</v>
      </c>
      <c r="I1705">
        <v>98.75</v>
      </c>
      <c r="J1705">
        <v>73.709999999999994</v>
      </c>
      <c r="K1705" t="s">
        <v>28</v>
      </c>
      <c r="L1705">
        <v>8.1999999999999993</v>
      </c>
      <c r="M1705">
        <v>2.7</v>
      </c>
      <c r="N1705" t="s">
        <v>22</v>
      </c>
      <c r="O1705">
        <v>6</v>
      </c>
      <c r="P1705" t="s">
        <v>23</v>
      </c>
      <c r="Q1705">
        <v>63.4</v>
      </c>
    </row>
    <row r="1706" spans="1:17" x14ac:dyDescent="0.35">
      <c r="A1706" s="1">
        <v>45827</v>
      </c>
      <c r="B1706" t="s">
        <v>24</v>
      </c>
      <c r="C1706" t="s">
        <v>25</v>
      </c>
      <c r="D1706" t="s">
        <v>26</v>
      </c>
      <c r="E1706" t="s">
        <v>27</v>
      </c>
      <c r="F1706">
        <v>231.4</v>
      </c>
      <c r="G1706">
        <v>33.5</v>
      </c>
      <c r="H1706">
        <v>95.61</v>
      </c>
      <c r="I1706">
        <v>97.05</v>
      </c>
      <c r="J1706">
        <v>78.540000000000006</v>
      </c>
      <c r="K1706" t="s">
        <v>47</v>
      </c>
      <c r="L1706">
        <v>7.7</v>
      </c>
      <c r="M1706">
        <v>1.9</v>
      </c>
      <c r="N1706" t="s">
        <v>39</v>
      </c>
      <c r="O1706">
        <v>14</v>
      </c>
      <c r="P1706" t="s">
        <v>30</v>
      </c>
      <c r="Q1706">
        <v>60.8</v>
      </c>
    </row>
    <row r="1707" spans="1:17" x14ac:dyDescent="0.35">
      <c r="A1707" s="1">
        <v>45827</v>
      </c>
      <c r="B1707" t="s">
        <v>59</v>
      </c>
      <c r="C1707" t="s">
        <v>60</v>
      </c>
      <c r="D1707" t="s">
        <v>61</v>
      </c>
      <c r="E1707" t="s">
        <v>62</v>
      </c>
      <c r="F1707">
        <v>521.64</v>
      </c>
      <c r="G1707">
        <v>175.5</v>
      </c>
      <c r="H1707">
        <v>91.17</v>
      </c>
      <c r="I1707">
        <v>94.54</v>
      </c>
      <c r="J1707">
        <v>86.04</v>
      </c>
      <c r="K1707" t="s">
        <v>34</v>
      </c>
      <c r="L1707">
        <v>8.1</v>
      </c>
      <c r="N1707" t="s">
        <v>35</v>
      </c>
      <c r="O1707">
        <v>6</v>
      </c>
      <c r="P1707" t="s">
        <v>23</v>
      </c>
      <c r="Q1707">
        <v>74.5</v>
      </c>
    </row>
    <row r="1708" spans="1:17" x14ac:dyDescent="0.35">
      <c r="A1708" s="1">
        <v>45827</v>
      </c>
      <c r="B1708" t="s">
        <v>89</v>
      </c>
      <c r="C1708" t="s">
        <v>67</v>
      </c>
      <c r="D1708" t="s">
        <v>90</v>
      </c>
      <c r="E1708" t="s">
        <v>27</v>
      </c>
      <c r="F1708">
        <v>759.29</v>
      </c>
      <c r="G1708">
        <v>61.4</v>
      </c>
      <c r="H1708">
        <v>95.44</v>
      </c>
      <c r="I1708">
        <v>93.69</v>
      </c>
      <c r="J1708">
        <v>78.11</v>
      </c>
      <c r="K1708" t="s">
        <v>34</v>
      </c>
      <c r="L1708">
        <v>8.8000000000000007</v>
      </c>
      <c r="M1708">
        <v>1.7</v>
      </c>
      <c r="N1708" t="s">
        <v>29</v>
      </c>
      <c r="O1708">
        <v>8</v>
      </c>
      <c r="P1708" t="s">
        <v>43</v>
      </c>
      <c r="Q1708">
        <v>62.6</v>
      </c>
    </row>
    <row r="1709" spans="1:17" x14ac:dyDescent="0.35">
      <c r="A1709" s="1">
        <v>45827</v>
      </c>
      <c r="B1709" t="s">
        <v>84</v>
      </c>
      <c r="C1709" t="s">
        <v>18</v>
      </c>
      <c r="D1709" t="s">
        <v>85</v>
      </c>
      <c r="E1709" t="s">
        <v>33</v>
      </c>
      <c r="F1709">
        <v>88.61</v>
      </c>
      <c r="G1709">
        <v>73.5</v>
      </c>
      <c r="H1709">
        <v>94.16</v>
      </c>
      <c r="I1709">
        <v>94.37</v>
      </c>
      <c r="J1709">
        <v>76.150000000000006</v>
      </c>
      <c r="K1709" t="s">
        <v>34</v>
      </c>
      <c r="L1709">
        <v>6</v>
      </c>
      <c r="M1709">
        <v>3.2</v>
      </c>
      <c r="N1709" t="s">
        <v>22</v>
      </c>
      <c r="O1709">
        <v>9</v>
      </c>
      <c r="P1709" t="s">
        <v>23</v>
      </c>
      <c r="Q1709">
        <v>56.8</v>
      </c>
    </row>
    <row r="1710" spans="1:17" x14ac:dyDescent="0.35">
      <c r="A1710" s="1">
        <v>45827</v>
      </c>
      <c r="B1710" t="s">
        <v>55</v>
      </c>
      <c r="C1710" t="s">
        <v>56</v>
      </c>
      <c r="D1710">
        <v>4</v>
      </c>
      <c r="E1710" t="s">
        <v>57</v>
      </c>
      <c r="F1710">
        <v>30</v>
      </c>
      <c r="G1710">
        <v>138.80000000000001</v>
      </c>
      <c r="H1710">
        <v>86.53</v>
      </c>
      <c r="I1710">
        <v>95.1</v>
      </c>
      <c r="J1710">
        <v>79.39</v>
      </c>
      <c r="K1710" t="s">
        <v>58</v>
      </c>
      <c r="L1710">
        <v>6</v>
      </c>
      <c r="N1710" t="s">
        <v>35</v>
      </c>
      <c r="O1710">
        <v>4</v>
      </c>
      <c r="P1710" t="s">
        <v>43</v>
      </c>
      <c r="Q1710">
        <v>67.5</v>
      </c>
    </row>
    <row r="1711" spans="1:17" x14ac:dyDescent="0.35">
      <c r="A1711" s="1">
        <v>45827</v>
      </c>
      <c r="B1711" t="s">
        <v>48</v>
      </c>
      <c r="C1711" t="s">
        <v>49</v>
      </c>
      <c r="D1711" t="s">
        <v>50</v>
      </c>
      <c r="E1711" t="s">
        <v>33</v>
      </c>
      <c r="F1711">
        <v>374.65</v>
      </c>
      <c r="G1711">
        <v>156.9</v>
      </c>
      <c r="H1711">
        <v>95.56</v>
      </c>
      <c r="I1711">
        <v>93.41</v>
      </c>
      <c r="J1711">
        <v>75.36</v>
      </c>
      <c r="K1711" t="s">
        <v>28</v>
      </c>
      <c r="L1711">
        <v>8.4</v>
      </c>
      <c r="M1711">
        <v>4.7</v>
      </c>
      <c r="N1711" t="s">
        <v>22</v>
      </c>
      <c r="O1711">
        <v>5</v>
      </c>
      <c r="P1711" t="s">
        <v>23</v>
      </c>
      <c r="Q1711">
        <v>61.4</v>
      </c>
    </row>
    <row r="1712" spans="1:17" x14ac:dyDescent="0.35">
      <c r="A1712" s="1">
        <v>45827</v>
      </c>
      <c r="B1712" t="s">
        <v>59</v>
      </c>
      <c r="C1712" t="s">
        <v>60</v>
      </c>
      <c r="D1712" t="s">
        <v>61</v>
      </c>
      <c r="E1712" t="s">
        <v>62</v>
      </c>
      <c r="F1712">
        <v>506.19</v>
      </c>
      <c r="G1712">
        <v>182.3</v>
      </c>
      <c r="H1712">
        <v>89.62</v>
      </c>
      <c r="I1712">
        <v>93.86</v>
      </c>
      <c r="J1712">
        <v>88.14</v>
      </c>
      <c r="K1712" t="s">
        <v>63</v>
      </c>
      <c r="L1712">
        <v>8.9</v>
      </c>
      <c r="N1712" t="s">
        <v>35</v>
      </c>
      <c r="O1712">
        <v>6</v>
      </c>
      <c r="P1712" t="s">
        <v>23</v>
      </c>
      <c r="Q1712">
        <v>76.099999999999994</v>
      </c>
    </row>
    <row r="1713" spans="1:17" x14ac:dyDescent="0.35">
      <c r="A1713" s="1">
        <v>45827</v>
      </c>
      <c r="B1713" t="s">
        <v>31</v>
      </c>
      <c r="C1713" t="s">
        <v>18</v>
      </c>
      <c r="D1713" t="s">
        <v>32</v>
      </c>
      <c r="E1713" t="s">
        <v>33</v>
      </c>
      <c r="F1713">
        <v>257.19</v>
      </c>
      <c r="G1713">
        <v>191.2</v>
      </c>
      <c r="H1713">
        <v>93.65</v>
      </c>
      <c r="I1713">
        <v>96.58</v>
      </c>
      <c r="J1713">
        <v>78.52</v>
      </c>
      <c r="K1713" t="s">
        <v>34</v>
      </c>
      <c r="L1713">
        <v>7.4</v>
      </c>
      <c r="M1713">
        <v>3.1</v>
      </c>
      <c r="N1713" t="s">
        <v>35</v>
      </c>
      <c r="O1713">
        <v>9</v>
      </c>
      <c r="P1713" t="s">
        <v>23</v>
      </c>
      <c r="Q1713">
        <v>61.7</v>
      </c>
    </row>
    <row r="1714" spans="1:17" x14ac:dyDescent="0.35">
      <c r="A1714" s="1">
        <v>45827</v>
      </c>
      <c r="B1714" t="s">
        <v>80</v>
      </c>
      <c r="C1714" t="s">
        <v>45</v>
      </c>
      <c r="D1714" t="s">
        <v>81</v>
      </c>
      <c r="E1714" t="s">
        <v>33</v>
      </c>
      <c r="F1714">
        <v>977.73</v>
      </c>
      <c r="G1714">
        <v>305.2</v>
      </c>
      <c r="H1714">
        <v>92.82</v>
      </c>
      <c r="I1714">
        <v>99.21</v>
      </c>
      <c r="J1714">
        <v>78.599999999999994</v>
      </c>
      <c r="K1714" t="s">
        <v>28</v>
      </c>
      <c r="L1714">
        <v>8.9</v>
      </c>
      <c r="M1714">
        <v>3</v>
      </c>
      <c r="N1714" t="s">
        <v>35</v>
      </c>
      <c r="O1714">
        <v>9</v>
      </c>
      <c r="P1714" t="s">
        <v>23</v>
      </c>
      <c r="Q1714">
        <v>64.599999999999994</v>
      </c>
    </row>
    <row r="1715" spans="1:17" x14ac:dyDescent="0.35">
      <c r="A1715" s="1">
        <v>45827</v>
      </c>
      <c r="B1715" t="s">
        <v>48</v>
      </c>
      <c r="C1715" t="s">
        <v>49</v>
      </c>
      <c r="D1715" t="s">
        <v>50</v>
      </c>
      <c r="E1715" t="s">
        <v>33</v>
      </c>
      <c r="F1715">
        <v>482.65</v>
      </c>
      <c r="G1715">
        <v>126.6</v>
      </c>
      <c r="H1715">
        <v>93.5</v>
      </c>
      <c r="I1715">
        <v>95.28</v>
      </c>
      <c r="J1715">
        <v>74.72</v>
      </c>
      <c r="K1715" t="s">
        <v>47</v>
      </c>
      <c r="L1715">
        <v>9.4</v>
      </c>
      <c r="M1715">
        <v>1.6</v>
      </c>
      <c r="N1715" t="s">
        <v>35</v>
      </c>
      <c r="O1715">
        <v>10</v>
      </c>
      <c r="P1715" t="s">
        <v>23</v>
      </c>
      <c r="Q1715">
        <v>64.400000000000006</v>
      </c>
    </row>
    <row r="1716" spans="1:17" x14ac:dyDescent="0.35">
      <c r="A1716" s="1">
        <v>45827</v>
      </c>
      <c r="B1716" t="s">
        <v>48</v>
      </c>
      <c r="C1716" t="s">
        <v>49</v>
      </c>
      <c r="D1716" t="s">
        <v>50</v>
      </c>
      <c r="E1716" t="s">
        <v>33</v>
      </c>
      <c r="F1716">
        <v>366.61</v>
      </c>
      <c r="G1716">
        <v>176.2</v>
      </c>
      <c r="H1716">
        <v>92.75</v>
      </c>
      <c r="I1716">
        <v>96.75</v>
      </c>
      <c r="J1716">
        <v>79.400000000000006</v>
      </c>
      <c r="K1716" t="s">
        <v>28</v>
      </c>
      <c r="L1716">
        <v>8.4</v>
      </c>
      <c r="M1716">
        <v>4.9000000000000004</v>
      </c>
      <c r="N1716" t="s">
        <v>35</v>
      </c>
      <c r="O1716">
        <v>7</v>
      </c>
      <c r="P1716" t="s">
        <v>23</v>
      </c>
      <c r="Q1716">
        <v>62.2</v>
      </c>
    </row>
    <row r="1717" spans="1:17" x14ac:dyDescent="0.35">
      <c r="A1717" s="1">
        <v>45827</v>
      </c>
      <c r="B1717" t="s">
        <v>78</v>
      </c>
      <c r="C1717" t="s">
        <v>41</v>
      </c>
      <c r="D1717" t="s">
        <v>79</v>
      </c>
      <c r="E1717" t="s">
        <v>27</v>
      </c>
      <c r="F1717">
        <v>615.98</v>
      </c>
      <c r="G1717">
        <v>52.5</v>
      </c>
      <c r="H1717">
        <v>97.27</v>
      </c>
      <c r="I1717">
        <v>98.24</v>
      </c>
      <c r="J1717">
        <v>80.89</v>
      </c>
      <c r="K1717" t="s">
        <v>47</v>
      </c>
      <c r="L1717">
        <v>8.1999999999999993</v>
      </c>
      <c r="M1717">
        <v>2.2000000000000002</v>
      </c>
      <c r="N1717" t="s">
        <v>39</v>
      </c>
      <c r="O1717">
        <v>14</v>
      </c>
      <c r="P1717" t="s">
        <v>43</v>
      </c>
      <c r="Q1717">
        <v>62.6</v>
      </c>
    </row>
    <row r="1718" spans="1:17" x14ac:dyDescent="0.35">
      <c r="A1718" s="1">
        <v>45827</v>
      </c>
      <c r="B1718" t="s">
        <v>53</v>
      </c>
      <c r="C1718" t="s">
        <v>41</v>
      </c>
      <c r="D1718" t="s">
        <v>54</v>
      </c>
      <c r="E1718" t="s">
        <v>27</v>
      </c>
      <c r="F1718">
        <v>390.31</v>
      </c>
      <c r="G1718">
        <v>31.8</v>
      </c>
      <c r="H1718">
        <v>92.64</v>
      </c>
      <c r="I1718">
        <v>96.44</v>
      </c>
      <c r="J1718">
        <v>77.569999999999993</v>
      </c>
      <c r="K1718" t="s">
        <v>34</v>
      </c>
      <c r="L1718">
        <v>7.4</v>
      </c>
      <c r="M1718">
        <v>4.2</v>
      </c>
      <c r="N1718" t="s">
        <v>39</v>
      </c>
      <c r="O1718">
        <v>15</v>
      </c>
      <c r="P1718" t="s">
        <v>43</v>
      </c>
      <c r="Q1718">
        <v>57.9</v>
      </c>
    </row>
    <row r="1719" spans="1:17" x14ac:dyDescent="0.35">
      <c r="A1719" s="1">
        <v>45827</v>
      </c>
      <c r="B1719" t="s">
        <v>40</v>
      </c>
      <c r="C1719" t="s">
        <v>41</v>
      </c>
      <c r="D1719" t="s">
        <v>42</v>
      </c>
      <c r="E1719" t="s">
        <v>27</v>
      </c>
      <c r="F1719">
        <v>323.11</v>
      </c>
      <c r="G1719">
        <v>52.6</v>
      </c>
      <c r="H1719">
        <v>96.53</v>
      </c>
      <c r="I1719">
        <v>96.17</v>
      </c>
      <c r="J1719">
        <v>78.77</v>
      </c>
      <c r="K1719" t="s">
        <v>47</v>
      </c>
      <c r="L1719">
        <v>7.4</v>
      </c>
      <c r="M1719">
        <v>3.4</v>
      </c>
      <c r="N1719" t="s">
        <v>29</v>
      </c>
      <c r="O1719">
        <v>14</v>
      </c>
      <c r="P1719" t="s">
        <v>43</v>
      </c>
      <c r="Q1719">
        <v>59.7</v>
      </c>
    </row>
    <row r="1720" spans="1:17" x14ac:dyDescent="0.35">
      <c r="A1720" s="1">
        <v>45827</v>
      </c>
      <c r="B1720" t="s">
        <v>97</v>
      </c>
      <c r="C1720" t="s">
        <v>72</v>
      </c>
      <c r="D1720" t="s">
        <v>98</v>
      </c>
      <c r="E1720" t="s">
        <v>33</v>
      </c>
      <c r="F1720">
        <v>184.16</v>
      </c>
      <c r="G1720">
        <v>86.2</v>
      </c>
      <c r="H1720">
        <v>97.04</v>
      </c>
      <c r="I1720">
        <v>93.72</v>
      </c>
      <c r="J1720">
        <v>76.290000000000006</v>
      </c>
      <c r="K1720" t="s">
        <v>34</v>
      </c>
      <c r="L1720">
        <v>7.3</v>
      </c>
      <c r="M1720">
        <v>1.8</v>
      </c>
      <c r="N1720" t="s">
        <v>35</v>
      </c>
      <c r="O1720">
        <v>10</v>
      </c>
      <c r="P1720" t="s">
        <v>23</v>
      </c>
      <c r="Q1720">
        <v>60.5</v>
      </c>
    </row>
    <row r="1721" spans="1:17" x14ac:dyDescent="0.35">
      <c r="A1721" s="1">
        <v>45827</v>
      </c>
      <c r="B1721" t="s">
        <v>44</v>
      </c>
      <c r="C1721" t="s">
        <v>45</v>
      </c>
      <c r="D1721" t="s">
        <v>46</v>
      </c>
      <c r="E1721" t="s">
        <v>33</v>
      </c>
      <c r="F1721">
        <v>528.64</v>
      </c>
      <c r="G1721">
        <v>367.3</v>
      </c>
      <c r="H1721">
        <v>93.5</v>
      </c>
      <c r="I1721">
        <v>98.1</v>
      </c>
      <c r="J1721">
        <v>72.569999999999993</v>
      </c>
      <c r="K1721" t="s">
        <v>47</v>
      </c>
      <c r="L1721">
        <v>9.1</v>
      </c>
      <c r="M1721">
        <v>1.7</v>
      </c>
      <c r="N1721" t="s">
        <v>35</v>
      </c>
      <c r="O1721">
        <v>8</v>
      </c>
      <c r="P1721" t="s">
        <v>23</v>
      </c>
      <c r="Q1721">
        <v>64.7</v>
      </c>
    </row>
    <row r="1722" spans="1:17" x14ac:dyDescent="0.35">
      <c r="A1722" s="1">
        <v>45827</v>
      </c>
      <c r="B1722" t="s">
        <v>89</v>
      </c>
      <c r="C1722" t="s">
        <v>67</v>
      </c>
      <c r="D1722" t="s">
        <v>90</v>
      </c>
      <c r="E1722" t="s">
        <v>27</v>
      </c>
      <c r="F1722">
        <v>597.27</v>
      </c>
      <c r="G1722">
        <v>68.099999999999994</v>
      </c>
      <c r="H1722">
        <v>95.83</v>
      </c>
      <c r="I1722">
        <v>96.17</v>
      </c>
      <c r="J1722">
        <v>80.09</v>
      </c>
      <c r="K1722" t="s">
        <v>47</v>
      </c>
      <c r="L1722">
        <v>9.5</v>
      </c>
      <c r="M1722">
        <v>4.3</v>
      </c>
      <c r="N1722" t="s">
        <v>29</v>
      </c>
      <c r="O1722">
        <v>15</v>
      </c>
      <c r="P1722" t="s">
        <v>43</v>
      </c>
      <c r="Q1722">
        <v>63</v>
      </c>
    </row>
    <row r="1723" spans="1:17" x14ac:dyDescent="0.35">
      <c r="A1723" s="1">
        <v>45827</v>
      </c>
      <c r="B1723" t="s">
        <v>59</v>
      </c>
      <c r="C1723" t="s">
        <v>60</v>
      </c>
      <c r="D1723" t="s">
        <v>61</v>
      </c>
      <c r="E1723" t="s">
        <v>62</v>
      </c>
      <c r="F1723">
        <v>444.2</v>
      </c>
      <c r="G1723">
        <v>173.8</v>
      </c>
      <c r="H1723">
        <v>87.23</v>
      </c>
      <c r="I1723">
        <v>95.14</v>
      </c>
      <c r="J1723">
        <v>85.95</v>
      </c>
      <c r="K1723" t="s">
        <v>34</v>
      </c>
      <c r="L1723">
        <v>8.9</v>
      </c>
      <c r="N1723" t="s">
        <v>35</v>
      </c>
      <c r="O1723">
        <v>6</v>
      </c>
      <c r="P1723" t="s">
        <v>23</v>
      </c>
      <c r="Q1723">
        <v>75.5</v>
      </c>
    </row>
    <row r="1724" spans="1:17" x14ac:dyDescent="0.35">
      <c r="A1724" s="1">
        <v>45827</v>
      </c>
      <c r="B1724" t="s">
        <v>36</v>
      </c>
      <c r="C1724" t="s">
        <v>37</v>
      </c>
      <c r="D1724" t="s">
        <v>38</v>
      </c>
      <c r="E1724" t="s">
        <v>27</v>
      </c>
      <c r="F1724">
        <v>467.6</v>
      </c>
      <c r="G1724">
        <v>58.6</v>
      </c>
      <c r="H1724">
        <v>92.24</v>
      </c>
      <c r="I1724">
        <v>96.68</v>
      </c>
      <c r="J1724">
        <v>79.2</v>
      </c>
      <c r="K1724" t="s">
        <v>28</v>
      </c>
      <c r="L1724">
        <v>8.5</v>
      </c>
      <c r="M1724">
        <v>4.0999999999999996</v>
      </c>
      <c r="N1724" t="s">
        <v>29</v>
      </c>
      <c r="O1724">
        <v>9</v>
      </c>
      <c r="P1724" t="s">
        <v>23</v>
      </c>
      <c r="Q1724">
        <v>60.6</v>
      </c>
    </row>
    <row r="1725" spans="1:17" x14ac:dyDescent="0.35">
      <c r="A1725" s="1">
        <v>45827</v>
      </c>
      <c r="B1725" t="s">
        <v>36</v>
      </c>
      <c r="C1725" t="s">
        <v>37</v>
      </c>
      <c r="D1725" t="s">
        <v>38</v>
      </c>
      <c r="E1725" t="s">
        <v>33</v>
      </c>
      <c r="F1725">
        <v>342.25</v>
      </c>
      <c r="G1725">
        <v>79.400000000000006</v>
      </c>
      <c r="H1725">
        <v>96.17</v>
      </c>
      <c r="I1725">
        <v>93.97</v>
      </c>
      <c r="J1725">
        <v>74.790000000000006</v>
      </c>
      <c r="K1725" t="s">
        <v>34</v>
      </c>
      <c r="L1725">
        <v>8</v>
      </c>
      <c r="M1725">
        <v>1.9</v>
      </c>
      <c r="N1725" t="s">
        <v>22</v>
      </c>
      <c r="O1725">
        <v>6</v>
      </c>
      <c r="P1725" t="s">
        <v>23</v>
      </c>
      <c r="Q1725">
        <v>61.1</v>
      </c>
    </row>
    <row r="1726" spans="1:17" x14ac:dyDescent="0.35">
      <c r="A1726" s="1">
        <v>45827</v>
      </c>
      <c r="B1726" t="s">
        <v>76</v>
      </c>
      <c r="C1726" t="s">
        <v>45</v>
      </c>
      <c r="D1726" t="s">
        <v>77</v>
      </c>
      <c r="E1726" t="s">
        <v>33</v>
      </c>
      <c r="F1726">
        <v>616.91999999999996</v>
      </c>
      <c r="G1726">
        <v>361.2</v>
      </c>
      <c r="H1726">
        <v>97.26</v>
      </c>
      <c r="I1726">
        <v>99.28</v>
      </c>
      <c r="J1726">
        <v>79.069999999999993</v>
      </c>
      <c r="K1726" t="s">
        <v>34</v>
      </c>
      <c r="L1726">
        <v>9.3000000000000007</v>
      </c>
      <c r="M1726">
        <v>3.1</v>
      </c>
      <c r="N1726" t="s">
        <v>22</v>
      </c>
      <c r="O1726">
        <v>8</v>
      </c>
      <c r="P1726" t="s">
        <v>23</v>
      </c>
      <c r="Q1726">
        <v>66</v>
      </c>
    </row>
    <row r="1727" spans="1:17" x14ac:dyDescent="0.35">
      <c r="A1727" s="1">
        <v>45827</v>
      </c>
      <c r="B1727" t="s">
        <v>69</v>
      </c>
      <c r="C1727" t="s">
        <v>18</v>
      </c>
      <c r="D1727" t="s">
        <v>70</v>
      </c>
      <c r="E1727" t="s">
        <v>20</v>
      </c>
      <c r="F1727">
        <v>134.76</v>
      </c>
      <c r="G1727">
        <v>162.4</v>
      </c>
      <c r="H1727">
        <v>93.96</v>
      </c>
      <c r="I1727">
        <v>93.17</v>
      </c>
      <c r="J1727">
        <v>75.739999999999995</v>
      </c>
      <c r="K1727" t="s">
        <v>58</v>
      </c>
      <c r="L1727">
        <v>7.4</v>
      </c>
      <c r="N1727" t="s">
        <v>35</v>
      </c>
      <c r="O1727">
        <v>10</v>
      </c>
      <c r="P1727" t="s">
        <v>23</v>
      </c>
      <c r="Q1727">
        <v>71.2</v>
      </c>
    </row>
    <row r="1728" spans="1:17" x14ac:dyDescent="0.35">
      <c r="A1728" s="1">
        <v>45827</v>
      </c>
      <c r="B1728" t="s">
        <v>71</v>
      </c>
      <c r="C1728" t="s">
        <v>72</v>
      </c>
      <c r="D1728" t="s">
        <v>73</v>
      </c>
      <c r="E1728" t="s">
        <v>33</v>
      </c>
      <c r="F1728">
        <v>225.7</v>
      </c>
      <c r="G1728">
        <v>102.8</v>
      </c>
      <c r="H1728">
        <v>97.92</v>
      </c>
      <c r="I1728">
        <v>96.19</v>
      </c>
      <c r="J1728">
        <v>75.02</v>
      </c>
      <c r="K1728" t="s">
        <v>34</v>
      </c>
      <c r="L1728">
        <v>8.4</v>
      </c>
      <c r="M1728">
        <v>3.3</v>
      </c>
      <c r="N1728" t="s">
        <v>22</v>
      </c>
      <c r="O1728">
        <v>6</v>
      </c>
      <c r="P1728" t="s">
        <v>23</v>
      </c>
      <c r="Q1728">
        <v>62</v>
      </c>
    </row>
    <row r="1729" spans="1:17" x14ac:dyDescent="0.35">
      <c r="A1729" s="1">
        <v>45827</v>
      </c>
      <c r="B1729" t="s">
        <v>91</v>
      </c>
      <c r="C1729" t="s">
        <v>67</v>
      </c>
      <c r="D1729" t="s">
        <v>92</v>
      </c>
      <c r="E1729" t="s">
        <v>27</v>
      </c>
      <c r="F1729">
        <v>608.73</v>
      </c>
      <c r="G1729">
        <v>36.4</v>
      </c>
      <c r="H1729">
        <v>96.91</v>
      </c>
      <c r="I1729">
        <v>94.23</v>
      </c>
      <c r="J1729">
        <v>79.099999999999994</v>
      </c>
      <c r="K1729" t="s">
        <v>28</v>
      </c>
      <c r="L1729">
        <v>9.3000000000000007</v>
      </c>
      <c r="M1729">
        <v>3.4</v>
      </c>
      <c r="N1729" t="s">
        <v>39</v>
      </c>
      <c r="O1729">
        <v>9</v>
      </c>
      <c r="P1729" t="s">
        <v>23</v>
      </c>
      <c r="Q1729">
        <v>62.3</v>
      </c>
    </row>
    <row r="1730" spans="1:17" x14ac:dyDescent="0.35">
      <c r="A1730" s="1">
        <v>45827</v>
      </c>
      <c r="B1730" t="s">
        <v>53</v>
      </c>
      <c r="C1730" t="s">
        <v>41</v>
      </c>
      <c r="D1730" t="s">
        <v>54</v>
      </c>
      <c r="E1730" t="s">
        <v>27</v>
      </c>
      <c r="F1730">
        <v>621.9</v>
      </c>
      <c r="G1730">
        <v>41.2</v>
      </c>
      <c r="H1730">
        <v>97.65</v>
      </c>
      <c r="I1730">
        <v>97.04</v>
      </c>
      <c r="J1730">
        <v>79.39</v>
      </c>
      <c r="K1730" t="s">
        <v>28</v>
      </c>
      <c r="L1730">
        <v>8</v>
      </c>
      <c r="M1730">
        <v>2</v>
      </c>
      <c r="N1730" t="s">
        <v>39</v>
      </c>
      <c r="O1730">
        <v>12</v>
      </c>
      <c r="P1730" t="s">
        <v>43</v>
      </c>
      <c r="Q1730">
        <v>61.8</v>
      </c>
    </row>
    <row r="1731" spans="1:17" x14ac:dyDescent="0.35">
      <c r="A1731" s="1">
        <v>45827</v>
      </c>
      <c r="B1731" t="s">
        <v>76</v>
      </c>
      <c r="C1731" t="s">
        <v>45</v>
      </c>
      <c r="D1731" t="s">
        <v>77</v>
      </c>
      <c r="E1731" t="s">
        <v>33</v>
      </c>
      <c r="F1731">
        <v>302.89</v>
      </c>
      <c r="G1731">
        <v>605.79999999999995</v>
      </c>
      <c r="H1731">
        <v>94.71</v>
      </c>
      <c r="I1731">
        <v>99.45</v>
      </c>
      <c r="J1731">
        <v>74.78</v>
      </c>
      <c r="K1731" t="s">
        <v>28</v>
      </c>
      <c r="L1731">
        <v>7.7</v>
      </c>
      <c r="M1731">
        <v>2.9</v>
      </c>
      <c r="N1731" t="s">
        <v>22</v>
      </c>
      <c r="O1731">
        <v>9</v>
      </c>
      <c r="P1731" t="s">
        <v>23</v>
      </c>
      <c r="Q1731">
        <v>62.4</v>
      </c>
    </row>
    <row r="1732" spans="1:17" x14ac:dyDescent="0.35">
      <c r="A1732" s="1">
        <v>45827</v>
      </c>
      <c r="B1732" t="s">
        <v>48</v>
      </c>
      <c r="C1732" t="s">
        <v>49</v>
      </c>
      <c r="D1732" t="s">
        <v>50</v>
      </c>
      <c r="E1732" t="s">
        <v>27</v>
      </c>
      <c r="F1732">
        <v>205.68</v>
      </c>
      <c r="G1732">
        <v>22.7</v>
      </c>
      <c r="H1732">
        <v>94.59</v>
      </c>
      <c r="I1732">
        <v>95.81</v>
      </c>
      <c r="J1732">
        <v>84.88</v>
      </c>
      <c r="K1732" t="s">
        <v>34</v>
      </c>
      <c r="L1732">
        <v>8.3000000000000007</v>
      </c>
      <c r="M1732">
        <v>3.7</v>
      </c>
      <c r="N1732" t="s">
        <v>39</v>
      </c>
      <c r="O1732">
        <v>10</v>
      </c>
      <c r="P1732" t="s">
        <v>23</v>
      </c>
      <c r="Q1732">
        <v>61</v>
      </c>
    </row>
    <row r="1733" spans="1:17" x14ac:dyDescent="0.35">
      <c r="A1733" s="1">
        <v>45827</v>
      </c>
      <c r="B1733" t="s">
        <v>36</v>
      </c>
      <c r="C1733" t="s">
        <v>37</v>
      </c>
      <c r="D1733" t="s">
        <v>38</v>
      </c>
      <c r="E1733" t="s">
        <v>33</v>
      </c>
      <c r="F1733">
        <v>351.63</v>
      </c>
      <c r="G1733">
        <v>158.80000000000001</v>
      </c>
      <c r="H1733">
        <v>94.8</v>
      </c>
      <c r="I1733">
        <v>96.59</v>
      </c>
      <c r="J1733">
        <v>72.459999999999994</v>
      </c>
      <c r="K1733" t="s">
        <v>47</v>
      </c>
      <c r="L1733">
        <v>7</v>
      </c>
      <c r="M1733">
        <v>1.7</v>
      </c>
      <c r="N1733" t="s">
        <v>22</v>
      </c>
      <c r="O1733">
        <v>8</v>
      </c>
      <c r="P1733" t="s">
        <v>23</v>
      </c>
      <c r="Q1733">
        <v>61</v>
      </c>
    </row>
    <row r="1734" spans="1:17" x14ac:dyDescent="0.35">
      <c r="A1734" s="1">
        <v>45827</v>
      </c>
      <c r="B1734" t="s">
        <v>55</v>
      </c>
      <c r="C1734" t="s">
        <v>56</v>
      </c>
      <c r="D1734">
        <v>4</v>
      </c>
      <c r="E1734" t="s">
        <v>57</v>
      </c>
      <c r="F1734">
        <v>30</v>
      </c>
      <c r="G1734">
        <v>124.3</v>
      </c>
      <c r="H1734">
        <v>87.76</v>
      </c>
      <c r="I1734">
        <v>94.06</v>
      </c>
      <c r="J1734">
        <v>71.239999999999995</v>
      </c>
      <c r="K1734" t="s">
        <v>63</v>
      </c>
      <c r="L1734">
        <v>7.3</v>
      </c>
      <c r="N1734" t="s">
        <v>35</v>
      </c>
      <c r="O1734">
        <v>4</v>
      </c>
      <c r="P1734" t="s">
        <v>23</v>
      </c>
      <c r="Q1734">
        <v>68.2</v>
      </c>
    </row>
    <row r="1735" spans="1:17" x14ac:dyDescent="0.35">
      <c r="A1735" s="1">
        <v>45827</v>
      </c>
      <c r="B1735" t="s">
        <v>66</v>
      </c>
      <c r="C1735" t="s">
        <v>67</v>
      </c>
      <c r="D1735" t="s">
        <v>68</v>
      </c>
      <c r="E1735" t="s">
        <v>27</v>
      </c>
      <c r="F1735">
        <v>684.2</v>
      </c>
      <c r="G1735">
        <v>63.8</v>
      </c>
      <c r="H1735">
        <v>94.66</v>
      </c>
      <c r="I1735">
        <v>93.07</v>
      </c>
      <c r="J1735">
        <v>75.09</v>
      </c>
      <c r="K1735" t="s">
        <v>47</v>
      </c>
      <c r="L1735">
        <v>9.4</v>
      </c>
      <c r="M1735">
        <v>3.2</v>
      </c>
      <c r="N1735" t="s">
        <v>39</v>
      </c>
      <c r="O1735">
        <v>11</v>
      </c>
      <c r="P1735" t="s">
        <v>23</v>
      </c>
      <c r="Q1735">
        <v>61.9</v>
      </c>
    </row>
    <row r="1736" spans="1:17" x14ac:dyDescent="0.35">
      <c r="A1736" s="1">
        <v>45827</v>
      </c>
      <c r="B1736" t="s">
        <v>99</v>
      </c>
      <c r="C1736" t="s">
        <v>72</v>
      </c>
      <c r="D1736" t="s">
        <v>100</v>
      </c>
      <c r="E1736" t="s">
        <v>27</v>
      </c>
      <c r="F1736">
        <v>226.24</v>
      </c>
      <c r="G1736">
        <v>56</v>
      </c>
      <c r="H1736">
        <v>97.35</v>
      </c>
      <c r="I1736">
        <v>96.77</v>
      </c>
      <c r="J1736">
        <v>84.87</v>
      </c>
      <c r="K1736" t="s">
        <v>47</v>
      </c>
      <c r="L1736">
        <v>8.1999999999999993</v>
      </c>
      <c r="M1736">
        <v>3.4</v>
      </c>
      <c r="N1736" t="s">
        <v>29</v>
      </c>
      <c r="O1736">
        <v>12</v>
      </c>
      <c r="P1736" t="s">
        <v>23</v>
      </c>
      <c r="Q1736">
        <v>62.3</v>
      </c>
    </row>
    <row r="1737" spans="1:17" x14ac:dyDescent="0.35">
      <c r="A1737" s="1">
        <v>45827</v>
      </c>
      <c r="B1737" t="s">
        <v>80</v>
      </c>
      <c r="C1737" t="s">
        <v>45</v>
      </c>
      <c r="D1737" t="s">
        <v>81</v>
      </c>
      <c r="E1737" t="s">
        <v>27</v>
      </c>
      <c r="F1737">
        <v>960.9</v>
      </c>
      <c r="G1737">
        <v>700.1</v>
      </c>
      <c r="H1737">
        <v>97.95</v>
      </c>
      <c r="I1737">
        <v>98.85</v>
      </c>
      <c r="J1737">
        <v>84.98</v>
      </c>
      <c r="K1737" t="s">
        <v>28</v>
      </c>
      <c r="L1737">
        <v>8.8000000000000007</v>
      </c>
      <c r="M1737">
        <v>3</v>
      </c>
      <c r="N1737" t="s">
        <v>39</v>
      </c>
      <c r="O1737">
        <v>8</v>
      </c>
      <c r="P1737" t="s">
        <v>23</v>
      </c>
      <c r="Q1737">
        <v>66.3</v>
      </c>
    </row>
    <row r="1738" spans="1:17" x14ac:dyDescent="0.35">
      <c r="A1738" s="1">
        <v>45827</v>
      </c>
      <c r="B1738" t="s">
        <v>78</v>
      </c>
      <c r="C1738" t="s">
        <v>41</v>
      </c>
      <c r="D1738" t="s">
        <v>79</v>
      </c>
      <c r="E1738" t="s">
        <v>27</v>
      </c>
      <c r="F1738">
        <v>487.92</v>
      </c>
      <c r="G1738">
        <v>65.7</v>
      </c>
      <c r="H1738">
        <v>94.15</v>
      </c>
      <c r="I1738">
        <v>98.33</v>
      </c>
      <c r="J1738">
        <v>83.97</v>
      </c>
      <c r="K1738" t="s">
        <v>34</v>
      </c>
      <c r="L1738">
        <v>8.6999999999999993</v>
      </c>
      <c r="M1738">
        <v>5</v>
      </c>
      <c r="N1738" t="s">
        <v>29</v>
      </c>
      <c r="O1738">
        <v>12</v>
      </c>
      <c r="P1738" t="s">
        <v>43</v>
      </c>
      <c r="Q1738">
        <v>61.9</v>
      </c>
    </row>
    <row r="1739" spans="1:17" x14ac:dyDescent="0.35">
      <c r="A1739" s="1">
        <v>45827</v>
      </c>
      <c r="B1739" t="s">
        <v>76</v>
      </c>
      <c r="C1739" t="s">
        <v>45</v>
      </c>
      <c r="D1739" t="s">
        <v>77</v>
      </c>
      <c r="E1739" t="s">
        <v>27</v>
      </c>
      <c r="F1739">
        <v>721.87</v>
      </c>
      <c r="G1739">
        <v>370.6</v>
      </c>
      <c r="H1739">
        <v>95.97</v>
      </c>
      <c r="I1739">
        <v>98.73</v>
      </c>
      <c r="J1739">
        <v>79.42</v>
      </c>
      <c r="K1739" t="s">
        <v>34</v>
      </c>
      <c r="L1739">
        <v>8.3000000000000007</v>
      </c>
      <c r="M1739">
        <v>3.3</v>
      </c>
      <c r="N1739" t="s">
        <v>29</v>
      </c>
      <c r="O1739">
        <v>9</v>
      </c>
      <c r="P1739" t="s">
        <v>23</v>
      </c>
      <c r="Q1739">
        <v>64</v>
      </c>
    </row>
    <row r="1740" spans="1:17" x14ac:dyDescent="0.35">
      <c r="A1740" s="1">
        <v>45827</v>
      </c>
      <c r="B1740" t="s">
        <v>69</v>
      </c>
      <c r="C1740" t="s">
        <v>18</v>
      </c>
      <c r="D1740" t="s">
        <v>70</v>
      </c>
      <c r="E1740" t="s">
        <v>20</v>
      </c>
      <c r="F1740">
        <v>292.33</v>
      </c>
      <c r="G1740">
        <v>175.2</v>
      </c>
      <c r="H1740">
        <v>94.41</v>
      </c>
      <c r="I1740">
        <v>95.48</v>
      </c>
      <c r="J1740">
        <v>75.599999999999994</v>
      </c>
      <c r="K1740" t="s">
        <v>21</v>
      </c>
      <c r="L1740">
        <v>8.1</v>
      </c>
      <c r="N1740" t="s">
        <v>35</v>
      </c>
      <c r="O1740">
        <v>7</v>
      </c>
      <c r="P1740" t="s">
        <v>23</v>
      </c>
      <c r="Q1740">
        <v>73.3</v>
      </c>
    </row>
    <row r="1741" spans="1:17" x14ac:dyDescent="0.35">
      <c r="A1741" s="1">
        <v>45827</v>
      </c>
      <c r="B1741" t="s">
        <v>53</v>
      </c>
      <c r="C1741" t="s">
        <v>41</v>
      </c>
      <c r="D1741" t="s">
        <v>54</v>
      </c>
      <c r="E1741" t="s">
        <v>27</v>
      </c>
      <c r="F1741">
        <v>596.4</v>
      </c>
      <c r="G1741">
        <v>29.1</v>
      </c>
      <c r="H1741">
        <v>94.98</v>
      </c>
      <c r="I1741">
        <v>98.18</v>
      </c>
      <c r="J1741">
        <v>80.23</v>
      </c>
      <c r="K1741" t="s">
        <v>34</v>
      </c>
      <c r="L1741">
        <v>9.5</v>
      </c>
      <c r="M1741">
        <v>1.9</v>
      </c>
      <c r="N1741" t="s">
        <v>29</v>
      </c>
      <c r="O1741">
        <v>11</v>
      </c>
      <c r="P1741" t="s">
        <v>43</v>
      </c>
      <c r="Q1741">
        <v>64</v>
      </c>
    </row>
    <row r="1742" spans="1:17" x14ac:dyDescent="0.35">
      <c r="A1742" s="1">
        <v>45827</v>
      </c>
      <c r="B1742" t="s">
        <v>74</v>
      </c>
      <c r="C1742" t="s">
        <v>67</v>
      </c>
      <c r="D1742" t="s">
        <v>75</v>
      </c>
      <c r="E1742" t="s">
        <v>27</v>
      </c>
      <c r="F1742">
        <v>512.04</v>
      </c>
      <c r="G1742">
        <v>28.3</v>
      </c>
      <c r="H1742">
        <v>94.33</v>
      </c>
      <c r="I1742">
        <v>94.69</v>
      </c>
      <c r="J1742">
        <v>82.71</v>
      </c>
      <c r="K1742" t="s">
        <v>28</v>
      </c>
      <c r="L1742">
        <v>9.4</v>
      </c>
      <c r="M1742">
        <v>1.9</v>
      </c>
      <c r="N1742" t="s">
        <v>39</v>
      </c>
      <c r="O1742">
        <v>11</v>
      </c>
      <c r="P1742" t="s">
        <v>43</v>
      </c>
      <c r="Q1742">
        <v>63.6</v>
      </c>
    </row>
    <row r="1743" spans="1:17" x14ac:dyDescent="0.35">
      <c r="A1743" s="1">
        <v>45827</v>
      </c>
      <c r="B1743" t="s">
        <v>74</v>
      </c>
      <c r="C1743" t="s">
        <v>67</v>
      </c>
      <c r="D1743" t="s">
        <v>75</v>
      </c>
      <c r="E1743" t="s">
        <v>27</v>
      </c>
      <c r="F1743">
        <v>467.08</v>
      </c>
      <c r="G1743">
        <v>54.5</v>
      </c>
      <c r="H1743">
        <v>95.94</v>
      </c>
      <c r="I1743">
        <v>95.25</v>
      </c>
      <c r="J1743">
        <v>76.459999999999994</v>
      </c>
      <c r="K1743" t="s">
        <v>47</v>
      </c>
      <c r="L1743">
        <v>8.9</v>
      </c>
      <c r="M1743">
        <v>3.3</v>
      </c>
      <c r="N1743" t="s">
        <v>29</v>
      </c>
      <c r="O1743">
        <v>15</v>
      </c>
      <c r="P1743" t="s">
        <v>43</v>
      </c>
      <c r="Q1743">
        <v>61.7</v>
      </c>
    </row>
    <row r="1744" spans="1:17" x14ac:dyDescent="0.35">
      <c r="A1744" s="1">
        <v>45827</v>
      </c>
      <c r="B1744" t="s">
        <v>93</v>
      </c>
      <c r="C1744" t="s">
        <v>37</v>
      </c>
      <c r="D1744" t="s">
        <v>94</v>
      </c>
      <c r="E1744" t="s">
        <v>33</v>
      </c>
      <c r="F1744">
        <v>475.12</v>
      </c>
      <c r="G1744">
        <v>113.4</v>
      </c>
      <c r="H1744">
        <v>94.99</v>
      </c>
      <c r="I1744">
        <v>93.38</v>
      </c>
      <c r="J1744">
        <v>73.290000000000006</v>
      </c>
      <c r="K1744" t="s">
        <v>34</v>
      </c>
      <c r="L1744">
        <v>9</v>
      </c>
      <c r="M1744">
        <v>3.9</v>
      </c>
      <c r="N1744" t="s">
        <v>35</v>
      </c>
      <c r="O1744">
        <v>9</v>
      </c>
      <c r="P1744" t="s">
        <v>23</v>
      </c>
      <c r="Q1744">
        <v>61.6</v>
      </c>
    </row>
    <row r="1745" spans="1:17" x14ac:dyDescent="0.35">
      <c r="A1745" s="1">
        <v>45827</v>
      </c>
      <c r="B1745" t="s">
        <v>64</v>
      </c>
      <c r="C1745" t="s">
        <v>25</v>
      </c>
      <c r="D1745" t="s">
        <v>65</v>
      </c>
      <c r="E1745" t="s">
        <v>27</v>
      </c>
      <c r="F1745">
        <v>378.64</v>
      </c>
      <c r="G1745">
        <v>60.3</v>
      </c>
      <c r="H1745">
        <v>96.6</v>
      </c>
      <c r="I1745">
        <v>97.38</v>
      </c>
      <c r="J1745">
        <v>76.38</v>
      </c>
      <c r="K1745" t="s">
        <v>34</v>
      </c>
      <c r="L1745">
        <v>7.5</v>
      </c>
      <c r="M1745">
        <v>4.5</v>
      </c>
      <c r="N1745" t="s">
        <v>39</v>
      </c>
      <c r="O1745">
        <v>9</v>
      </c>
      <c r="P1745" t="s">
        <v>30</v>
      </c>
      <c r="Q1745">
        <v>59.1</v>
      </c>
    </row>
    <row r="1746" spans="1:17" x14ac:dyDescent="0.35">
      <c r="A1746" s="1">
        <v>45827</v>
      </c>
      <c r="B1746" t="s">
        <v>36</v>
      </c>
      <c r="C1746" t="s">
        <v>37</v>
      </c>
      <c r="D1746" t="s">
        <v>38</v>
      </c>
      <c r="E1746" t="s">
        <v>27</v>
      </c>
      <c r="F1746">
        <v>396.03</v>
      </c>
      <c r="G1746">
        <v>23.6</v>
      </c>
      <c r="H1746">
        <v>94.34</v>
      </c>
      <c r="I1746">
        <v>95.3</v>
      </c>
      <c r="J1746">
        <v>75.45</v>
      </c>
      <c r="K1746" t="s">
        <v>28</v>
      </c>
      <c r="L1746">
        <v>7.2</v>
      </c>
      <c r="M1746">
        <v>4.5</v>
      </c>
      <c r="N1746" t="s">
        <v>39</v>
      </c>
      <c r="O1746">
        <v>14</v>
      </c>
      <c r="P1746" t="s">
        <v>23</v>
      </c>
      <c r="Q1746">
        <v>57</v>
      </c>
    </row>
    <row r="1747" spans="1:17" x14ac:dyDescent="0.35">
      <c r="A1747" s="1">
        <v>45827</v>
      </c>
      <c r="B1747" t="s">
        <v>84</v>
      </c>
      <c r="C1747" t="s">
        <v>18</v>
      </c>
      <c r="D1747" t="s">
        <v>85</v>
      </c>
      <c r="E1747" t="s">
        <v>27</v>
      </c>
      <c r="F1747">
        <v>209.08</v>
      </c>
      <c r="G1747">
        <v>26.3</v>
      </c>
      <c r="H1747">
        <v>96.76</v>
      </c>
      <c r="I1747">
        <v>93.04</v>
      </c>
      <c r="J1747">
        <v>75.16</v>
      </c>
      <c r="K1747" t="s">
        <v>34</v>
      </c>
      <c r="L1747">
        <v>7.6</v>
      </c>
      <c r="M1747">
        <v>5</v>
      </c>
      <c r="N1747" t="s">
        <v>29</v>
      </c>
      <c r="O1747">
        <v>8</v>
      </c>
      <c r="P1747" t="s">
        <v>23</v>
      </c>
      <c r="Q1747">
        <v>57.3</v>
      </c>
    </row>
    <row r="1748" spans="1:17" x14ac:dyDescent="0.35">
      <c r="A1748" s="1">
        <v>45827</v>
      </c>
      <c r="B1748" t="s">
        <v>48</v>
      </c>
      <c r="C1748" t="s">
        <v>49</v>
      </c>
      <c r="D1748" t="s">
        <v>50</v>
      </c>
      <c r="E1748" t="s">
        <v>27</v>
      </c>
      <c r="F1748">
        <v>461.8</v>
      </c>
      <c r="G1748">
        <v>27</v>
      </c>
      <c r="H1748">
        <v>94.56</v>
      </c>
      <c r="I1748">
        <v>95.77</v>
      </c>
      <c r="J1748">
        <v>80.010000000000005</v>
      </c>
      <c r="K1748" t="s">
        <v>28</v>
      </c>
      <c r="L1748">
        <v>9</v>
      </c>
      <c r="M1748">
        <v>2.8</v>
      </c>
      <c r="N1748" t="s">
        <v>29</v>
      </c>
      <c r="O1748">
        <v>14</v>
      </c>
      <c r="P1748" t="s">
        <v>43</v>
      </c>
      <c r="Q1748">
        <v>62.1</v>
      </c>
    </row>
    <row r="1749" spans="1:17" x14ac:dyDescent="0.35">
      <c r="A1749" s="1">
        <v>45827</v>
      </c>
      <c r="B1749" t="s">
        <v>55</v>
      </c>
      <c r="C1749" t="s">
        <v>56</v>
      </c>
      <c r="D1749">
        <v>4</v>
      </c>
      <c r="E1749" t="s">
        <v>57</v>
      </c>
      <c r="F1749">
        <v>30</v>
      </c>
      <c r="G1749">
        <v>150.80000000000001</v>
      </c>
      <c r="H1749">
        <v>86.67</v>
      </c>
      <c r="I1749">
        <v>95.9</v>
      </c>
      <c r="J1749">
        <v>79.89</v>
      </c>
      <c r="K1749" t="s">
        <v>63</v>
      </c>
      <c r="L1749">
        <v>7.5</v>
      </c>
      <c r="N1749" t="s">
        <v>35</v>
      </c>
      <c r="O1749">
        <v>4</v>
      </c>
      <c r="P1749" t="s">
        <v>43</v>
      </c>
      <c r="Q1749">
        <v>71.099999999999994</v>
      </c>
    </row>
    <row r="1750" spans="1:17" x14ac:dyDescent="0.35">
      <c r="A1750" s="1">
        <v>45827</v>
      </c>
      <c r="B1750" t="s">
        <v>69</v>
      </c>
      <c r="C1750" t="s">
        <v>18</v>
      </c>
      <c r="D1750" t="s">
        <v>70</v>
      </c>
      <c r="E1750" t="s">
        <v>20</v>
      </c>
      <c r="F1750">
        <v>252.09</v>
      </c>
      <c r="G1750">
        <v>209.2</v>
      </c>
      <c r="H1750">
        <v>89.42</v>
      </c>
      <c r="I1750">
        <v>94.16</v>
      </c>
      <c r="J1750">
        <v>73.02</v>
      </c>
      <c r="K1750" t="s">
        <v>58</v>
      </c>
      <c r="L1750">
        <v>7.5</v>
      </c>
      <c r="N1750" t="s">
        <v>22</v>
      </c>
      <c r="O1750">
        <v>8</v>
      </c>
      <c r="P1750" t="s">
        <v>23</v>
      </c>
      <c r="Q1750">
        <v>70.3</v>
      </c>
    </row>
    <row r="1751" spans="1:17" x14ac:dyDescent="0.35">
      <c r="A1751" s="1">
        <v>45827</v>
      </c>
      <c r="B1751" t="s">
        <v>97</v>
      </c>
      <c r="C1751" t="s">
        <v>72</v>
      </c>
      <c r="D1751" t="s">
        <v>98</v>
      </c>
      <c r="E1751" t="s">
        <v>33</v>
      </c>
      <c r="F1751">
        <v>199.69</v>
      </c>
      <c r="G1751">
        <v>108.5</v>
      </c>
      <c r="H1751">
        <v>96.23</v>
      </c>
      <c r="I1751">
        <v>95.21</v>
      </c>
      <c r="J1751">
        <v>70.16</v>
      </c>
      <c r="K1751" t="s">
        <v>28</v>
      </c>
      <c r="L1751">
        <v>7.3</v>
      </c>
      <c r="M1751">
        <v>4.7</v>
      </c>
      <c r="N1751" t="s">
        <v>22</v>
      </c>
      <c r="O1751">
        <v>7</v>
      </c>
      <c r="P1751" t="s">
        <v>43</v>
      </c>
      <c r="Q1751">
        <v>58.1</v>
      </c>
    </row>
    <row r="1752" spans="1:17" x14ac:dyDescent="0.35">
      <c r="A1752" s="1">
        <v>45827</v>
      </c>
      <c r="B1752" t="s">
        <v>24</v>
      </c>
      <c r="C1752" t="s">
        <v>25</v>
      </c>
      <c r="D1752" t="s">
        <v>26</v>
      </c>
      <c r="E1752" t="s">
        <v>27</v>
      </c>
      <c r="F1752">
        <v>542.87</v>
      </c>
      <c r="G1752">
        <v>61</v>
      </c>
      <c r="H1752">
        <v>97.25</v>
      </c>
      <c r="I1752">
        <v>98.05</v>
      </c>
      <c r="J1752">
        <v>77.23</v>
      </c>
      <c r="K1752" t="s">
        <v>34</v>
      </c>
      <c r="L1752">
        <v>8.6999999999999993</v>
      </c>
      <c r="M1752">
        <v>2</v>
      </c>
      <c r="N1752" t="s">
        <v>29</v>
      </c>
      <c r="O1752">
        <v>13</v>
      </c>
      <c r="P1752" t="s">
        <v>30</v>
      </c>
      <c r="Q1752">
        <v>63.1</v>
      </c>
    </row>
    <row r="1753" spans="1:17" x14ac:dyDescent="0.35">
      <c r="A1753" s="1">
        <v>45827</v>
      </c>
      <c r="B1753" t="s">
        <v>36</v>
      </c>
      <c r="C1753" t="s">
        <v>37</v>
      </c>
      <c r="D1753" t="s">
        <v>38</v>
      </c>
      <c r="E1753" t="s">
        <v>33</v>
      </c>
      <c r="F1753">
        <v>397.22</v>
      </c>
      <c r="G1753">
        <v>101.9</v>
      </c>
      <c r="H1753">
        <v>96.05</v>
      </c>
      <c r="I1753">
        <v>96.96</v>
      </c>
      <c r="J1753">
        <v>78.22</v>
      </c>
      <c r="K1753" t="s">
        <v>47</v>
      </c>
      <c r="L1753">
        <v>8.1</v>
      </c>
      <c r="M1753">
        <v>2.8</v>
      </c>
      <c r="N1753" t="s">
        <v>35</v>
      </c>
      <c r="O1753">
        <v>8</v>
      </c>
      <c r="P1753" t="s">
        <v>23</v>
      </c>
      <c r="Q1753">
        <v>62.2</v>
      </c>
    </row>
    <row r="1754" spans="1:17" x14ac:dyDescent="0.35">
      <c r="A1754" s="1">
        <v>45827</v>
      </c>
      <c r="B1754" t="s">
        <v>91</v>
      </c>
      <c r="C1754" t="s">
        <v>67</v>
      </c>
      <c r="D1754" t="s">
        <v>92</v>
      </c>
      <c r="E1754" t="s">
        <v>27</v>
      </c>
      <c r="F1754">
        <v>341.75</v>
      </c>
      <c r="G1754">
        <v>63.5</v>
      </c>
      <c r="H1754">
        <v>96.75</v>
      </c>
      <c r="I1754">
        <v>94.56</v>
      </c>
      <c r="J1754">
        <v>83.23</v>
      </c>
      <c r="K1754" t="s">
        <v>47</v>
      </c>
      <c r="L1754">
        <v>7.6</v>
      </c>
      <c r="M1754">
        <v>2.1</v>
      </c>
      <c r="N1754" t="s">
        <v>39</v>
      </c>
      <c r="O1754">
        <v>14</v>
      </c>
      <c r="P1754" t="s">
        <v>23</v>
      </c>
      <c r="Q1754">
        <v>61.6</v>
      </c>
    </row>
    <row r="1755" spans="1:17" x14ac:dyDescent="0.35">
      <c r="A1755" s="1">
        <v>45827</v>
      </c>
      <c r="B1755" t="s">
        <v>66</v>
      </c>
      <c r="C1755" t="s">
        <v>67</v>
      </c>
      <c r="D1755" t="s">
        <v>68</v>
      </c>
      <c r="E1755" t="s">
        <v>27</v>
      </c>
      <c r="F1755">
        <v>503.33</v>
      </c>
      <c r="G1755">
        <v>69.5</v>
      </c>
      <c r="H1755">
        <v>94.99</v>
      </c>
      <c r="I1755">
        <v>95.86</v>
      </c>
      <c r="J1755">
        <v>76.16</v>
      </c>
      <c r="K1755" t="s">
        <v>34</v>
      </c>
      <c r="L1755">
        <v>8.9</v>
      </c>
      <c r="M1755">
        <v>4.5</v>
      </c>
      <c r="N1755" t="s">
        <v>39</v>
      </c>
      <c r="O1755">
        <v>8</v>
      </c>
      <c r="P1755" t="s">
        <v>43</v>
      </c>
      <c r="Q1755">
        <v>61</v>
      </c>
    </row>
    <row r="1756" spans="1:17" x14ac:dyDescent="0.35">
      <c r="A1756" s="1">
        <v>45827</v>
      </c>
      <c r="B1756" t="s">
        <v>91</v>
      </c>
      <c r="C1756" t="s">
        <v>67</v>
      </c>
      <c r="D1756" t="s">
        <v>92</v>
      </c>
      <c r="E1756" t="s">
        <v>27</v>
      </c>
      <c r="F1756">
        <v>585.13</v>
      </c>
      <c r="G1756">
        <v>26.4</v>
      </c>
      <c r="H1756">
        <v>95.04</v>
      </c>
      <c r="I1756">
        <v>95.87</v>
      </c>
      <c r="J1756">
        <v>76.52</v>
      </c>
      <c r="K1756" t="s">
        <v>47</v>
      </c>
      <c r="L1756">
        <v>9.1999999999999993</v>
      </c>
      <c r="M1756">
        <v>4.3</v>
      </c>
      <c r="N1756" t="s">
        <v>39</v>
      </c>
      <c r="O1756">
        <v>14</v>
      </c>
      <c r="P1756" t="s">
        <v>23</v>
      </c>
      <c r="Q1756">
        <v>60.9</v>
      </c>
    </row>
    <row r="1757" spans="1:17" x14ac:dyDescent="0.35">
      <c r="A1757" s="1">
        <v>45827</v>
      </c>
      <c r="B1757" t="s">
        <v>91</v>
      </c>
      <c r="C1757" t="s">
        <v>67</v>
      </c>
      <c r="D1757" t="s">
        <v>92</v>
      </c>
      <c r="E1757" t="s">
        <v>27</v>
      </c>
      <c r="F1757">
        <v>174.27</v>
      </c>
      <c r="G1757">
        <v>62.7</v>
      </c>
      <c r="H1757">
        <v>93.21</v>
      </c>
      <c r="I1757">
        <v>93.87</v>
      </c>
      <c r="J1757">
        <v>76.739999999999995</v>
      </c>
      <c r="K1757" t="s">
        <v>28</v>
      </c>
      <c r="L1757">
        <v>7.8</v>
      </c>
      <c r="M1757">
        <v>4.4000000000000004</v>
      </c>
      <c r="N1757" t="s">
        <v>29</v>
      </c>
      <c r="O1757">
        <v>9</v>
      </c>
      <c r="P1757" t="s">
        <v>43</v>
      </c>
      <c r="Q1757">
        <v>58.6</v>
      </c>
    </row>
    <row r="1758" spans="1:17" x14ac:dyDescent="0.35">
      <c r="A1758" s="1">
        <v>45827</v>
      </c>
      <c r="B1758" t="s">
        <v>64</v>
      </c>
      <c r="C1758" t="s">
        <v>25</v>
      </c>
      <c r="D1758" t="s">
        <v>65</v>
      </c>
      <c r="E1758" t="s">
        <v>27</v>
      </c>
      <c r="F1758">
        <v>566.9</v>
      </c>
      <c r="G1758">
        <v>70.599999999999994</v>
      </c>
      <c r="H1758">
        <v>96.25</v>
      </c>
      <c r="I1758">
        <v>97.7</v>
      </c>
      <c r="J1758">
        <v>75.02</v>
      </c>
      <c r="K1758" t="s">
        <v>28</v>
      </c>
      <c r="L1758">
        <v>8.5</v>
      </c>
      <c r="M1758">
        <v>2</v>
      </c>
      <c r="N1758" t="s">
        <v>29</v>
      </c>
      <c r="O1758">
        <v>14</v>
      </c>
      <c r="P1758" t="s">
        <v>30</v>
      </c>
      <c r="Q1758">
        <v>62.4</v>
      </c>
    </row>
    <row r="1759" spans="1:17" x14ac:dyDescent="0.35">
      <c r="A1759" s="1">
        <v>45827</v>
      </c>
      <c r="B1759" t="s">
        <v>48</v>
      </c>
      <c r="C1759" t="s">
        <v>49</v>
      </c>
      <c r="D1759" t="s">
        <v>50</v>
      </c>
      <c r="E1759" t="s">
        <v>33</v>
      </c>
      <c r="F1759">
        <v>438.9</v>
      </c>
      <c r="G1759">
        <v>141.9</v>
      </c>
      <c r="H1759">
        <v>93.96</v>
      </c>
      <c r="I1759">
        <v>94.89</v>
      </c>
      <c r="J1759">
        <v>76.11</v>
      </c>
      <c r="K1759" t="s">
        <v>28</v>
      </c>
      <c r="L1759">
        <v>9.1999999999999993</v>
      </c>
      <c r="M1759">
        <v>4.5</v>
      </c>
      <c r="N1759" t="s">
        <v>35</v>
      </c>
      <c r="O1759">
        <v>7</v>
      </c>
      <c r="P1759" t="s">
        <v>43</v>
      </c>
      <c r="Q1759">
        <v>62.6</v>
      </c>
    </row>
    <row r="1760" spans="1:17" x14ac:dyDescent="0.35">
      <c r="A1760" s="1">
        <v>45827</v>
      </c>
      <c r="B1760" t="s">
        <v>55</v>
      </c>
      <c r="C1760" t="s">
        <v>56</v>
      </c>
      <c r="D1760">
        <v>4</v>
      </c>
      <c r="E1760" t="s">
        <v>57</v>
      </c>
      <c r="F1760">
        <v>30</v>
      </c>
      <c r="G1760">
        <v>130.1</v>
      </c>
      <c r="H1760">
        <v>89.82</v>
      </c>
      <c r="I1760">
        <v>95.06</v>
      </c>
      <c r="J1760">
        <v>75.91</v>
      </c>
      <c r="K1760" t="s">
        <v>63</v>
      </c>
      <c r="L1760">
        <v>7.2</v>
      </c>
      <c r="N1760" t="s">
        <v>35</v>
      </c>
      <c r="O1760">
        <v>2</v>
      </c>
      <c r="P1760" t="s">
        <v>23</v>
      </c>
      <c r="Q1760">
        <v>69.7</v>
      </c>
    </row>
    <row r="1761" spans="1:17" x14ac:dyDescent="0.35">
      <c r="A1761" s="1">
        <v>45827</v>
      </c>
      <c r="B1761" t="s">
        <v>59</v>
      </c>
      <c r="C1761" t="s">
        <v>60</v>
      </c>
      <c r="D1761" t="s">
        <v>61</v>
      </c>
      <c r="E1761" t="s">
        <v>62</v>
      </c>
      <c r="F1761">
        <v>403.56</v>
      </c>
      <c r="G1761">
        <v>186.2</v>
      </c>
      <c r="H1761">
        <v>86.54</v>
      </c>
      <c r="I1761">
        <v>94.18</v>
      </c>
      <c r="J1761">
        <v>86.1</v>
      </c>
      <c r="K1761" t="s">
        <v>63</v>
      </c>
      <c r="L1761">
        <v>8.9</v>
      </c>
      <c r="N1761" t="s">
        <v>35</v>
      </c>
      <c r="O1761">
        <v>4</v>
      </c>
      <c r="P1761" t="s">
        <v>43</v>
      </c>
      <c r="Q1761">
        <v>75.2</v>
      </c>
    </row>
    <row r="1762" spans="1:17" x14ac:dyDescent="0.35">
      <c r="A1762" s="1">
        <v>45827</v>
      </c>
      <c r="B1762" t="s">
        <v>74</v>
      </c>
      <c r="C1762" t="s">
        <v>67</v>
      </c>
      <c r="D1762" t="s">
        <v>75</v>
      </c>
      <c r="E1762" t="s">
        <v>27</v>
      </c>
      <c r="F1762">
        <v>179.25</v>
      </c>
      <c r="G1762">
        <v>23.4</v>
      </c>
      <c r="H1762">
        <v>93.01</v>
      </c>
      <c r="I1762">
        <v>93.58</v>
      </c>
      <c r="J1762">
        <v>77.56</v>
      </c>
      <c r="K1762" t="s">
        <v>47</v>
      </c>
      <c r="L1762">
        <v>6.3</v>
      </c>
      <c r="M1762">
        <v>4.8</v>
      </c>
      <c r="N1762" t="s">
        <v>39</v>
      </c>
      <c r="O1762">
        <v>8</v>
      </c>
      <c r="P1762" t="s">
        <v>23</v>
      </c>
      <c r="Q1762">
        <v>55.1</v>
      </c>
    </row>
    <row r="1763" spans="1:17" x14ac:dyDescent="0.35">
      <c r="A1763" s="1">
        <v>45827</v>
      </c>
      <c r="B1763" t="s">
        <v>64</v>
      </c>
      <c r="C1763" t="s">
        <v>25</v>
      </c>
      <c r="D1763" t="s">
        <v>65</v>
      </c>
      <c r="E1763" t="s">
        <v>27</v>
      </c>
      <c r="F1763">
        <v>550.83000000000004</v>
      </c>
      <c r="G1763">
        <v>44.3</v>
      </c>
      <c r="H1763">
        <v>95.62</v>
      </c>
      <c r="I1763">
        <v>97.6</v>
      </c>
      <c r="J1763">
        <v>79.02</v>
      </c>
      <c r="K1763" t="s">
        <v>47</v>
      </c>
      <c r="L1763">
        <v>9</v>
      </c>
      <c r="M1763">
        <v>1.8</v>
      </c>
      <c r="N1763" t="s">
        <v>29</v>
      </c>
      <c r="O1763">
        <v>10</v>
      </c>
      <c r="P1763" t="s">
        <v>30</v>
      </c>
      <c r="Q1763">
        <v>63.4</v>
      </c>
    </row>
    <row r="1764" spans="1:17" x14ac:dyDescent="0.35">
      <c r="A1764" s="1">
        <v>45827</v>
      </c>
      <c r="B1764" t="s">
        <v>78</v>
      </c>
      <c r="C1764" t="s">
        <v>41</v>
      </c>
      <c r="D1764" t="s">
        <v>79</v>
      </c>
      <c r="E1764" t="s">
        <v>27</v>
      </c>
      <c r="F1764">
        <v>385.47</v>
      </c>
      <c r="G1764">
        <v>28.5</v>
      </c>
      <c r="H1764">
        <v>97.39</v>
      </c>
      <c r="I1764">
        <v>97.9</v>
      </c>
      <c r="J1764">
        <v>80.03</v>
      </c>
      <c r="K1764" t="s">
        <v>34</v>
      </c>
      <c r="L1764">
        <v>7.5</v>
      </c>
      <c r="M1764">
        <v>1.7</v>
      </c>
      <c r="N1764" t="s">
        <v>29</v>
      </c>
      <c r="O1764">
        <v>11</v>
      </c>
      <c r="P1764" t="s">
        <v>43</v>
      </c>
      <c r="Q1764">
        <v>61.2</v>
      </c>
    </row>
    <row r="1765" spans="1:17" x14ac:dyDescent="0.35">
      <c r="A1765" s="1">
        <v>45827</v>
      </c>
      <c r="B1765" t="s">
        <v>59</v>
      </c>
      <c r="C1765" t="s">
        <v>60</v>
      </c>
      <c r="D1765" t="s">
        <v>61</v>
      </c>
      <c r="E1765" t="s">
        <v>62</v>
      </c>
      <c r="F1765">
        <v>325.06</v>
      </c>
      <c r="G1765">
        <v>189.8</v>
      </c>
      <c r="H1765">
        <v>91.33</v>
      </c>
      <c r="I1765">
        <v>93.12</v>
      </c>
      <c r="J1765">
        <v>89.52</v>
      </c>
      <c r="K1765" t="s">
        <v>63</v>
      </c>
      <c r="L1765">
        <v>7.7</v>
      </c>
      <c r="N1765" t="s">
        <v>35</v>
      </c>
      <c r="O1765">
        <v>5</v>
      </c>
      <c r="P1765" t="s">
        <v>43</v>
      </c>
      <c r="Q1765">
        <v>74.2</v>
      </c>
    </row>
    <row r="1766" spans="1:17" x14ac:dyDescent="0.35">
      <c r="A1766" s="1">
        <v>45827</v>
      </c>
      <c r="B1766" t="s">
        <v>69</v>
      </c>
      <c r="C1766" t="s">
        <v>18</v>
      </c>
      <c r="D1766" t="s">
        <v>70</v>
      </c>
      <c r="E1766" t="s">
        <v>20</v>
      </c>
      <c r="F1766">
        <v>222.84</v>
      </c>
      <c r="G1766">
        <v>168.6</v>
      </c>
      <c r="H1766">
        <v>88.31</v>
      </c>
      <c r="I1766">
        <v>94.98</v>
      </c>
      <c r="J1766">
        <v>72.599999999999994</v>
      </c>
      <c r="K1766" t="s">
        <v>21</v>
      </c>
      <c r="L1766">
        <v>8.3000000000000007</v>
      </c>
      <c r="N1766" t="s">
        <v>35</v>
      </c>
      <c r="O1766">
        <v>10</v>
      </c>
      <c r="P1766" t="s">
        <v>23</v>
      </c>
      <c r="Q1766">
        <v>71.8</v>
      </c>
    </row>
    <row r="1767" spans="1:17" x14ac:dyDescent="0.35">
      <c r="A1767" s="1">
        <v>45827</v>
      </c>
      <c r="B1767" t="s">
        <v>89</v>
      </c>
      <c r="C1767" t="s">
        <v>67</v>
      </c>
      <c r="D1767" t="s">
        <v>90</v>
      </c>
      <c r="E1767" t="s">
        <v>27</v>
      </c>
      <c r="F1767">
        <v>482.01</v>
      </c>
      <c r="G1767">
        <v>70.3</v>
      </c>
      <c r="H1767">
        <v>93.91</v>
      </c>
      <c r="I1767">
        <v>93.91</v>
      </c>
      <c r="J1767">
        <v>84.21</v>
      </c>
      <c r="K1767" t="s">
        <v>28</v>
      </c>
      <c r="L1767">
        <v>9.5</v>
      </c>
      <c r="M1767">
        <v>2.5</v>
      </c>
      <c r="N1767" t="s">
        <v>39</v>
      </c>
      <c r="O1767">
        <v>8</v>
      </c>
      <c r="P1767" t="s">
        <v>23</v>
      </c>
      <c r="Q1767">
        <v>64.2</v>
      </c>
    </row>
    <row r="1768" spans="1:17" x14ac:dyDescent="0.35">
      <c r="A1768" s="1">
        <v>45827</v>
      </c>
      <c r="B1768" t="s">
        <v>55</v>
      </c>
      <c r="C1768" t="s">
        <v>56</v>
      </c>
      <c r="D1768">
        <v>4</v>
      </c>
      <c r="E1768" t="s">
        <v>57</v>
      </c>
      <c r="F1768">
        <v>30</v>
      </c>
      <c r="G1768">
        <v>165.8</v>
      </c>
      <c r="H1768">
        <v>90.63</v>
      </c>
      <c r="I1768">
        <v>96.5</v>
      </c>
      <c r="J1768">
        <v>79.709999999999994</v>
      </c>
      <c r="K1768" t="s">
        <v>63</v>
      </c>
      <c r="L1768">
        <v>6</v>
      </c>
      <c r="N1768" t="s">
        <v>35</v>
      </c>
      <c r="O1768">
        <v>3</v>
      </c>
      <c r="P1768" t="s">
        <v>43</v>
      </c>
      <c r="Q1768">
        <v>69.3</v>
      </c>
    </row>
    <row r="1769" spans="1:17" x14ac:dyDescent="0.35">
      <c r="A1769" s="1">
        <v>45827</v>
      </c>
      <c r="B1769" t="s">
        <v>59</v>
      </c>
      <c r="C1769" t="s">
        <v>60</v>
      </c>
      <c r="D1769" t="s">
        <v>61</v>
      </c>
      <c r="E1769" t="s">
        <v>62</v>
      </c>
      <c r="F1769">
        <v>546.69000000000005</v>
      </c>
      <c r="G1769">
        <v>173.4</v>
      </c>
      <c r="H1769">
        <v>91.7</v>
      </c>
      <c r="I1769">
        <v>94.13</v>
      </c>
      <c r="J1769">
        <v>85.53</v>
      </c>
      <c r="K1769" t="s">
        <v>34</v>
      </c>
      <c r="L1769">
        <v>8.1999999999999993</v>
      </c>
      <c r="N1769" t="s">
        <v>35</v>
      </c>
      <c r="O1769">
        <v>3</v>
      </c>
      <c r="P1769" t="s">
        <v>43</v>
      </c>
      <c r="Q1769">
        <v>74.7</v>
      </c>
    </row>
    <row r="1770" spans="1:17" x14ac:dyDescent="0.35">
      <c r="A1770" s="1">
        <v>45827</v>
      </c>
      <c r="B1770" t="s">
        <v>24</v>
      </c>
      <c r="C1770" t="s">
        <v>25</v>
      </c>
      <c r="D1770" t="s">
        <v>26</v>
      </c>
      <c r="E1770" t="s">
        <v>27</v>
      </c>
      <c r="F1770">
        <v>732.92</v>
      </c>
      <c r="G1770">
        <v>49.1</v>
      </c>
      <c r="H1770">
        <v>96.58</v>
      </c>
      <c r="I1770">
        <v>96.44</v>
      </c>
      <c r="J1770">
        <v>80.19</v>
      </c>
      <c r="K1770" t="s">
        <v>34</v>
      </c>
      <c r="L1770">
        <v>9.4</v>
      </c>
      <c r="M1770">
        <v>2.1</v>
      </c>
      <c r="N1770" t="s">
        <v>39</v>
      </c>
      <c r="O1770">
        <v>15</v>
      </c>
      <c r="P1770" t="s">
        <v>30</v>
      </c>
      <c r="Q1770">
        <v>64.099999999999994</v>
      </c>
    </row>
    <row r="1771" spans="1:17" x14ac:dyDescent="0.35">
      <c r="A1771" s="1">
        <v>45827</v>
      </c>
      <c r="B1771" t="s">
        <v>95</v>
      </c>
      <c r="C1771" t="s">
        <v>49</v>
      </c>
      <c r="D1771" t="s">
        <v>96</v>
      </c>
      <c r="E1771" t="s">
        <v>27</v>
      </c>
      <c r="F1771">
        <v>254.22</v>
      </c>
      <c r="G1771">
        <v>26.6</v>
      </c>
      <c r="H1771">
        <v>93.31</v>
      </c>
      <c r="I1771">
        <v>95.79</v>
      </c>
      <c r="J1771">
        <v>83.79</v>
      </c>
      <c r="K1771" t="s">
        <v>28</v>
      </c>
      <c r="L1771">
        <v>7.7</v>
      </c>
      <c r="M1771">
        <v>4</v>
      </c>
      <c r="N1771" t="s">
        <v>39</v>
      </c>
      <c r="O1771">
        <v>12</v>
      </c>
      <c r="P1771" t="s">
        <v>43</v>
      </c>
      <c r="Q1771">
        <v>59.5</v>
      </c>
    </row>
    <row r="1772" spans="1:17" x14ac:dyDescent="0.35">
      <c r="A1772" s="1">
        <v>45827</v>
      </c>
      <c r="B1772" t="s">
        <v>84</v>
      </c>
      <c r="C1772" t="s">
        <v>18</v>
      </c>
      <c r="D1772" t="s">
        <v>85</v>
      </c>
      <c r="E1772" t="s">
        <v>33</v>
      </c>
      <c r="F1772">
        <v>252.59</v>
      </c>
      <c r="G1772">
        <v>125.4</v>
      </c>
      <c r="H1772">
        <v>94.58</v>
      </c>
      <c r="I1772">
        <v>95.54</v>
      </c>
      <c r="J1772">
        <v>79.209999999999994</v>
      </c>
      <c r="K1772" t="s">
        <v>28</v>
      </c>
      <c r="L1772">
        <v>7.9</v>
      </c>
      <c r="M1772">
        <v>4.5</v>
      </c>
      <c r="N1772" t="s">
        <v>35</v>
      </c>
      <c r="O1772">
        <v>6</v>
      </c>
      <c r="P1772" t="s">
        <v>23</v>
      </c>
      <c r="Q1772">
        <v>60.9</v>
      </c>
    </row>
    <row r="1773" spans="1:17" x14ac:dyDescent="0.35">
      <c r="A1773" s="1">
        <v>45828</v>
      </c>
      <c r="B1773" t="s">
        <v>82</v>
      </c>
      <c r="C1773" t="s">
        <v>72</v>
      </c>
      <c r="D1773" t="s">
        <v>83</v>
      </c>
      <c r="E1773" t="s">
        <v>20</v>
      </c>
      <c r="F1773">
        <v>146.78</v>
      </c>
      <c r="G1773">
        <v>238.3</v>
      </c>
      <c r="H1773">
        <v>88.9</v>
      </c>
      <c r="I1773">
        <v>94.67</v>
      </c>
      <c r="J1773">
        <v>77.430000000000007</v>
      </c>
      <c r="K1773" t="s">
        <v>63</v>
      </c>
      <c r="L1773">
        <v>7.9</v>
      </c>
      <c r="N1773" t="s">
        <v>22</v>
      </c>
      <c r="O1773">
        <v>6</v>
      </c>
      <c r="P1773" t="s">
        <v>43</v>
      </c>
      <c r="Q1773">
        <v>72</v>
      </c>
    </row>
    <row r="1774" spans="1:17" x14ac:dyDescent="0.35">
      <c r="A1774" s="1">
        <v>45828</v>
      </c>
      <c r="B1774" t="s">
        <v>78</v>
      </c>
      <c r="C1774" t="s">
        <v>41</v>
      </c>
      <c r="D1774" t="s">
        <v>79</v>
      </c>
      <c r="E1774" t="s">
        <v>27</v>
      </c>
      <c r="F1774">
        <v>201.51</v>
      </c>
      <c r="G1774">
        <v>50.2</v>
      </c>
      <c r="H1774">
        <v>95.22</v>
      </c>
      <c r="I1774">
        <v>98.37</v>
      </c>
      <c r="J1774">
        <v>78.05</v>
      </c>
      <c r="K1774" t="s">
        <v>28</v>
      </c>
      <c r="L1774">
        <v>8.1</v>
      </c>
      <c r="M1774">
        <v>4</v>
      </c>
      <c r="N1774" t="s">
        <v>29</v>
      </c>
      <c r="O1774">
        <v>10</v>
      </c>
      <c r="P1774" t="s">
        <v>43</v>
      </c>
      <c r="Q1774">
        <v>60.4</v>
      </c>
    </row>
    <row r="1775" spans="1:17" x14ac:dyDescent="0.35">
      <c r="A1775" s="1">
        <v>45828</v>
      </c>
      <c r="B1775" t="s">
        <v>55</v>
      </c>
      <c r="C1775" t="s">
        <v>56</v>
      </c>
      <c r="D1775">
        <v>4</v>
      </c>
      <c r="E1775" t="s">
        <v>57</v>
      </c>
      <c r="F1775">
        <v>30</v>
      </c>
      <c r="G1775">
        <v>127</v>
      </c>
      <c r="H1775">
        <v>91.71</v>
      </c>
      <c r="I1775">
        <v>93.6</v>
      </c>
      <c r="J1775">
        <v>78.06</v>
      </c>
      <c r="K1775" t="s">
        <v>58</v>
      </c>
      <c r="L1775">
        <v>6.8</v>
      </c>
      <c r="N1775" t="s">
        <v>35</v>
      </c>
      <c r="O1775">
        <v>3</v>
      </c>
      <c r="P1775" t="s">
        <v>23</v>
      </c>
      <c r="Q1775">
        <v>69.3</v>
      </c>
    </row>
    <row r="1776" spans="1:17" x14ac:dyDescent="0.35">
      <c r="A1776" s="1">
        <v>45828</v>
      </c>
      <c r="B1776" t="s">
        <v>66</v>
      </c>
      <c r="C1776" t="s">
        <v>67</v>
      </c>
      <c r="D1776" t="s">
        <v>68</v>
      </c>
      <c r="E1776" t="s">
        <v>27</v>
      </c>
      <c r="F1776">
        <v>326.56</v>
      </c>
      <c r="G1776">
        <v>45.6</v>
      </c>
      <c r="H1776">
        <v>96.65</v>
      </c>
      <c r="I1776">
        <v>94.79</v>
      </c>
      <c r="J1776">
        <v>75.78</v>
      </c>
      <c r="K1776" t="s">
        <v>28</v>
      </c>
      <c r="L1776">
        <v>7.4</v>
      </c>
      <c r="M1776">
        <v>3.7</v>
      </c>
      <c r="N1776" t="s">
        <v>29</v>
      </c>
      <c r="O1776">
        <v>10</v>
      </c>
      <c r="P1776" t="s">
        <v>23</v>
      </c>
      <c r="Q1776">
        <v>58.6</v>
      </c>
    </row>
    <row r="1777" spans="1:17" x14ac:dyDescent="0.35">
      <c r="A1777" s="1">
        <v>45828</v>
      </c>
      <c r="B1777" t="s">
        <v>48</v>
      </c>
      <c r="C1777" t="s">
        <v>49</v>
      </c>
      <c r="D1777" t="s">
        <v>50</v>
      </c>
      <c r="E1777" t="s">
        <v>27</v>
      </c>
      <c r="F1777">
        <v>361.96</v>
      </c>
      <c r="G1777">
        <v>27.2</v>
      </c>
      <c r="H1777">
        <v>95.08</v>
      </c>
      <c r="I1777">
        <v>94.12</v>
      </c>
      <c r="J1777">
        <v>76.239999999999995</v>
      </c>
      <c r="K1777" t="s">
        <v>47</v>
      </c>
      <c r="L1777">
        <v>7</v>
      </c>
      <c r="M1777">
        <v>3.4</v>
      </c>
      <c r="N1777" t="s">
        <v>29</v>
      </c>
      <c r="O1777">
        <v>14</v>
      </c>
      <c r="P1777" t="s">
        <v>43</v>
      </c>
      <c r="Q1777">
        <v>57.5</v>
      </c>
    </row>
    <row r="1778" spans="1:17" x14ac:dyDescent="0.35">
      <c r="A1778" s="1">
        <v>45828</v>
      </c>
      <c r="B1778" t="s">
        <v>80</v>
      </c>
      <c r="C1778" t="s">
        <v>45</v>
      </c>
      <c r="D1778" t="s">
        <v>81</v>
      </c>
      <c r="E1778" t="s">
        <v>27</v>
      </c>
      <c r="F1778">
        <v>181.46</v>
      </c>
      <c r="G1778">
        <v>253.8</v>
      </c>
      <c r="H1778">
        <v>97.37</v>
      </c>
      <c r="I1778">
        <v>98.23</v>
      </c>
      <c r="J1778">
        <v>82.36</v>
      </c>
      <c r="K1778" t="s">
        <v>47</v>
      </c>
      <c r="L1778">
        <v>6.2</v>
      </c>
      <c r="M1778">
        <v>4.4000000000000004</v>
      </c>
      <c r="N1778" t="s">
        <v>29</v>
      </c>
      <c r="O1778">
        <v>15</v>
      </c>
      <c r="P1778" t="s">
        <v>23</v>
      </c>
      <c r="Q1778">
        <v>60.4</v>
      </c>
    </row>
    <row r="1779" spans="1:17" x14ac:dyDescent="0.35">
      <c r="A1779" s="1">
        <v>45828</v>
      </c>
      <c r="B1779" t="s">
        <v>93</v>
      </c>
      <c r="C1779" t="s">
        <v>37</v>
      </c>
      <c r="D1779" t="s">
        <v>94</v>
      </c>
      <c r="E1779" t="s">
        <v>33</v>
      </c>
      <c r="F1779">
        <v>362.91</v>
      </c>
      <c r="G1779">
        <v>238.3</v>
      </c>
      <c r="H1779">
        <v>92.61</v>
      </c>
      <c r="I1779">
        <v>96.32</v>
      </c>
      <c r="J1779">
        <v>77.510000000000005</v>
      </c>
      <c r="K1779" t="s">
        <v>34</v>
      </c>
      <c r="L1779">
        <v>8.3000000000000007</v>
      </c>
      <c r="M1779">
        <v>1.6</v>
      </c>
      <c r="N1779" t="s">
        <v>35</v>
      </c>
      <c r="O1779">
        <v>5</v>
      </c>
      <c r="P1779" t="s">
        <v>23</v>
      </c>
      <c r="Q1779">
        <v>63.8</v>
      </c>
    </row>
    <row r="1780" spans="1:17" x14ac:dyDescent="0.35">
      <c r="A1780" s="1">
        <v>45828</v>
      </c>
      <c r="B1780" t="s">
        <v>99</v>
      </c>
      <c r="C1780" t="s">
        <v>72</v>
      </c>
      <c r="D1780" t="s">
        <v>100</v>
      </c>
      <c r="E1780" t="s">
        <v>27</v>
      </c>
      <c r="F1780">
        <v>131.06</v>
      </c>
      <c r="G1780">
        <v>32.5</v>
      </c>
      <c r="H1780">
        <v>94.05</v>
      </c>
      <c r="I1780">
        <v>96.59</v>
      </c>
      <c r="J1780">
        <v>75.58</v>
      </c>
      <c r="K1780" t="s">
        <v>34</v>
      </c>
      <c r="L1780">
        <v>6.6</v>
      </c>
      <c r="M1780">
        <v>3.5</v>
      </c>
      <c r="N1780" t="s">
        <v>39</v>
      </c>
      <c r="O1780">
        <v>9</v>
      </c>
      <c r="P1780" t="s">
        <v>43</v>
      </c>
      <c r="Q1780">
        <v>57</v>
      </c>
    </row>
    <row r="1781" spans="1:17" x14ac:dyDescent="0.35">
      <c r="A1781" s="1">
        <v>45828</v>
      </c>
      <c r="B1781" t="s">
        <v>89</v>
      </c>
      <c r="C1781" t="s">
        <v>67</v>
      </c>
      <c r="D1781" t="s">
        <v>90</v>
      </c>
      <c r="E1781" t="s">
        <v>27</v>
      </c>
      <c r="F1781">
        <v>464.99</v>
      </c>
      <c r="G1781">
        <v>22.8</v>
      </c>
      <c r="H1781">
        <v>96.39</v>
      </c>
      <c r="I1781">
        <v>96.84</v>
      </c>
      <c r="J1781">
        <v>83.65</v>
      </c>
      <c r="K1781" t="s">
        <v>47</v>
      </c>
      <c r="L1781">
        <v>9.3000000000000007</v>
      </c>
      <c r="M1781">
        <v>3.8</v>
      </c>
      <c r="N1781" t="s">
        <v>39</v>
      </c>
      <c r="O1781">
        <v>14</v>
      </c>
      <c r="P1781" t="s">
        <v>23</v>
      </c>
      <c r="Q1781">
        <v>62.9</v>
      </c>
    </row>
    <row r="1782" spans="1:17" x14ac:dyDescent="0.35">
      <c r="A1782" s="1">
        <v>45828</v>
      </c>
      <c r="B1782" t="s">
        <v>71</v>
      </c>
      <c r="C1782" t="s">
        <v>72</v>
      </c>
      <c r="D1782" t="s">
        <v>73</v>
      </c>
      <c r="E1782" t="s">
        <v>27</v>
      </c>
      <c r="F1782">
        <v>267.5</v>
      </c>
      <c r="G1782">
        <v>18</v>
      </c>
      <c r="H1782">
        <v>94.61</v>
      </c>
      <c r="I1782">
        <v>93.29</v>
      </c>
      <c r="J1782">
        <v>75.42</v>
      </c>
      <c r="K1782" t="s">
        <v>47</v>
      </c>
      <c r="L1782">
        <v>7.1</v>
      </c>
      <c r="M1782">
        <v>3.6</v>
      </c>
      <c r="N1782" t="s">
        <v>39</v>
      </c>
      <c r="O1782">
        <v>13</v>
      </c>
      <c r="P1782" t="s">
        <v>23</v>
      </c>
      <c r="Q1782">
        <v>57</v>
      </c>
    </row>
    <row r="1783" spans="1:17" x14ac:dyDescent="0.35">
      <c r="A1783" s="1">
        <v>45828</v>
      </c>
      <c r="B1783" t="s">
        <v>59</v>
      </c>
      <c r="C1783" t="s">
        <v>60</v>
      </c>
      <c r="D1783" t="s">
        <v>61</v>
      </c>
      <c r="E1783" t="s">
        <v>62</v>
      </c>
      <c r="F1783">
        <v>342.16</v>
      </c>
      <c r="G1783">
        <v>189.3</v>
      </c>
      <c r="H1783">
        <v>89.46</v>
      </c>
      <c r="I1783">
        <v>94.36</v>
      </c>
      <c r="J1783">
        <v>90.01</v>
      </c>
      <c r="K1783" t="s">
        <v>34</v>
      </c>
      <c r="L1783">
        <v>7.1</v>
      </c>
      <c r="N1783" t="s">
        <v>35</v>
      </c>
      <c r="O1783">
        <v>4</v>
      </c>
      <c r="P1783" t="s">
        <v>43</v>
      </c>
      <c r="Q1783">
        <v>73</v>
      </c>
    </row>
    <row r="1784" spans="1:17" x14ac:dyDescent="0.35">
      <c r="A1784" s="1">
        <v>45828</v>
      </c>
      <c r="B1784" t="s">
        <v>66</v>
      </c>
      <c r="C1784" t="s">
        <v>67</v>
      </c>
      <c r="D1784" t="s">
        <v>68</v>
      </c>
      <c r="E1784" t="s">
        <v>27</v>
      </c>
      <c r="F1784">
        <v>578.30999999999995</v>
      </c>
      <c r="G1784">
        <v>35.6</v>
      </c>
      <c r="H1784">
        <v>95.58</v>
      </c>
      <c r="I1784">
        <v>95.4</v>
      </c>
      <c r="J1784">
        <v>78.260000000000005</v>
      </c>
      <c r="K1784" t="s">
        <v>47</v>
      </c>
      <c r="L1784">
        <v>9.3000000000000007</v>
      </c>
      <c r="M1784">
        <v>4.4000000000000004</v>
      </c>
      <c r="N1784" t="s">
        <v>39</v>
      </c>
      <c r="O1784">
        <v>13</v>
      </c>
      <c r="P1784" t="s">
        <v>43</v>
      </c>
      <c r="Q1784">
        <v>61.5</v>
      </c>
    </row>
    <row r="1785" spans="1:17" x14ac:dyDescent="0.35">
      <c r="A1785" s="1">
        <v>45828</v>
      </c>
      <c r="B1785" t="s">
        <v>24</v>
      </c>
      <c r="C1785" t="s">
        <v>25</v>
      </c>
      <c r="D1785" t="s">
        <v>26</v>
      </c>
      <c r="E1785" t="s">
        <v>27</v>
      </c>
      <c r="F1785">
        <v>706.68</v>
      </c>
      <c r="G1785">
        <v>71.7</v>
      </c>
      <c r="H1785">
        <v>93.48</v>
      </c>
      <c r="I1785">
        <v>98.32</v>
      </c>
      <c r="J1785">
        <v>83.89</v>
      </c>
      <c r="K1785" t="s">
        <v>47</v>
      </c>
      <c r="L1785">
        <v>8.5</v>
      </c>
      <c r="M1785">
        <v>1.7</v>
      </c>
      <c r="N1785" t="s">
        <v>29</v>
      </c>
      <c r="O1785">
        <v>8</v>
      </c>
      <c r="P1785" t="s">
        <v>30</v>
      </c>
      <c r="Q1785">
        <v>63.7</v>
      </c>
    </row>
    <row r="1786" spans="1:17" x14ac:dyDescent="0.35">
      <c r="A1786" s="1">
        <v>45828</v>
      </c>
      <c r="B1786" t="s">
        <v>99</v>
      </c>
      <c r="C1786" t="s">
        <v>72</v>
      </c>
      <c r="D1786" t="s">
        <v>100</v>
      </c>
      <c r="E1786" t="s">
        <v>27</v>
      </c>
      <c r="F1786">
        <v>76.099999999999994</v>
      </c>
      <c r="G1786">
        <v>52.2</v>
      </c>
      <c r="H1786">
        <v>95.62</v>
      </c>
      <c r="I1786">
        <v>94.39</v>
      </c>
      <c r="J1786">
        <v>84.25</v>
      </c>
      <c r="K1786" t="s">
        <v>47</v>
      </c>
      <c r="L1786">
        <v>7.4</v>
      </c>
      <c r="M1786">
        <v>3.9</v>
      </c>
      <c r="N1786" t="s">
        <v>29</v>
      </c>
      <c r="O1786">
        <v>10</v>
      </c>
      <c r="P1786" t="s">
        <v>43</v>
      </c>
      <c r="Q1786">
        <v>59.8</v>
      </c>
    </row>
    <row r="1787" spans="1:17" x14ac:dyDescent="0.35">
      <c r="A1787" s="1">
        <v>45828</v>
      </c>
      <c r="B1787" t="s">
        <v>99</v>
      </c>
      <c r="C1787" t="s">
        <v>72</v>
      </c>
      <c r="D1787" t="s">
        <v>100</v>
      </c>
      <c r="E1787" t="s">
        <v>33</v>
      </c>
      <c r="F1787">
        <v>182.77</v>
      </c>
      <c r="G1787">
        <v>187.5</v>
      </c>
      <c r="H1787">
        <v>94.95</v>
      </c>
      <c r="I1787">
        <v>96.02</v>
      </c>
      <c r="J1787">
        <v>73</v>
      </c>
      <c r="K1787" t="s">
        <v>34</v>
      </c>
      <c r="L1787">
        <v>7.6</v>
      </c>
      <c r="M1787">
        <v>3.6</v>
      </c>
      <c r="N1787" t="s">
        <v>22</v>
      </c>
      <c r="O1787">
        <v>9</v>
      </c>
      <c r="P1787" t="s">
        <v>23</v>
      </c>
      <c r="Q1787">
        <v>60.9</v>
      </c>
    </row>
    <row r="1788" spans="1:17" x14ac:dyDescent="0.35">
      <c r="A1788" s="1">
        <v>45828</v>
      </c>
      <c r="B1788" t="s">
        <v>17</v>
      </c>
      <c r="C1788" t="s">
        <v>18</v>
      </c>
      <c r="D1788" t="s">
        <v>19</v>
      </c>
      <c r="E1788" t="s">
        <v>20</v>
      </c>
      <c r="F1788">
        <v>130.79</v>
      </c>
      <c r="G1788">
        <v>124.8</v>
      </c>
      <c r="H1788">
        <v>90.88</v>
      </c>
      <c r="I1788">
        <v>95.84</v>
      </c>
      <c r="J1788">
        <v>71.260000000000005</v>
      </c>
      <c r="K1788" t="s">
        <v>21</v>
      </c>
      <c r="L1788">
        <v>7.2</v>
      </c>
      <c r="N1788" t="s">
        <v>35</v>
      </c>
      <c r="O1788">
        <v>9</v>
      </c>
      <c r="P1788" t="s">
        <v>23</v>
      </c>
      <c r="Q1788">
        <v>69</v>
      </c>
    </row>
    <row r="1789" spans="1:17" x14ac:dyDescent="0.35">
      <c r="A1789" s="1">
        <v>45828</v>
      </c>
      <c r="B1789" t="s">
        <v>74</v>
      </c>
      <c r="C1789" t="s">
        <v>67</v>
      </c>
      <c r="D1789" t="s">
        <v>75</v>
      </c>
      <c r="E1789" t="s">
        <v>27</v>
      </c>
      <c r="F1789">
        <v>249.12</v>
      </c>
      <c r="G1789">
        <v>62.8</v>
      </c>
      <c r="H1789">
        <v>95.52</v>
      </c>
      <c r="I1789">
        <v>96.03</v>
      </c>
      <c r="J1789">
        <v>82.25</v>
      </c>
      <c r="K1789" t="s">
        <v>34</v>
      </c>
      <c r="L1789">
        <v>8</v>
      </c>
      <c r="M1789">
        <v>5</v>
      </c>
      <c r="N1789" t="s">
        <v>39</v>
      </c>
      <c r="O1789">
        <v>10</v>
      </c>
      <c r="P1789" t="s">
        <v>43</v>
      </c>
      <c r="Q1789">
        <v>60.2</v>
      </c>
    </row>
    <row r="1790" spans="1:17" x14ac:dyDescent="0.35">
      <c r="A1790" s="1">
        <v>45828</v>
      </c>
      <c r="B1790" t="s">
        <v>97</v>
      </c>
      <c r="C1790" t="s">
        <v>72</v>
      </c>
      <c r="D1790" t="s">
        <v>98</v>
      </c>
      <c r="E1790" t="s">
        <v>27</v>
      </c>
      <c r="F1790">
        <v>203.55</v>
      </c>
      <c r="G1790">
        <v>57.4</v>
      </c>
      <c r="H1790">
        <v>97.94</v>
      </c>
      <c r="I1790">
        <v>94.13</v>
      </c>
      <c r="J1790">
        <v>82.96</v>
      </c>
      <c r="K1790" t="s">
        <v>28</v>
      </c>
      <c r="L1790">
        <v>8.3000000000000007</v>
      </c>
      <c r="M1790">
        <v>2.2999999999999998</v>
      </c>
      <c r="N1790" t="s">
        <v>29</v>
      </c>
      <c r="O1790">
        <v>12</v>
      </c>
      <c r="P1790" t="s">
        <v>43</v>
      </c>
      <c r="Q1790">
        <v>62.6</v>
      </c>
    </row>
    <row r="1791" spans="1:17" x14ac:dyDescent="0.35">
      <c r="A1791" s="1">
        <v>45828</v>
      </c>
      <c r="B1791" t="s">
        <v>78</v>
      </c>
      <c r="C1791" t="s">
        <v>41</v>
      </c>
      <c r="D1791" t="s">
        <v>79</v>
      </c>
      <c r="E1791" t="s">
        <v>27</v>
      </c>
      <c r="F1791">
        <v>661.81</v>
      </c>
      <c r="G1791">
        <v>39</v>
      </c>
      <c r="H1791">
        <v>96.35</v>
      </c>
      <c r="I1791">
        <v>96.44</v>
      </c>
      <c r="J1791">
        <v>81.56</v>
      </c>
      <c r="K1791" t="s">
        <v>47</v>
      </c>
      <c r="L1791">
        <v>9</v>
      </c>
      <c r="M1791">
        <v>1.8</v>
      </c>
      <c r="N1791" t="s">
        <v>39</v>
      </c>
      <c r="O1791">
        <v>15</v>
      </c>
      <c r="P1791" t="s">
        <v>43</v>
      </c>
      <c r="Q1791">
        <v>63.6</v>
      </c>
    </row>
    <row r="1792" spans="1:17" x14ac:dyDescent="0.35">
      <c r="A1792" s="1">
        <v>45828</v>
      </c>
      <c r="B1792" t="s">
        <v>44</v>
      </c>
      <c r="C1792" t="s">
        <v>45</v>
      </c>
      <c r="D1792" t="s">
        <v>46</v>
      </c>
      <c r="E1792" t="s">
        <v>33</v>
      </c>
      <c r="F1792">
        <v>449.59</v>
      </c>
      <c r="G1792">
        <v>246.1</v>
      </c>
      <c r="H1792">
        <v>95.26</v>
      </c>
      <c r="I1792">
        <v>99.2</v>
      </c>
      <c r="J1792">
        <v>70.67</v>
      </c>
      <c r="K1792" t="s">
        <v>34</v>
      </c>
      <c r="L1792">
        <v>9.4</v>
      </c>
      <c r="M1792">
        <v>4.4000000000000004</v>
      </c>
      <c r="N1792" t="s">
        <v>35</v>
      </c>
      <c r="O1792">
        <v>10</v>
      </c>
      <c r="P1792" t="s">
        <v>23</v>
      </c>
      <c r="Q1792">
        <v>63.6</v>
      </c>
    </row>
    <row r="1793" spans="1:17" x14ac:dyDescent="0.35">
      <c r="A1793" s="1">
        <v>45828</v>
      </c>
      <c r="B1793" t="s">
        <v>93</v>
      </c>
      <c r="C1793" t="s">
        <v>37</v>
      </c>
      <c r="D1793" t="s">
        <v>94</v>
      </c>
      <c r="E1793" t="s">
        <v>33</v>
      </c>
      <c r="F1793">
        <v>273.27</v>
      </c>
      <c r="G1793">
        <v>146.6</v>
      </c>
      <c r="H1793">
        <v>96.56</v>
      </c>
      <c r="I1793">
        <v>94.21</v>
      </c>
      <c r="J1793">
        <v>71.319999999999993</v>
      </c>
      <c r="K1793" t="s">
        <v>34</v>
      </c>
      <c r="L1793">
        <v>8.1999999999999993</v>
      </c>
      <c r="M1793">
        <v>3.2</v>
      </c>
      <c r="N1793" t="s">
        <v>22</v>
      </c>
      <c r="O1793">
        <v>8</v>
      </c>
      <c r="P1793" t="s">
        <v>23</v>
      </c>
      <c r="Q1793">
        <v>61.5</v>
      </c>
    </row>
    <row r="1794" spans="1:17" x14ac:dyDescent="0.35">
      <c r="A1794" s="1">
        <v>45828</v>
      </c>
      <c r="B1794" t="s">
        <v>36</v>
      </c>
      <c r="C1794" t="s">
        <v>37</v>
      </c>
      <c r="D1794" t="s">
        <v>38</v>
      </c>
      <c r="E1794" t="s">
        <v>27</v>
      </c>
      <c r="F1794">
        <v>346.13</v>
      </c>
      <c r="G1794">
        <v>22.9</v>
      </c>
      <c r="H1794">
        <v>93.4</v>
      </c>
      <c r="I1794">
        <v>93.88</v>
      </c>
      <c r="J1794">
        <v>80.260000000000005</v>
      </c>
      <c r="K1794" t="s">
        <v>47</v>
      </c>
      <c r="L1794">
        <v>7.5</v>
      </c>
      <c r="M1794">
        <v>3.6</v>
      </c>
      <c r="N1794" t="s">
        <v>39</v>
      </c>
      <c r="O1794">
        <v>13</v>
      </c>
      <c r="P1794" t="s">
        <v>23</v>
      </c>
      <c r="Q1794">
        <v>58.5</v>
      </c>
    </row>
    <row r="1795" spans="1:17" x14ac:dyDescent="0.35">
      <c r="A1795" s="1">
        <v>45828</v>
      </c>
      <c r="B1795" t="s">
        <v>76</v>
      </c>
      <c r="C1795" t="s">
        <v>45</v>
      </c>
      <c r="D1795" t="s">
        <v>77</v>
      </c>
      <c r="E1795" t="s">
        <v>33</v>
      </c>
      <c r="F1795">
        <v>733.26</v>
      </c>
      <c r="G1795">
        <v>330.2</v>
      </c>
      <c r="H1795">
        <v>92.86</v>
      </c>
      <c r="I1795">
        <v>98.64</v>
      </c>
      <c r="J1795">
        <v>74.55</v>
      </c>
      <c r="K1795" t="s">
        <v>28</v>
      </c>
      <c r="L1795">
        <v>9.5</v>
      </c>
      <c r="M1795">
        <v>1.9</v>
      </c>
      <c r="N1795" t="s">
        <v>35</v>
      </c>
      <c r="O1795">
        <v>10</v>
      </c>
      <c r="P1795" t="s">
        <v>23</v>
      </c>
      <c r="Q1795">
        <v>65.599999999999994</v>
      </c>
    </row>
    <row r="1796" spans="1:17" x14ac:dyDescent="0.35">
      <c r="A1796" s="1">
        <v>45828</v>
      </c>
      <c r="B1796" t="s">
        <v>80</v>
      </c>
      <c r="C1796" t="s">
        <v>45</v>
      </c>
      <c r="D1796" t="s">
        <v>81</v>
      </c>
      <c r="E1796" t="s">
        <v>33</v>
      </c>
      <c r="F1796">
        <v>762.14</v>
      </c>
      <c r="G1796">
        <v>617.1</v>
      </c>
      <c r="H1796">
        <v>94.87</v>
      </c>
      <c r="I1796">
        <v>98.1</v>
      </c>
      <c r="J1796">
        <v>75.78</v>
      </c>
      <c r="K1796" t="s">
        <v>28</v>
      </c>
      <c r="L1796">
        <v>8.4</v>
      </c>
      <c r="M1796">
        <v>1.8</v>
      </c>
      <c r="N1796" t="s">
        <v>22</v>
      </c>
      <c r="O1796">
        <v>6</v>
      </c>
      <c r="P1796" t="s">
        <v>23</v>
      </c>
      <c r="Q1796">
        <v>64.3</v>
      </c>
    </row>
    <row r="1797" spans="1:17" x14ac:dyDescent="0.35">
      <c r="A1797" s="1">
        <v>45828</v>
      </c>
      <c r="B1797" t="s">
        <v>69</v>
      </c>
      <c r="C1797" t="s">
        <v>18</v>
      </c>
      <c r="D1797" t="s">
        <v>70</v>
      </c>
      <c r="E1797" t="s">
        <v>20</v>
      </c>
      <c r="F1797">
        <v>82.12</v>
      </c>
      <c r="G1797">
        <v>211.6</v>
      </c>
      <c r="H1797">
        <v>90.92</v>
      </c>
      <c r="I1797">
        <v>96.06</v>
      </c>
      <c r="J1797">
        <v>74.7</v>
      </c>
      <c r="K1797" t="s">
        <v>58</v>
      </c>
      <c r="L1797">
        <v>7.5</v>
      </c>
      <c r="N1797" t="s">
        <v>35</v>
      </c>
      <c r="O1797">
        <v>7</v>
      </c>
      <c r="P1797" t="s">
        <v>23</v>
      </c>
      <c r="Q1797">
        <v>71.3</v>
      </c>
    </row>
    <row r="1798" spans="1:17" x14ac:dyDescent="0.35">
      <c r="A1798" s="1">
        <v>45828</v>
      </c>
      <c r="B1798" t="s">
        <v>44</v>
      </c>
      <c r="C1798" t="s">
        <v>45</v>
      </c>
      <c r="D1798" t="s">
        <v>46</v>
      </c>
      <c r="E1798" t="s">
        <v>33</v>
      </c>
      <c r="F1798">
        <v>253.15</v>
      </c>
      <c r="G1798">
        <v>692.3</v>
      </c>
      <c r="H1798">
        <v>92.3</v>
      </c>
      <c r="I1798">
        <v>99.39</v>
      </c>
      <c r="J1798">
        <v>74.33</v>
      </c>
      <c r="K1798" t="s">
        <v>28</v>
      </c>
      <c r="L1798">
        <v>7.6</v>
      </c>
      <c r="M1798">
        <v>1.6</v>
      </c>
      <c r="N1798" t="s">
        <v>35</v>
      </c>
      <c r="O1798">
        <v>6</v>
      </c>
      <c r="P1798" t="s">
        <v>23</v>
      </c>
      <c r="Q1798">
        <v>62.6</v>
      </c>
    </row>
    <row r="1799" spans="1:17" x14ac:dyDescent="0.35">
      <c r="A1799" s="1">
        <v>45828</v>
      </c>
      <c r="B1799" t="s">
        <v>31</v>
      </c>
      <c r="C1799" t="s">
        <v>18</v>
      </c>
      <c r="D1799" t="s">
        <v>32</v>
      </c>
      <c r="E1799" t="s">
        <v>27</v>
      </c>
      <c r="F1799">
        <v>181.74</v>
      </c>
      <c r="G1799">
        <v>53.8</v>
      </c>
      <c r="H1799">
        <v>97.79</v>
      </c>
      <c r="I1799">
        <v>93.74</v>
      </c>
      <c r="J1799">
        <v>75.66</v>
      </c>
      <c r="K1799" t="s">
        <v>28</v>
      </c>
      <c r="L1799">
        <v>6.5</v>
      </c>
      <c r="M1799">
        <v>2.7</v>
      </c>
      <c r="N1799" t="s">
        <v>29</v>
      </c>
      <c r="O1799">
        <v>13</v>
      </c>
      <c r="P1799" t="s">
        <v>23</v>
      </c>
      <c r="Q1799">
        <v>58</v>
      </c>
    </row>
    <row r="1800" spans="1:17" x14ac:dyDescent="0.35">
      <c r="A1800" s="1">
        <v>45828</v>
      </c>
      <c r="B1800" t="s">
        <v>84</v>
      </c>
      <c r="C1800" t="s">
        <v>18</v>
      </c>
      <c r="D1800" t="s">
        <v>85</v>
      </c>
      <c r="E1800" t="s">
        <v>27</v>
      </c>
      <c r="F1800">
        <v>93.79</v>
      </c>
      <c r="G1800">
        <v>22.8</v>
      </c>
      <c r="H1800">
        <v>93.67</v>
      </c>
      <c r="I1800">
        <v>96.95</v>
      </c>
      <c r="J1800">
        <v>81.55</v>
      </c>
      <c r="K1800" t="s">
        <v>28</v>
      </c>
      <c r="L1800">
        <v>6.3</v>
      </c>
      <c r="M1800">
        <v>4.0999999999999996</v>
      </c>
      <c r="N1800" t="s">
        <v>39</v>
      </c>
      <c r="O1800">
        <v>9</v>
      </c>
      <c r="P1800" t="s">
        <v>23</v>
      </c>
      <c r="Q1800">
        <v>56.9</v>
      </c>
    </row>
    <row r="1801" spans="1:17" x14ac:dyDescent="0.35">
      <c r="A1801" s="1">
        <v>45828</v>
      </c>
      <c r="B1801" t="s">
        <v>24</v>
      </c>
      <c r="C1801" t="s">
        <v>25</v>
      </c>
      <c r="D1801" t="s">
        <v>26</v>
      </c>
      <c r="E1801" t="s">
        <v>27</v>
      </c>
      <c r="F1801">
        <v>261.38</v>
      </c>
      <c r="G1801">
        <v>45.8</v>
      </c>
      <c r="H1801">
        <v>93.01</v>
      </c>
      <c r="I1801">
        <v>97.88</v>
      </c>
      <c r="J1801">
        <v>76.63</v>
      </c>
      <c r="K1801" t="s">
        <v>47</v>
      </c>
      <c r="L1801">
        <v>7.3</v>
      </c>
      <c r="M1801">
        <v>2.2000000000000002</v>
      </c>
      <c r="N1801" t="s">
        <v>29</v>
      </c>
      <c r="O1801">
        <v>10</v>
      </c>
      <c r="P1801" t="s">
        <v>30</v>
      </c>
      <c r="Q1801">
        <v>59.5</v>
      </c>
    </row>
    <row r="1802" spans="1:17" x14ac:dyDescent="0.35">
      <c r="A1802" s="1">
        <v>45828</v>
      </c>
      <c r="B1802" t="s">
        <v>74</v>
      </c>
      <c r="C1802" t="s">
        <v>67</v>
      </c>
      <c r="D1802" t="s">
        <v>75</v>
      </c>
      <c r="E1802" t="s">
        <v>27</v>
      </c>
      <c r="F1802">
        <v>587.75</v>
      </c>
      <c r="G1802">
        <v>44.5</v>
      </c>
      <c r="H1802">
        <v>97.41</v>
      </c>
      <c r="I1802">
        <v>94.17</v>
      </c>
      <c r="J1802">
        <v>76.63</v>
      </c>
      <c r="K1802" t="s">
        <v>34</v>
      </c>
      <c r="L1802">
        <v>8.9</v>
      </c>
      <c r="M1802">
        <v>3</v>
      </c>
      <c r="N1802" t="s">
        <v>39</v>
      </c>
      <c r="O1802">
        <v>9</v>
      </c>
      <c r="P1802" t="s">
        <v>43</v>
      </c>
      <c r="Q1802">
        <v>61.8</v>
      </c>
    </row>
    <row r="1803" spans="1:17" x14ac:dyDescent="0.35">
      <c r="A1803" s="1">
        <v>45828</v>
      </c>
      <c r="B1803" t="s">
        <v>99</v>
      </c>
      <c r="C1803" t="s">
        <v>72</v>
      </c>
      <c r="D1803" t="s">
        <v>100</v>
      </c>
      <c r="E1803" t="s">
        <v>27</v>
      </c>
      <c r="F1803">
        <v>82.93</v>
      </c>
      <c r="G1803">
        <v>56.4</v>
      </c>
      <c r="H1803">
        <v>97.41</v>
      </c>
      <c r="I1803">
        <v>96.6</v>
      </c>
      <c r="J1803">
        <v>82.95</v>
      </c>
      <c r="K1803" t="s">
        <v>34</v>
      </c>
      <c r="L1803">
        <v>6.1</v>
      </c>
      <c r="M1803">
        <v>4.4000000000000004</v>
      </c>
      <c r="N1803" t="s">
        <v>39</v>
      </c>
      <c r="O1803">
        <v>10</v>
      </c>
      <c r="P1803" t="s">
        <v>23</v>
      </c>
      <c r="Q1803">
        <v>57.8</v>
      </c>
    </row>
    <row r="1804" spans="1:17" x14ac:dyDescent="0.35">
      <c r="A1804" s="1">
        <v>45828</v>
      </c>
      <c r="B1804" t="s">
        <v>55</v>
      </c>
      <c r="C1804" t="s">
        <v>56</v>
      </c>
      <c r="D1804">
        <v>4</v>
      </c>
      <c r="E1804" t="s">
        <v>57</v>
      </c>
      <c r="F1804">
        <v>30</v>
      </c>
      <c r="G1804">
        <v>134.30000000000001</v>
      </c>
      <c r="H1804">
        <v>89.99</v>
      </c>
      <c r="I1804">
        <v>96.49</v>
      </c>
      <c r="J1804">
        <v>75.25</v>
      </c>
      <c r="K1804" t="s">
        <v>21</v>
      </c>
      <c r="L1804">
        <v>7.8</v>
      </c>
      <c r="N1804" t="s">
        <v>35</v>
      </c>
      <c r="O1804">
        <v>3</v>
      </c>
      <c r="P1804" t="s">
        <v>43</v>
      </c>
      <c r="Q1804">
        <v>71.099999999999994</v>
      </c>
    </row>
    <row r="1805" spans="1:17" x14ac:dyDescent="0.35">
      <c r="A1805" s="1">
        <v>45828</v>
      </c>
      <c r="B1805" t="s">
        <v>59</v>
      </c>
      <c r="C1805" t="s">
        <v>60</v>
      </c>
      <c r="D1805" t="s">
        <v>61</v>
      </c>
      <c r="E1805" t="s">
        <v>62</v>
      </c>
      <c r="F1805">
        <v>390.67</v>
      </c>
      <c r="G1805">
        <v>184.8</v>
      </c>
      <c r="H1805">
        <v>85.14</v>
      </c>
      <c r="I1805">
        <v>95.1</v>
      </c>
      <c r="J1805">
        <v>89.86</v>
      </c>
      <c r="K1805" t="s">
        <v>63</v>
      </c>
      <c r="L1805">
        <v>7.6</v>
      </c>
      <c r="N1805" t="s">
        <v>35</v>
      </c>
      <c r="O1805">
        <v>3</v>
      </c>
      <c r="P1805" t="s">
        <v>23</v>
      </c>
      <c r="Q1805">
        <v>73.2</v>
      </c>
    </row>
    <row r="1806" spans="1:17" x14ac:dyDescent="0.35">
      <c r="A1806" s="1">
        <v>45828</v>
      </c>
      <c r="B1806" t="s">
        <v>48</v>
      </c>
      <c r="C1806" t="s">
        <v>49</v>
      </c>
      <c r="D1806" t="s">
        <v>50</v>
      </c>
      <c r="E1806" t="s">
        <v>33</v>
      </c>
      <c r="F1806">
        <v>431.29</v>
      </c>
      <c r="G1806">
        <v>229.8</v>
      </c>
      <c r="H1806">
        <v>95.21</v>
      </c>
      <c r="I1806">
        <v>93.74</v>
      </c>
      <c r="J1806">
        <v>78.86</v>
      </c>
      <c r="K1806" t="s">
        <v>28</v>
      </c>
      <c r="L1806">
        <v>9.4</v>
      </c>
      <c r="M1806">
        <v>4</v>
      </c>
      <c r="N1806" t="s">
        <v>22</v>
      </c>
      <c r="O1806">
        <v>5</v>
      </c>
      <c r="P1806" t="s">
        <v>43</v>
      </c>
      <c r="Q1806">
        <v>64.3</v>
      </c>
    </row>
    <row r="1807" spans="1:17" x14ac:dyDescent="0.35">
      <c r="A1807" s="1">
        <v>45828</v>
      </c>
      <c r="B1807" t="s">
        <v>59</v>
      </c>
      <c r="C1807" t="s">
        <v>60</v>
      </c>
      <c r="D1807" t="s">
        <v>61</v>
      </c>
      <c r="E1807" t="s">
        <v>62</v>
      </c>
      <c r="F1807">
        <v>494.59</v>
      </c>
      <c r="G1807">
        <v>170.8</v>
      </c>
      <c r="H1807">
        <v>87.07</v>
      </c>
      <c r="I1807">
        <v>96.03</v>
      </c>
      <c r="J1807">
        <v>86.37</v>
      </c>
      <c r="K1807" t="s">
        <v>63</v>
      </c>
      <c r="L1807">
        <v>9.4</v>
      </c>
      <c r="N1807" t="s">
        <v>35</v>
      </c>
      <c r="O1807">
        <v>6</v>
      </c>
      <c r="P1807" t="s">
        <v>23</v>
      </c>
      <c r="Q1807">
        <v>76.7</v>
      </c>
    </row>
    <row r="1808" spans="1:17" x14ac:dyDescent="0.35">
      <c r="A1808" s="1">
        <v>45828</v>
      </c>
      <c r="B1808" t="s">
        <v>55</v>
      </c>
      <c r="C1808" t="s">
        <v>56</v>
      </c>
      <c r="D1808">
        <v>4</v>
      </c>
      <c r="E1808" t="s">
        <v>57</v>
      </c>
      <c r="F1808">
        <v>30</v>
      </c>
      <c r="G1808">
        <v>162.30000000000001</v>
      </c>
      <c r="H1808">
        <v>85.98</v>
      </c>
      <c r="I1808">
        <v>94.12</v>
      </c>
      <c r="J1808">
        <v>74.260000000000005</v>
      </c>
      <c r="K1808" t="s">
        <v>58</v>
      </c>
      <c r="L1808">
        <v>6.9</v>
      </c>
      <c r="N1808" t="s">
        <v>35</v>
      </c>
      <c r="O1808">
        <v>2</v>
      </c>
      <c r="P1808" t="s">
        <v>23</v>
      </c>
      <c r="Q1808">
        <v>68.5</v>
      </c>
    </row>
    <row r="1809" spans="1:17" x14ac:dyDescent="0.35">
      <c r="A1809" s="1">
        <v>45828</v>
      </c>
      <c r="B1809" t="s">
        <v>59</v>
      </c>
      <c r="C1809" t="s">
        <v>60</v>
      </c>
      <c r="D1809" t="s">
        <v>61</v>
      </c>
      <c r="E1809" t="s">
        <v>62</v>
      </c>
      <c r="F1809">
        <v>382.51</v>
      </c>
      <c r="G1809">
        <v>182.7</v>
      </c>
      <c r="H1809">
        <v>87.43</v>
      </c>
      <c r="I1809">
        <v>94.31</v>
      </c>
      <c r="J1809">
        <v>87.58</v>
      </c>
      <c r="K1809" t="s">
        <v>63</v>
      </c>
      <c r="L1809">
        <v>8.3000000000000007</v>
      </c>
      <c r="N1809" t="s">
        <v>35</v>
      </c>
      <c r="O1809">
        <v>6</v>
      </c>
      <c r="P1809" t="s">
        <v>23</v>
      </c>
      <c r="Q1809">
        <v>74.5</v>
      </c>
    </row>
    <row r="1810" spans="1:17" x14ac:dyDescent="0.35">
      <c r="A1810" s="1">
        <v>45828</v>
      </c>
      <c r="B1810" t="s">
        <v>24</v>
      </c>
      <c r="C1810" t="s">
        <v>25</v>
      </c>
      <c r="D1810" t="s">
        <v>26</v>
      </c>
      <c r="E1810" t="s">
        <v>27</v>
      </c>
      <c r="F1810">
        <v>475.24</v>
      </c>
      <c r="G1810">
        <v>46.9</v>
      </c>
      <c r="H1810">
        <v>94.07</v>
      </c>
      <c r="I1810">
        <v>98.49</v>
      </c>
      <c r="J1810">
        <v>81.61</v>
      </c>
      <c r="K1810" t="s">
        <v>28</v>
      </c>
      <c r="L1810">
        <v>9</v>
      </c>
      <c r="M1810">
        <v>1.6</v>
      </c>
      <c r="N1810" t="s">
        <v>29</v>
      </c>
      <c r="O1810">
        <v>10</v>
      </c>
      <c r="P1810" t="s">
        <v>30</v>
      </c>
      <c r="Q1810">
        <v>63.9</v>
      </c>
    </row>
    <row r="1811" spans="1:17" x14ac:dyDescent="0.35">
      <c r="A1811" s="1">
        <v>45828</v>
      </c>
      <c r="B1811" t="s">
        <v>24</v>
      </c>
      <c r="C1811" t="s">
        <v>25</v>
      </c>
      <c r="D1811" t="s">
        <v>26</v>
      </c>
      <c r="E1811" t="s">
        <v>27</v>
      </c>
      <c r="F1811">
        <v>811.67</v>
      </c>
      <c r="G1811">
        <v>31.3</v>
      </c>
      <c r="H1811">
        <v>92.64</v>
      </c>
      <c r="I1811">
        <v>96.57</v>
      </c>
      <c r="J1811">
        <v>82.48</v>
      </c>
      <c r="K1811" t="s">
        <v>28</v>
      </c>
      <c r="L1811">
        <v>8.4</v>
      </c>
      <c r="M1811">
        <v>2.2000000000000002</v>
      </c>
      <c r="N1811" t="s">
        <v>39</v>
      </c>
      <c r="O1811">
        <v>12</v>
      </c>
      <c r="P1811" t="s">
        <v>30</v>
      </c>
      <c r="Q1811">
        <v>61.8</v>
      </c>
    </row>
    <row r="1812" spans="1:17" x14ac:dyDescent="0.35">
      <c r="A1812" s="1">
        <v>45828</v>
      </c>
      <c r="B1812" t="s">
        <v>36</v>
      </c>
      <c r="C1812" t="s">
        <v>37</v>
      </c>
      <c r="D1812" t="s">
        <v>38</v>
      </c>
      <c r="E1812" t="s">
        <v>27</v>
      </c>
      <c r="F1812">
        <v>403.35</v>
      </c>
      <c r="G1812">
        <v>52.9</v>
      </c>
      <c r="H1812">
        <v>97.75</v>
      </c>
      <c r="I1812">
        <v>93.88</v>
      </c>
      <c r="J1812">
        <v>75.53</v>
      </c>
      <c r="K1812" t="s">
        <v>47</v>
      </c>
      <c r="L1812">
        <v>8.9</v>
      </c>
      <c r="M1812">
        <v>2.2999999999999998</v>
      </c>
      <c r="N1812" t="s">
        <v>39</v>
      </c>
      <c r="O1812">
        <v>12</v>
      </c>
      <c r="P1812" t="s">
        <v>23</v>
      </c>
      <c r="Q1812">
        <v>62.2</v>
      </c>
    </row>
    <row r="1813" spans="1:17" x14ac:dyDescent="0.35">
      <c r="A1813" s="1">
        <v>45828</v>
      </c>
      <c r="B1813" t="s">
        <v>80</v>
      </c>
      <c r="C1813" t="s">
        <v>45</v>
      </c>
      <c r="D1813" t="s">
        <v>81</v>
      </c>
      <c r="E1813" t="s">
        <v>33</v>
      </c>
      <c r="F1813">
        <v>403.24</v>
      </c>
      <c r="G1813">
        <v>631.20000000000005</v>
      </c>
      <c r="H1813">
        <v>97.47</v>
      </c>
      <c r="I1813">
        <v>98.24</v>
      </c>
      <c r="J1813">
        <v>70.22</v>
      </c>
      <c r="K1813" t="s">
        <v>34</v>
      </c>
      <c r="L1813">
        <v>8.5</v>
      </c>
      <c r="M1813">
        <v>3.9</v>
      </c>
      <c r="N1813" t="s">
        <v>22</v>
      </c>
      <c r="O1813">
        <v>8</v>
      </c>
      <c r="P1813" t="s">
        <v>23</v>
      </c>
      <c r="Q1813">
        <v>62.6</v>
      </c>
    </row>
    <row r="1814" spans="1:17" x14ac:dyDescent="0.35">
      <c r="A1814" s="1">
        <v>45828</v>
      </c>
      <c r="B1814" t="s">
        <v>66</v>
      </c>
      <c r="C1814" t="s">
        <v>67</v>
      </c>
      <c r="D1814" t="s">
        <v>68</v>
      </c>
      <c r="E1814" t="s">
        <v>27</v>
      </c>
      <c r="F1814">
        <v>418.15</v>
      </c>
      <c r="G1814">
        <v>46.1</v>
      </c>
      <c r="H1814">
        <v>95.14</v>
      </c>
      <c r="I1814">
        <v>94.73</v>
      </c>
      <c r="J1814">
        <v>81.87</v>
      </c>
      <c r="K1814" t="s">
        <v>47</v>
      </c>
      <c r="L1814">
        <v>8.5</v>
      </c>
      <c r="M1814">
        <v>4.7</v>
      </c>
      <c r="N1814" t="s">
        <v>29</v>
      </c>
      <c r="O1814">
        <v>11</v>
      </c>
      <c r="P1814" t="s">
        <v>43</v>
      </c>
      <c r="Q1814">
        <v>60.6</v>
      </c>
    </row>
    <row r="1815" spans="1:17" x14ac:dyDescent="0.35">
      <c r="A1815" s="1">
        <v>45828</v>
      </c>
      <c r="B1815" t="s">
        <v>84</v>
      </c>
      <c r="C1815" t="s">
        <v>18</v>
      </c>
      <c r="D1815" t="s">
        <v>85</v>
      </c>
      <c r="E1815" t="s">
        <v>27</v>
      </c>
      <c r="F1815">
        <v>187.47</v>
      </c>
      <c r="G1815">
        <v>34.700000000000003</v>
      </c>
      <c r="H1815">
        <v>92.09</v>
      </c>
      <c r="I1815">
        <v>96.57</v>
      </c>
      <c r="J1815">
        <v>76</v>
      </c>
      <c r="K1815" t="s">
        <v>34</v>
      </c>
      <c r="L1815">
        <v>6.6</v>
      </c>
      <c r="M1815">
        <v>2.1</v>
      </c>
      <c r="N1815" t="s">
        <v>39</v>
      </c>
      <c r="O1815">
        <v>12</v>
      </c>
      <c r="P1815" t="s">
        <v>23</v>
      </c>
      <c r="Q1815">
        <v>57.7</v>
      </c>
    </row>
    <row r="1816" spans="1:17" x14ac:dyDescent="0.35">
      <c r="A1816" s="1">
        <v>45828</v>
      </c>
      <c r="B1816" t="s">
        <v>64</v>
      </c>
      <c r="C1816" t="s">
        <v>25</v>
      </c>
      <c r="D1816" t="s">
        <v>65</v>
      </c>
      <c r="E1816" t="s">
        <v>27</v>
      </c>
      <c r="F1816">
        <v>376.18</v>
      </c>
      <c r="G1816">
        <v>23.3</v>
      </c>
      <c r="H1816">
        <v>95.89</v>
      </c>
      <c r="I1816">
        <v>97.83</v>
      </c>
      <c r="J1816">
        <v>79.23</v>
      </c>
      <c r="K1816" t="s">
        <v>34</v>
      </c>
      <c r="L1816">
        <v>7.3</v>
      </c>
      <c r="M1816">
        <v>2.1</v>
      </c>
      <c r="N1816" t="s">
        <v>29</v>
      </c>
      <c r="O1816">
        <v>15</v>
      </c>
      <c r="P1816" t="s">
        <v>30</v>
      </c>
      <c r="Q1816">
        <v>60.1</v>
      </c>
    </row>
    <row r="1817" spans="1:17" x14ac:dyDescent="0.35">
      <c r="A1817" s="1">
        <v>45828</v>
      </c>
      <c r="B1817" t="s">
        <v>53</v>
      </c>
      <c r="C1817" t="s">
        <v>41</v>
      </c>
      <c r="D1817" t="s">
        <v>54</v>
      </c>
      <c r="E1817" t="s">
        <v>27</v>
      </c>
      <c r="F1817">
        <v>408.5</v>
      </c>
      <c r="G1817">
        <v>68.3</v>
      </c>
      <c r="H1817">
        <v>95.02</v>
      </c>
      <c r="I1817">
        <v>96.05</v>
      </c>
      <c r="J1817">
        <v>80.989999999999995</v>
      </c>
      <c r="K1817" t="s">
        <v>28</v>
      </c>
      <c r="L1817">
        <v>9.5</v>
      </c>
      <c r="M1817">
        <v>2.5</v>
      </c>
      <c r="N1817" t="s">
        <v>39</v>
      </c>
      <c r="O1817">
        <v>8</v>
      </c>
      <c r="P1817" t="s">
        <v>43</v>
      </c>
      <c r="Q1817">
        <v>64.2</v>
      </c>
    </row>
    <row r="1818" spans="1:17" x14ac:dyDescent="0.35">
      <c r="A1818" s="1">
        <v>45828</v>
      </c>
      <c r="B1818" t="s">
        <v>86</v>
      </c>
      <c r="C1818" t="s">
        <v>25</v>
      </c>
      <c r="D1818" t="s">
        <v>87</v>
      </c>
      <c r="E1818" t="s">
        <v>27</v>
      </c>
      <c r="F1818">
        <v>520.04999999999995</v>
      </c>
      <c r="G1818">
        <v>66.7</v>
      </c>
      <c r="H1818">
        <v>92.36</v>
      </c>
      <c r="I1818">
        <v>97.89</v>
      </c>
      <c r="J1818">
        <v>79.3</v>
      </c>
      <c r="K1818" t="s">
        <v>28</v>
      </c>
      <c r="L1818">
        <v>9.1</v>
      </c>
      <c r="M1818">
        <v>4</v>
      </c>
      <c r="N1818" t="s">
        <v>29</v>
      </c>
      <c r="O1818">
        <v>9</v>
      </c>
      <c r="P1818" t="s">
        <v>30</v>
      </c>
      <c r="Q1818">
        <v>62.1</v>
      </c>
    </row>
    <row r="1819" spans="1:17" x14ac:dyDescent="0.35">
      <c r="A1819" s="1">
        <v>45828</v>
      </c>
      <c r="B1819" t="s">
        <v>36</v>
      </c>
      <c r="C1819" t="s">
        <v>37</v>
      </c>
      <c r="D1819" t="s">
        <v>38</v>
      </c>
      <c r="E1819" t="s">
        <v>27</v>
      </c>
      <c r="F1819">
        <v>372.12</v>
      </c>
      <c r="G1819">
        <v>55.5</v>
      </c>
      <c r="H1819">
        <v>95.14</v>
      </c>
      <c r="I1819">
        <v>96.94</v>
      </c>
      <c r="J1819">
        <v>78.52</v>
      </c>
      <c r="K1819" t="s">
        <v>28</v>
      </c>
      <c r="L1819">
        <v>7.8</v>
      </c>
      <c r="M1819">
        <v>3.9</v>
      </c>
      <c r="N1819" t="s">
        <v>39</v>
      </c>
      <c r="O1819">
        <v>8</v>
      </c>
      <c r="P1819" t="s">
        <v>23</v>
      </c>
      <c r="Q1819">
        <v>59.9</v>
      </c>
    </row>
    <row r="1820" spans="1:17" x14ac:dyDescent="0.35">
      <c r="A1820" s="1">
        <v>45828</v>
      </c>
      <c r="B1820" t="s">
        <v>93</v>
      </c>
      <c r="C1820" t="s">
        <v>37</v>
      </c>
      <c r="D1820" t="s">
        <v>94</v>
      </c>
      <c r="E1820" t="s">
        <v>27</v>
      </c>
      <c r="F1820">
        <v>314.98</v>
      </c>
      <c r="G1820">
        <v>32.9</v>
      </c>
      <c r="H1820">
        <v>93.25</v>
      </c>
      <c r="I1820">
        <v>93.53</v>
      </c>
      <c r="J1820">
        <v>76.22</v>
      </c>
      <c r="K1820" t="s">
        <v>34</v>
      </c>
      <c r="L1820">
        <v>7.6</v>
      </c>
      <c r="M1820">
        <v>2.2000000000000002</v>
      </c>
      <c r="N1820" t="s">
        <v>39</v>
      </c>
      <c r="O1820">
        <v>15</v>
      </c>
      <c r="P1820" t="s">
        <v>23</v>
      </c>
      <c r="Q1820">
        <v>59</v>
      </c>
    </row>
    <row r="1821" spans="1:17" x14ac:dyDescent="0.35">
      <c r="A1821" s="1">
        <v>45828</v>
      </c>
      <c r="B1821" t="s">
        <v>93</v>
      </c>
      <c r="C1821" t="s">
        <v>37</v>
      </c>
      <c r="D1821" t="s">
        <v>94</v>
      </c>
      <c r="E1821" t="s">
        <v>33</v>
      </c>
      <c r="F1821">
        <v>234.32</v>
      </c>
      <c r="G1821">
        <v>163.30000000000001</v>
      </c>
      <c r="H1821">
        <v>92.4</v>
      </c>
      <c r="I1821">
        <v>96.56</v>
      </c>
      <c r="J1821">
        <v>78.430000000000007</v>
      </c>
      <c r="K1821" t="s">
        <v>47</v>
      </c>
      <c r="L1821">
        <v>7.3</v>
      </c>
      <c r="M1821">
        <v>5</v>
      </c>
      <c r="N1821" t="s">
        <v>35</v>
      </c>
      <c r="O1821">
        <v>10</v>
      </c>
      <c r="P1821" t="s">
        <v>23</v>
      </c>
      <c r="Q1821">
        <v>60</v>
      </c>
    </row>
    <row r="1822" spans="1:17" x14ac:dyDescent="0.35">
      <c r="A1822" s="1">
        <v>45828</v>
      </c>
      <c r="B1822" t="s">
        <v>40</v>
      </c>
      <c r="C1822" t="s">
        <v>41</v>
      </c>
      <c r="D1822" t="s">
        <v>42</v>
      </c>
      <c r="E1822" t="s">
        <v>27</v>
      </c>
      <c r="F1822">
        <v>564.14</v>
      </c>
      <c r="G1822">
        <v>64.3</v>
      </c>
      <c r="H1822">
        <v>95.13</v>
      </c>
      <c r="I1822">
        <v>97.99</v>
      </c>
      <c r="J1822">
        <v>82.65</v>
      </c>
      <c r="K1822" t="s">
        <v>28</v>
      </c>
      <c r="L1822">
        <v>8.4</v>
      </c>
      <c r="M1822">
        <v>2.1</v>
      </c>
      <c r="N1822" t="s">
        <v>39</v>
      </c>
      <c r="O1822">
        <v>12</v>
      </c>
      <c r="P1822" t="s">
        <v>43</v>
      </c>
      <c r="Q1822">
        <v>63.2</v>
      </c>
    </row>
    <row r="1823" spans="1:17" x14ac:dyDescent="0.35">
      <c r="A1823" s="1">
        <v>45828</v>
      </c>
      <c r="B1823" t="s">
        <v>95</v>
      </c>
      <c r="C1823" t="s">
        <v>49</v>
      </c>
      <c r="D1823" t="s">
        <v>96</v>
      </c>
      <c r="E1823" t="s">
        <v>33</v>
      </c>
      <c r="F1823">
        <v>248.05</v>
      </c>
      <c r="G1823">
        <v>222.3</v>
      </c>
      <c r="H1823">
        <v>96.49</v>
      </c>
      <c r="I1823">
        <v>95.76</v>
      </c>
      <c r="J1823">
        <v>72.849999999999994</v>
      </c>
      <c r="K1823" t="s">
        <v>34</v>
      </c>
      <c r="L1823">
        <v>7.1</v>
      </c>
      <c r="M1823">
        <v>4.5</v>
      </c>
      <c r="N1823" t="s">
        <v>22</v>
      </c>
      <c r="O1823">
        <v>6</v>
      </c>
      <c r="P1823" t="s">
        <v>43</v>
      </c>
      <c r="Q1823">
        <v>59.7</v>
      </c>
    </row>
    <row r="1824" spans="1:17" x14ac:dyDescent="0.35">
      <c r="A1824" s="1">
        <v>45828</v>
      </c>
      <c r="B1824" t="s">
        <v>31</v>
      </c>
      <c r="C1824" t="s">
        <v>18</v>
      </c>
      <c r="D1824" t="s">
        <v>32</v>
      </c>
      <c r="E1824" t="s">
        <v>33</v>
      </c>
      <c r="F1824">
        <v>284.88</v>
      </c>
      <c r="G1824">
        <v>156.9</v>
      </c>
      <c r="H1824">
        <v>95.81</v>
      </c>
      <c r="I1824">
        <v>93.5</v>
      </c>
      <c r="J1824">
        <v>70.31</v>
      </c>
      <c r="K1824" t="s">
        <v>34</v>
      </c>
      <c r="L1824">
        <v>7.7</v>
      </c>
      <c r="M1824">
        <v>3.1</v>
      </c>
      <c r="N1824" t="s">
        <v>22</v>
      </c>
      <c r="O1824">
        <v>8</v>
      </c>
      <c r="P1824" t="s">
        <v>23</v>
      </c>
      <c r="Q1824">
        <v>60.5</v>
      </c>
    </row>
    <row r="1825" spans="1:17" x14ac:dyDescent="0.35">
      <c r="A1825" s="1">
        <v>45828</v>
      </c>
      <c r="B1825" t="s">
        <v>53</v>
      </c>
      <c r="C1825" t="s">
        <v>41</v>
      </c>
      <c r="D1825" t="s">
        <v>54</v>
      </c>
      <c r="E1825" t="s">
        <v>27</v>
      </c>
      <c r="F1825">
        <v>247.09</v>
      </c>
      <c r="G1825">
        <v>64.5</v>
      </c>
      <c r="H1825">
        <v>96.04</v>
      </c>
      <c r="I1825">
        <v>97.25</v>
      </c>
      <c r="J1825">
        <v>76.02</v>
      </c>
      <c r="K1825" t="s">
        <v>28</v>
      </c>
      <c r="L1825">
        <v>8</v>
      </c>
      <c r="M1825">
        <v>3.9</v>
      </c>
      <c r="N1825" t="s">
        <v>29</v>
      </c>
      <c r="O1825">
        <v>11</v>
      </c>
      <c r="P1825" t="s">
        <v>43</v>
      </c>
      <c r="Q1825">
        <v>60.2</v>
      </c>
    </row>
    <row r="1826" spans="1:17" x14ac:dyDescent="0.35">
      <c r="A1826" s="1">
        <v>45828</v>
      </c>
      <c r="B1826" t="s">
        <v>36</v>
      </c>
      <c r="C1826" t="s">
        <v>37</v>
      </c>
      <c r="D1826" t="s">
        <v>38</v>
      </c>
      <c r="E1826" t="s">
        <v>27</v>
      </c>
      <c r="F1826">
        <v>269.69</v>
      </c>
      <c r="G1826">
        <v>21.9</v>
      </c>
      <c r="H1826">
        <v>97.69</v>
      </c>
      <c r="I1826">
        <v>96.62</v>
      </c>
      <c r="J1826">
        <v>82.03</v>
      </c>
      <c r="K1826" t="s">
        <v>47</v>
      </c>
      <c r="L1826">
        <v>7.5</v>
      </c>
      <c r="M1826">
        <v>1.7</v>
      </c>
      <c r="N1826" t="s">
        <v>29</v>
      </c>
      <c r="O1826">
        <v>9</v>
      </c>
      <c r="P1826" t="s">
        <v>23</v>
      </c>
      <c r="Q1826">
        <v>61.2</v>
      </c>
    </row>
    <row r="1827" spans="1:17" x14ac:dyDescent="0.35">
      <c r="A1827" s="1">
        <v>45828</v>
      </c>
      <c r="B1827" t="s">
        <v>86</v>
      </c>
      <c r="C1827" t="s">
        <v>25</v>
      </c>
      <c r="D1827" t="s">
        <v>87</v>
      </c>
      <c r="E1827" t="s">
        <v>27</v>
      </c>
      <c r="F1827">
        <v>291.72000000000003</v>
      </c>
      <c r="G1827">
        <v>70.2</v>
      </c>
      <c r="H1827">
        <v>94.41</v>
      </c>
      <c r="I1827">
        <v>96.19</v>
      </c>
      <c r="J1827">
        <v>79.599999999999994</v>
      </c>
      <c r="K1827" t="s">
        <v>28</v>
      </c>
      <c r="L1827">
        <v>7.6</v>
      </c>
      <c r="M1827">
        <v>2.1</v>
      </c>
      <c r="N1827" t="s">
        <v>39</v>
      </c>
      <c r="O1827">
        <v>14</v>
      </c>
      <c r="P1827" t="s">
        <v>30</v>
      </c>
      <c r="Q1827">
        <v>61</v>
      </c>
    </row>
    <row r="1828" spans="1:17" x14ac:dyDescent="0.35">
      <c r="A1828" s="1">
        <v>45828</v>
      </c>
      <c r="B1828" t="s">
        <v>51</v>
      </c>
      <c r="C1828" t="s">
        <v>45</v>
      </c>
      <c r="D1828" t="s">
        <v>52</v>
      </c>
      <c r="E1828" t="s">
        <v>27</v>
      </c>
      <c r="F1828">
        <v>651.16999999999996</v>
      </c>
      <c r="G1828">
        <v>487.5</v>
      </c>
      <c r="H1828">
        <v>93.16</v>
      </c>
      <c r="I1828">
        <v>98.69</v>
      </c>
      <c r="J1828">
        <v>76.900000000000006</v>
      </c>
      <c r="K1828" t="s">
        <v>88</v>
      </c>
      <c r="L1828">
        <v>9.1999999999999993</v>
      </c>
      <c r="M1828">
        <v>4.5</v>
      </c>
      <c r="N1828" t="s">
        <v>29</v>
      </c>
      <c r="O1828">
        <v>15</v>
      </c>
      <c r="P1828" t="s">
        <v>23</v>
      </c>
      <c r="Q1828">
        <v>63.8</v>
      </c>
    </row>
    <row r="1829" spans="1:17" x14ac:dyDescent="0.35">
      <c r="A1829" s="1">
        <v>45828</v>
      </c>
      <c r="B1829" t="s">
        <v>59</v>
      </c>
      <c r="C1829" t="s">
        <v>60</v>
      </c>
      <c r="D1829" t="s">
        <v>61</v>
      </c>
      <c r="E1829" t="s">
        <v>62</v>
      </c>
      <c r="F1829">
        <v>504.79</v>
      </c>
      <c r="G1829">
        <v>169.1</v>
      </c>
      <c r="H1829">
        <v>90.11</v>
      </c>
      <c r="I1829">
        <v>93.87</v>
      </c>
      <c r="J1829">
        <v>89.59</v>
      </c>
      <c r="K1829" t="s">
        <v>34</v>
      </c>
      <c r="L1829">
        <v>9</v>
      </c>
      <c r="N1829" t="s">
        <v>35</v>
      </c>
      <c r="O1829">
        <v>3</v>
      </c>
      <c r="P1829" t="s">
        <v>23</v>
      </c>
      <c r="Q1829">
        <v>76.7</v>
      </c>
    </row>
    <row r="1830" spans="1:17" x14ac:dyDescent="0.35">
      <c r="A1830" s="1">
        <v>45828</v>
      </c>
      <c r="B1830" t="s">
        <v>36</v>
      </c>
      <c r="C1830" t="s">
        <v>37</v>
      </c>
      <c r="D1830" t="s">
        <v>38</v>
      </c>
      <c r="E1830" t="s">
        <v>33</v>
      </c>
      <c r="F1830">
        <v>370.78</v>
      </c>
      <c r="G1830">
        <v>167.5</v>
      </c>
      <c r="H1830">
        <v>95.11</v>
      </c>
      <c r="I1830">
        <v>93.65</v>
      </c>
      <c r="J1830">
        <v>73.81</v>
      </c>
      <c r="K1830" t="s">
        <v>28</v>
      </c>
      <c r="L1830">
        <v>8.5</v>
      </c>
      <c r="M1830">
        <v>2.2999999999999998</v>
      </c>
      <c r="N1830" t="s">
        <v>22</v>
      </c>
      <c r="O1830">
        <v>7</v>
      </c>
      <c r="P1830" t="s">
        <v>23</v>
      </c>
      <c r="Q1830">
        <v>63.1</v>
      </c>
    </row>
    <row r="1831" spans="1:17" x14ac:dyDescent="0.35">
      <c r="A1831" s="1">
        <v>45828</v>
      </c>
      <c r="B1831" t="s">
        <v>24</v>
      </c>
      <c r="C1831" t="s">
        <v>25</v>
      </c>
      <c r="D1831" t="s">
        <v>26</v>
      </c>
      <c r="E1831" t="s">
        <v>27</v>
      </c>
      <c r="F1831">
        <v>446.25</v>
      </c>
      <c r="G1831">
        <v>18.3</v>
      </c>
      <c r="H1831">
        <v>94.11</v>
      </c>
      <c r="I1831">
        <v>97.88</v>
      </c>
      <c r="J1831">
        <v>83.53</v>
      </c>
      <c r="K1831" t="s">
        <v>34</v>
      </c>
      <c r="L1831">
        <v>8.8000000000000007</v>
      </c>
      <c r="M1831">
        <v>4.0999999999999996</v>
      </c>
      <c r="N1831" t="s">
        <v>39</v>
      </c>
      <c r="O1831">
        <v>11</v>
      </c>
      <c r="P1831" t="s">
        <v>30</v>
      </c>
      <c r="Q1831">
        <v>61.5</v>
      </c>
    </row>
    <row r="1832" spans="1:17" x14ac:dyDescent="0.35">
      <c r="A1832" s="1">
        <v>45828</v>
      </c>
      <c r="B1832" t="s">
        <v>74</v>
      </c>
      <c r="C1832" t="s">
        <v>67</v>
      </c>
      <c r="D1832" t="s">
        <v>75</v>
      </c>
      <c r="E1832" t="s">
        <v>27</v>
      </c>
      <c r="F1832">
        <v>687.38</v>
      </c>
      <c r="G1832">
        <v>45.2</v>
      </c>
      <c r="H1832">
        <v>93.95</v>
      </c>
      <c r="I1832">
        <v>94.84</v>
      </c>
      <c r="J1832">
        <v>76.81</v>
      </c>
      <c r="K1832" t="s">
        <v>47</v>
      </c>
      <c r="L1832">
        <v>8.1999999999999993</v>
      </c>
      <c r="M1832">
        <v>2.1</v>
      </c>
      <c r="N1832" t="s">
        <v>29</v>
      </c>
      <c r="O1832">
        <v>14</v>
      </c>
      <c r="P1832" t="s">
        <v>23</v>
      </c>
      <c r="Q1832">
        <v>60.8</v>
      </c>
    </row>
    <row r="1833" spans="1:17" x14ac:dyDescent="0.35">
      <c r="A1833" s="1">
        <v>45828</v>
      </c>
      <c r="B1833" t="s">
        <v>64</v>
      </c>
      <c r="C1833" t="s">
        <v>25</v>
      </c>
      <c r="D1833" t="s">
        <v>65</v>
      </c>
      <c r="E1833" t="s">
        <v>27</v>
      </c>
      <c r="F1833">
        <v>823.01</v>
      </c>
      <c r="G1833">
        <v>65.900000000000006</v>
      </c>
      <c r="H1833">
        <v>92.71</v>
      </c>
      <c r="I1833">
        <v>96.36</v>
      </c>
      <c r="J1833">
        <v>81.95</v>
      </c>
      <c r="K1833" t="s">
        <v>28</v>
      </c>
      <c r="L1833">
        <v>8.6999999999999993</v>
      </c>
      <c r="M1833">
        <v>1.6</v>
      </c>
      <c r="N1833" t="s">
        <v>39</v>
      </c>
      <c r="O1833">
        <v>10</v>
      </c>
      <c r="P1833" t="s">
        <v>30</v>
      </c>
      <c r="Q1833">
        <v>63.2</v>
      </c>
    </row>
    <row r="1834" spans="1:17" x14ac:dyDescent="0.35">
      <c r="A1834" s="1">
        <v>45828</v>
      </c>
      <c r="B1834" t="s">
        <v>74</v>
      </c>
      <c r="C1834" t="s">
        <v>67</v>
      </c>
      <c r="D1834" t="s">
        <v>75</v>
      </c>
      <c r="E1834" t="s">
        <v>27</v>
      </c>
      <c r="F1834">
        <v>329.65</v>
      </c>
      <c r="G1834">
        <v>70.400000000000006</v>
      </c>
      <c r="H1834">
        <v>95.89</v>
      </c>
      <c r="I1834">
        <v>93.22</v>
      </c>
      <c r="J1834">
        <v>76.83</v>
      </c>
      <c r="K1834" t="s">
        <v>34</v>
      </c>
      <c r="L1834">
        <v>8.1999999999999993</v>
      </c>
      <c r="M1834">
        <v>1.6</v>
      </c>
      <c r="N1834" t="s">
        <v>39</v>
      </c>
      <c r="O1834">
        <v>14</v>
      </c>
      <c r="P1834" t="s">
        <v>23</v>
      </c>
      <c r="Q1834">
        <v>61.7</v>
      </c>
    </row>
    <row r="1835" spans="1:17" x14ac:dyDescent="0.35">
      <c r="A1835" s="1">
        <v>45828</v>
      </c>
      <c r="B1835" t="s">
        <v>59</v>
      </c>
      <c r="C1835" t="s">
        <v>60</v>
      </c>
      <c r="D1835" t="s">
        <v>61</v>
      </c>
      <c r="E1835" t="s">
        <v>62</v>
      </c>
      <c r="F1835">
        <v>463.77</v>
      </c>
      <c r="G1835">
        <v>175.7</v>
      </c>
      <c r="H1835">
        <v>86.97</v>
      </c>
      <c r="I1835">
        <v>93.44</v>
      </c>
      <c r="J1835">
        <v>89.8</v>
      </c>
      <c r="K1835" t="s">
        <v>34</v>
      </c>
      <c r="L1835">
        <v>9.1999999999999993</v>
      </c>
      <c r="N1835" t="s">
        <v>35</v>
      </c>
      <c r="O1835">
        <v>3</v>
      </c>
      <c r="P1835" t="s">
        <v>23</v>
      </c>
      <c r="Q1835">
        <v>76.400000000000006</v>
      </c>
    </row>
    <row r="1836" spans="1:17" x14ac:dyDescent="0.35">
      <c r="A1836" s="1">
        <v>45828</v>
      </c>
      <c r="B1836" t="s">
        <v>66</v>
      </c>
      <c r="C1836" t="s">
        <v>67</v>
      </c>
      <c r="D1836" t="s">
        <v>68</v>
      </c>
      <c r="E1836" t="s">
        <v>27</v>
      </c>
      <c r="F1836">
        <v>234.91</v>
      </c>
      <c r="G1836">
        <v>59.5</v>
      </c>
      <c r="H1836">
        <v>93.28</v>
      </c>
      <c r="I1836">
        <v>94.58</v>
      </c>
      <c r="J1836">
        <v>76.86</v>
      </c>
      <c r="K1836" t="s">
        <v>47</v>
      </c>
      <c r="L1836">
        <v>7.6</v>
      </c>
      <c r="M1836">
        <v>1.6</v>
      </c>
      <c r="N1836" t="s">
        <v>39</v>
      </c>
      <c r="O1836">
        <v>14</v>
      </c>
      <c r="P1836" t="s">
        <v>23</v>
      </c>
      <c r="Q1836">
        <v>60.2</v>
      </c>
    </row>
    <row r="1837" spans="1:17" x14ac:dyDescent="0.35">
      <c r="A1837" s="1">
        <v>45828</v>
      </c>
      <c r="B1837" t="s">
        <v>24</v>
      </c>
      <c r="C1837" t="s">
        <v>25</v>
      </c>
      <c r="D1837" t="s">
        <v>26</v>
      </c>
      <c r="E1837" t="s">
        <v>27</v>
      </c>
      <c r="F1837">
        <v>540.79</v>
      </c>
      <c r="G1837">
        <v>59.8</v>
      </c>
      <c r="H1837">
        <v>97.57</v>
      </c>
      <c r="I1837">
        <v>98.07</v>
      </c>
      <c r="J1837">
        <v>79.94</v>
      </c>
      <c r="K1837" t="s">
        <v>47</v>
      </c>
      <c r="L1837">
        <v>9.1</v>
      </c>
      <c r="M1837">
        <v>2.2000000000000002</v>
      </c>
      <c r="N1837" t="s">
        <v>39</v>
      </c>
      <c r="O1837">
        <v>12</v>
      </c>
      <c r="P1837" t="s">
        <v>30</v>
      </c>
      <c r="Q1837">
        <v>64.099999999999994</v>
      </c>
    </row>
    <row r="1838" spans="1:17" x14ac:dyDescent="0.35">
      <c r="A1838" s="1">
        <v>45828</v>
      </c>
      <c r="B1838" t="s">
        <v>64</v>
      </c>
      <c r="C1838" t="s">
        <v>25</v>
      </c>
      <c r="D1838" t="s">
        <v>65</v>
      </c>
      <c r="E1838" t="s">
        <v>27</v>
      </c>
      <c r="F1838">
        <v>549.4</v>
      </c>
      <c r="G1838">
        <v>42.2</v>
      </c>
      <c r="H1838">
        <v>92.63</v>
      </c>
      <c r="I1838">
        <v>96.66</v>
      </c>
      <c r="J1838">
        <v>80.69</v>
      </c>
      <c r="K1838" t="s">
        <v>28</v>
      </c>
      <c r="L1838">
        <v>8.1</v>
      </c>
      <c r="M1838">
        <v>3.8</v>
      </c>
      <c r="N1838" t="s">
        <v>39</v>
      </c>
      <c r="O1838">
        <v>9</v>
      </c>
      <c r="P1838" t="s">
        <v>30</v>
      </c>
      <c r="Q1838">
        <v>60.1</v>
      </c>
    </row>
    <row r="1839" spans="1:17" x14ac:dyDescent="0.35">
      <c r="A1839" s="1">
        <v>45828</v>
      </c>
      <c r="B1839" t="s">
        <v>74</v>
      </c>
      <c r="C1839" t="s">
        <v>67</v>
      </c>
      <c r="D1839" t="s">
        <v>75</v>
      </c>
      <c r="E1839" t="s">
        <v>27</v>
      </c>
      <c r="F1839">
        <v>675.24</v>
      </c>
      <c r="G1839">
        <v>68.8</v>
      </c>
      <c r="H1839">
        <v>94.83</v>
      </c>
      <c r="I1839">
        <v>94.65</v>
      </c>
      <c r="J1839">
        <v>83.41</v>
      </c>
      <c r="K1839" t="s">
        <v>28</v>
      </c>
      <c r="L1839">
        <v>8.6</v>
      </c>
      <c r="M1839">
        <v>4.7</v>
      </c>
      <c r="N1839" t="s">
        <v>29</v>
      </c>
      <c r="O1839">
        <v>10</v>
      </c>
      <c r="P1839" t="s">
        <v>23</v>
      </c>
      <c r="Q1839">
        <v>61.4</v>
      </c>
    </row>
    <row r="1840" spans="1:17" x14ac:dyDescent="0.35">
      <c r="A1840" s="1">
        <v>45828</v>
      </c>
      <c r="B1840" t="s">
        <v>55</v>
      </c>
      <c r="C1840" t="s">
        <v>56</v>
      </c>
      <c r="D1840">
        <v>4</v>
      </c>
      <c r="E1840" t="s">
        <v>57</v>
      </c>
      <c r="F1840">
        <v>30</v>
      </c>
      <c r="G1840">
        <v>134.6</v>
      </c>
      <c r="H1840">
        <v>90.93</v>
      </c>
      <c r="I1840">
        <v>95.54</v>
      </c>
      <c r="J1840">
        <v>77.37</v>
      </c>
      <c r="K1840" t="s">
        <v>63</v>
      </c>
      <c r="L1840">
        <v>6.4</v>
      </c>
      <c r="N1840" t="s">
        <v>35</v>
      </c>
      <c r="O1840">
        <v>4</v>
      </c>
      <c r="P1840" t="s">
        <v>23</v>
      </c>
      <c r="Q1840">
        <v>68.8</v>
      </c>
    </row>
    <row r="1841" spans="1:17" x14ac:dyDescent="0.35">
      <c r="A1841" s="1">
        <v>45828</v>
      </c>
      <c r="B1841" t="s">
        <v>93</v>
      </c>
      <c r="C1841" t="s">
        <v>37</v>
      </c>
      <c r="D1841" t="s">
        <v>94</v>
      </c>
      <c r="E1841" t="s">
        <v>27</v>
      </c>
      <c r="F1841">
        <v>241.41</v>
      </c>
      <c r="G1841">
        <v>45.8</v>
      </c>
      <c r="H1841">
        <v>93.17</v>
      </c>
      <c r="I1841">
        <v>96.6</v>
      </c>
      <c r="J1841">
        <v>84.7</v>
      </c>
      <c r="K1841" t="s">
        <v>34</v>
      </c>
      <c r="L1841">
        <v>7.8</v>
      </c>
      <c r="M1841">
        <v>1.8</v>
      </c>
      <c r="N1841" t="s">
        <v>29</v>
      </c>
      <c r="O1841">
        <v>13</v>
      </c>
      <c r="P1841" t="s">
        <v>23</v>
      </c>
      <c r="Q1841">
        <v>61.8</v>
      </c>
    </row>
    <row r="1842" spans="1:17" x14ac:dyDescent="0.35">
      <c r="A1842" s="1">
        <v>45828</v>
      </c>
      <c r="B1842" t="s">
        <v>95</v>
      </c>
      <c r="C1842" t="s">
        <v>49</v>
      </c>
      <c r="D1842" t="s">
        <v>96</v>
      </c>
      <c r="E1842" t="s">
        <v>27</v>
      </c>
      <c r="F1842">
        <v>241.26</v>
      </c>
      <c r="G1842">
        <v>39.4</v>
      </c>
      <c r="H1842">
        <v>95.06</v>
      </c>
      <c r="I1842">
        <v>96.89</v>
      </c>
      <c r="J1842">
        <v>75.95</v>
      </c>
      <c r="K1842" t="s">
        <v>34</v>
      </c>
      <c r="L1842">
        <v>7.4</v>
      </c>
      <c r="M1842">
        <v>1.7</v>
      </c>
      <c r="N1842" t="s">
        <v>29</v>
      </c>
      <c r="O1842">
        <v>12</v>
      </c>
      <c r="P1842" t="s">
        <v>43</v>
      </c>
      <c r="Q1842">
        <v>60</v>
      </c>
    </row>
    <row r="1843" spans="1:17" x14ac:dyDescent="0.35">
      <c r="A1843" s="1">
        <v>45828</v>
      </c>
      <c r="B1843" t="s">
        <v>36</v>
      </c>
      <c r="C1843" t="s">
        <v>37</v>
      </c>
      <c r="D1843" t="s">
        <v>38</v>
      </c>
      <c r="E1843" t="s">
        <v>33</v>
      </c>
      <c r="F1843">
        <v>365.55</v>
      </c>
      <c r="G1843">
        <v>75.099999999999994</v>
      </c>
      <c r="H1843">
        <v>95.46</v>
      </c>
      <c r="I1843">
        <v>94.33</v>
      </c>
      <c r="J1843">
        <v>79.16</v>
      </c>
      <c r="K1843" t="s">
        <v>34</v>
      </c>
      <c r="L1843">
        <v>7.1</v>
      </c>
      <c r="M1843">
        <v>2</v>
      </c>
      <c r="N1843" t="s">
        <v>22</v>
      </c>
      <c r="O1843">
        <v>7</v>
      </c>
      <c r="P1843" t="s">
        <v>23</v>
      </c>
      <c r="Q1843">
        <v>60.1</v>
      </c>
    </row>
    <row r="1844" spans="1:17" x14ac:dyDescent="0.35">
      <c r="A1844" s="1">
        <v>45828</v>
      </c>
      <c r="B1844" t="s">
        <v>86</v>
      </c>
      <c r="C1844" t="s">
        <v>25</v>
      </c>
      <c r="D1844" t="s">
        <v>87</v>
      </c>
      <c r="E1844" t="s">
        <v>27</v>
      </c>
      <c r="F1844">
        <v>496.63</v>
      </c>
      <c r="G1844">
        <v>33.1</v>
      </c>
      <c r="H1844">
        <v>97.51</v>
      </c>
      <c r="I1844">
        <v>97.9</v>
      </c>
      <c r="J1844">
        <v>82.58</v>
      </c>
      <c r="K1844" t="s">
        <v>28</v>
      </c>
      <c r="L1844">
        <v>8.1</v>
      </c>
      <c r="M1844">
        <v>3.1</v>
      </c>
      <c r="N1844" t="s">
        <v>29</v>
      </c>
      <c r="O1844">
        <v>15</v>
      </c>
      <c r="P1844" t="s">
        <v>30</v>
      </c>
      <c r="Q1844">
        <v>61.8</v>
      </c>
    </row>
    <row r="1845" spans="1:17" x14ac:dyDescent="0.35">
      <c r="A1845" s="1">
        <v>45828</v>
      </c>
      <c r="B1845" t="s">
        <v>55</v>
      </c>
      <c r="C1845" t="s">
        <v>56</v>
      </c>
      <c r="D1845">
        <v>4</v>
      </c>
      <c r="E1845" t="s">
        <v>57</v>
      </c>
      <c r="F1845">
        <v>30</v>
      </c>
      <c r="G1845">
        <v>155.6</v>
      </c>
      <c r="H1845">
        <v>87.2</v>
      </c>
      <c r="I1845">
        <v>96.98</v>
      </c>
      <c r="J1845">
        <v>73.23</v>
      </c>
      <c r="K1845" t="s">
        <v>58</v>
      </c>
      <c r="L1845">
        <v>7.7</v>
      </c>
      <c r="N1845" t="s">
        <v>35</v>
      </c>
      <c r="O1845">
        <v>4</v>
      </c>
      <c r="P1845" t="s">
        <v>43</v>
      </c>
      <c r="Q1845">
        <v>70.599999999999994</v>
      </c>
    </row>
    <row r="1846" spans="1:17" x14ac:dyDescent="0.35">
      <c r="A1846" s="1">
        <v>45828</v>
      </c>
      <c r="B1846" t="s">
        <v>51</v>
      </c>
      <c r="C1846" t="s">
        <v>45</v>
      </c>
      <c r="D1846" t="s">
        <v>52</v>
      </c>
      <c r="E1846" t="s">
        <v>27</v>
      </c>
      <c r="F1846">
        <v>256.31</v>
      </c>
      <c r="G1846">
        <v>374.8</v>
      </c>
      <c r="H1846">
        <v>95.25</v>
      </c>
      <c r="I1846">
        <v>99.12</v>
      </c>
      <c r="J1846">
        <v>78.05</v>
      </c>
      <c r="K1846" t="s">
        <v>88</v>
      </c>
      <c r="L1846">
        <v>7.7</v>
      </c>
      <c r="M1846">
        <v>2.9</v>
      </c>
      <c r="N1846" t="s">
        <v>29</v>
      </c>
      <c r="O1846">
        <v>12</v>
      </c>
      <c r="P1846" t="s">
        <v>23</v>
      </c>
      <c r="Q1846">
        <v>63</v>
      </c>
    </row>
    <row r="1847" spans="1:17" x14ac:dyDescent="0.35">
      <c r="A1847" s="1">
        <v>45828</v>
      </c>
      <c r="B1847" t="s">
        <v>17</v>
      </c>
      <c r="C1847" t="s">
        <v>18</v>
      </c>
      <c r="D1847" t="s">
        <v>19</v>
      </c>
      <c r="E1847" t="s">
        <v>20</v>
      </c>
      <c r="F1847">
        <v>145.97999999999999</v>
      </c>
      <c r="G1847">
        <v>179.2</v>
      </c>
      <c r="H1847">
        <v>93.66</v>
      </c>
      <c r="I1847">
        <v>96.41</v>
      </c>
      <c r="J1847">
        <v>79.069999999999993</v>
      </c>
      <c r="K1847" t="s">
        <v>21</v>
      </c>
      <c r="L1847">
        <v>7.5</v>
      </c>
      <c r="N1847" t="s">
        <v>35</v>
      </c>
      <c r="O1847">
        <v>6</v>
      </c>
      <c r="P1847" t="s">
        <v>23</v>
      </c>
      <c r="Q1847">
        <v>72.8</v>
      </c>
    </row>
    <row r="1848" spans="1:17" x14ac:dyDescent="0.35">
      <c r="A1848" s="1">
        <v>45828</v>
      </c>
      <c r="B1848" t="s">
        <v>55</v>
      </c>
      <c r="C1848" t="s">
        <v>56</v>
      </c>
      <c r="D1848">
        <v>4</v>
      </c>
      <c r="E1848" t="s">
        <v>57</v>
      </c>
      <c r="F1848">
        <v>30</v>
      </c>
      <c r="G1848">
        <v>167.4</v>
      </c>
      <c r="H1848">
        <v>88.57</v>
      </c>
      <c r="I1848">
        <v>96.39</v>
      </c>
      <c r="J1848">
        <v>77.040000000000006</v>
      </c>
      <c r="K1848" t="s">
        <v>63</v>
      </c>
      <c r="L1848">
        <v>7.9</v>
      </c>
      <c r="N1848" t="s">
        <v>35</v>
      </c>
      <c r="O1848">
        <v>5</v>
      </c>
      <c r="P1848" t="s">
        <v>43</v>
      </c>
      <c r="Q1848">
        <v>72.2</v>
      </c>
    </row>
    <row r="1849" spans="1:17" x14ac:dyDescent="0.35">
      <c r="A1849" s="1">
        <v>45828</v>
      </c>
      <c r="B1849" t="s">
        <v>24</v>
      </c>
      <c r="C1849" t="s">
        <v>25</v>
      </c>
      <c r="D1849" t="s">
        <v>26</v>
      </c>
      <c r="E1849" t="s">
        <v>27</v>
      </c>
      <c r="F1849">
        <v>548.65</v>
      </c>
      <c r="G1849">
        <v>28.5</v>
      </c>
      <c r="H1849">
        <v>94.93</v>
      </c>
      <c r="I1849">
        <v>98.06</v>
      </c>
      <c r="J1849">
        <v>78.7</v>
      </c>
      <c r="K1849" t="s">
        <v>34</v>
      </c>
      <c r="L1849">
        <v>9.4</v>
      </c>
      <c r="M1849">
        <v>3.5</v>
      </c>
      <c r="N1849" t="s">
        <v>39</v>
      </c>
      <c r="O1849">
        <v>10</v>
      </c>
      <c r="P1849" t="s">
        <v>30</v>
      </c>
      <c r="Q1849">
        <v>62.5</v>
      </c>
    </row>
    <row r="1850" spans="1:17" x14ac:dyDescent="0.35">
      <c r="A1850" s="1">
        <v>45828</v>
      </c>
      <c r="B1850" t="s">
        <v>17</v>
      </c>
      <c r="C1850" t="s">
        <v>18</v>
      </c>
      <c r="D1850" t="s">
        <v>19</v>
      </c>
      <c r="E1850" t="s">
        <v>20</v>
      </c>
      <c r="F1850">
        <v>101.61</v>
      </c>
      <c r="G1850">
        <v>195.9</v>
      </c>
      <c r="H1850">
        <v>94.45</v>
      </c>
      <c r="I1850">
        <v>95.14</v>
      </c>
      <c r="J1850">
        <v>78.22</v>
      </c>
      <c r="K1850" t="s">
        <v>63</v>
      </c>
      <c r="L1850">
        <v>7.2</v>
      </c>
      <c r="N1850" t="s">
        <v>35</v>
      </c>
      <c r="O1850">
        <v>9</v>
      </c>
      <c r="P1850" t="s">
        <v>23</v>
      </c>
      <c r="Q1850">
        <v>72</v>
      </c>
    </row>
    <row r="1851" spans="1:17" x14ac:dyDescent="0.35">
      <c r="A1851" s="1">
        <v>45828</v>
      </c>
      <c r="B1851" t="s">
        <v>36</v>
      </c>
      <c r="C1851" t="s">
        <v>37</v>
      </c>
      <c r="D1851" t="s">
        <v>38</v>
      </c>
      <c r="E1851" t="s">
        <v>27</v>
      </c>
      <c r="F1851">
        <v>305.3</v>
      </c>
      <c r="G1851">
        <v>54.5</v>
      </c>
      <c r="H1851">
        <v>96.13</v>
      </c>
      <c r="I1851">
        <v>95.54</v>
      </c>
      <c r="J1851">
        <v>78</v>
      </c>
      <c r="K1851" t="s">
        <v>34</v>
      </c>
      <c r="L1851">
        <v>7</v>
      </c>
      <c r="M1851">
        <v>2.1</v>
      </c>
      <c r="N1851" t="s">
        <v>39</v>
      </c>
      <c r="O1851">
        <v>12</v>
      </c>
      <c r="P1851" t="s">
        <v>23</v>
      </c>
      <c r="Q1851">
        <v>59.6</v>
      </c>
    </row>
    <row r="1852" spans="1:17" x14ac:dyDescent="0.35">
      <c r="A1852" s="1">
        <v>45828</v>
      </c>
      <c r="B1852" t="s">
        <v>99</v>
      </c>
      <c r="C1852" t="s">
        <v>72</v>
      </c>
      <c r="D1852" t="s">
        <v>100</v>
      </c>
      <c r="E1852" t="s">
        <v>27</v>
      </c>
      <c r="F1852">
        <v>101.09</v>
      </c>
      <c r="G1852">
        <v>35.5</v>
      </c>
      <c r="H1852">
        <v>94.88</v>
      </c>
      <c r="I1852">
        <v>95.09</v>
      </c>
      <c r="J1852">
        <v>81.33</v>
      </c>
      <c r="K1852" t="s">
        <v>34</v>
      </c>
      <c r="L1852">
        <v>7.1</v>
      </c>
      <c r="M1852">
        <v>2.1</v>
      </c>
      <c r="N1852" t="s">
        <v>29</v>
      </c>
      <c r="O1852">
        <v>12</v>
      </c>
      <c r="P1852" t="s">
        <v>23</v>
      </c>
      <c r="Q1852">
        <v>59.7</v>
      </c>
    </row>
    <row r="1853" spans="1:17" x14ac:dyDescent="0.35">
      <c r="A1853" s="1">
        <v>45828</v>
      </c>
      <c r="B1853" t="s">
        <v>59</v>
      </c>
      <c r="C1853" t="s">
        <v>60</v>
      </c>
      <c r="D1853" t="s">
        <v>61</v>
      </c>
      <c r="E1853" t="s">
        <v>62</v>
      </c>
      <c r="F1853">
        <v>443.43</v>
      </c>
      <c r="G1853">
        <v>185.8</v>
      </c>
      <c r="H1853">
        <v>91.7</v>
      </c>
      <c r="I1853">
        <v>94.31</v>
      </c>
      <c r="J1853">
        <v>90.98</v>
      </c>
      <c r="K1853" t="s">
        <v>34</v>
      </c>
      <c r="L1853">
        <v>9.4</v>
      </c>
      <c r="N1853" t="s">
        <v>35</v>
      </c>
      <c r="O1853">
        <v>3</v>
      </c>
      <c r="P1853" t="s">
        <v>23</v>
      </c>
      <c r="Q1853">
        <v>78.2</v>
      </c>
    </row>
    <row r="1854" spans="1:17" x14ac:dyDescent="0.35">
      <c r="A1854" s="1">
        <v>45828</v>
      </c>
      <c r="B1854" t="s">
        <v>66</v>
      </c>
      <c r="C1854" t="s">
        <v>67</v>
      </c>
      <c r="D1854" t="s">
        <v>68</v>
      </c>
      <c r="E1854" t="s">
        <v>27</v>
      </c>
      <c r="F1854">
        <v>641.55999999999995</v>
      </c>
      <c r="G1854">
        <v>51</v>
      </c>
      <c r="H1854">
        <v>94.51</v>
      </c>
      <c r="I1854">
        <v>93.11</v>
      </c>
      <c r="J1854">
        <v>78.8</v>
      </c>
      <c r="K1854" t="s">
        <v>47</v>
      </c>
      <c r="L1854">
        <v>8.1</v>
      </c>
      <c r="M1854">
        <v>2.7</v>
      </c>
      <c r="N1854" t="s">
        <v>39</v>
      </c>
      <c r="O1854">
        <v>11</v>
      </c>
      <c r="P1854" t="s">
        <v>43</v>
      </c>
      <c r="Q1854">
        <v>60.4</v>
      </c>
    </row>
    <row r="1855" spans="1:17" x14ac:dyDescent="0.35">
      <c r="A1855" s="1">
        <v>45828</v>
      </c>
      <c r="B1855" t="s">
        <v>40</v>
      </c>
      <c r="C1855" t="s">
        <v>41</v>
      </c>
      <c r="D1855" t="s">
        <v>42</v>
      </c>
      <c r="E1855" t="s">
        <v>27</v>
      </c>
      <c r="F1855">
        <v>520.13</v>
      </c>
      <c r="G1855">
        <v>20</v>
      </c>
      <c r="H1855">
        <v>96.85</v>
      </c>
      <c r="I1855">
        <v>96.95</v>
      </c>
      <c r="J1855">
        <v>82.8</v>
      </c>
      <c r="K1855" t="s">
        <v>34</v>
      </c>
      <c r="L1855">
        <v>8.5</v>
      </c>
      <c r="M1855">
        <v>4.4000000000000004</v>
      </c>
      <c r="N1855" t="s">
        <v>29</v>
      </c>
      <c r="O1855">
        <v>9</v>
      </c>
      <c r="P1855" t="s">
        <v>43</v>
      </c>
      <c r="Q1855">
        <v>61.1</v>
      </c>
    </row>
    <row r="1856" spans="1:17" x14ac:dyDescent="0.35">
      <c r="A1856" s="1">
        <v>45828</v>
      </c>
      <c r="B1856" t="s">
        <v>44</v>
      </c>
      <c r="C1856" t="s">
        <v>45</v>
      </c>
      <c r="D1856" t="s">
        <v>46</v>
      </c>
      <c r="E1856" t="s">
        <v>33</v>
      </c>
      <c r="F1856">
        <v>616.82000000000005</v>
      </c>
      <c r="G1856">
        <v>397.4</v>
      </c>
      <c r="H1856">
        <v>97.26</v>
      </c>
      <c r="I1856">
        <v>99.21</v>
      </c>
      <c r="J1856">
        <v>70.58</v>
      </c>
      <c r="K1856" t="s">
        <v>28</v>
      </c>
      <c r="L1856">
        <v>8.8000000000000007</v>
      </c>
      <c r="M1856">
        <v>4</v>
      </c>
      <c r="N1856" t="s">
        <v>35</v>
      </c>
      <c r="O1856">
        <v>5</v>
      </c>
      <c r="P1856" t="s">
        <v>23</v>
      </c>
      <c r="Q1856">
        <v>63.2</v>
      </c>
    </row>
    <row r="1857" spans="1:17" x14ac:dyDescent="0.35">
      <c r="A1857" s="1">
        <v>45828</v>
      </c>
      <c r="B1857" t="s">
        <v>31</v>
      </c>
      <c r="C1857" t="s">
        <v>18</v>
      </c>
      <c r="D1857" t="s">
        <v>32</v>
      </c>
      <c r="E1857" t="s">
        <v>33</v>
      </c>
      <c r="F1857">
        <v>191.56</v>
      </c>
      <c r="G1857">
        <v>195.8</v>
      </c>
      <c r="H1857">
        <v>95</v>
      </c>
      <c r="I1857">
        <v>96.53</v>
      </c>
      <c r="J1857">
        <v>75</v>
      </c>
      <c r="K1857" t="s">
        <v>34</v>
      </c>
      <c r="L1857">
        <v>6.7</v>
      </c>
      <c r="M1857">
        <v>2.1</v>
      </c>
      <c r="N1857" t="s">
        <v>22</v>
      </c>
      <c r="O1857">
        <v>9</v>
      </c>
      <c r="P1857" t="s">
        <v>23</v>
      </c>
      <c r="Q1857">
        <v>60.9</v>
      </c>
    </row>
    <row r="1858" spans="1:17" x14ac:dyDescent="0.35">
      <c r="A1858" s="1">
        <v>45828</v>
      </c>
      <c r="B1858" t="s">
        <v>36</v>
      </c>
      <c r="C1858" t="s">
        <v>37</v>
      </c>
      <c r="D1858" t="s">
        <v>38</v>
      </c>
      <c r="E1858" t="s">
        <v>27</v>
      </c>
      <c r="F1858">
        <v>280.14999999999998</v>
      </c>
      <c r="G1858">
        <v>20.3</v>
      </c>
      <c r="H1858">
        <v>92.21</v>
      </c>
      <c r="I1858">
        <v>95.03</v>
      </c>
      <c r="J1858">
        <v>81.5</v>
      </c>
      <c r="K1858" t="s">
        <v>34</v>
      </c>
      <c r="L1858">
        <v>7.7</v>
      </c>
      <c r="M1858">
        <v>4.2</v>
      </c>
      <c r="N1858" t="s">
        <v>39</v>
      </c>
      <c r="O1858">
        <v>11</v>
      </c>
      <c r="P1858" t="s">
        <v>23</v>
      </c>
      <c r="Q1858">
        <v>58.6</v>
      </c>
    </row>
    <row r="1859" spans="1:17" x14ac:dyDescent="0.35">
      <c r="A1859" s="1">
        <v>45828</v>
      </c>
      <c r="B1859" t="s">
        <v>40</v>
      </c>
      <c r="C1859" t="s">
        <v>41</v>
      </c>
      <c r="D1859" t="s">
        <v>42</v>
      </c>
      <c r="E1859" t="s">
        <v>27</v>
      </c>
      <c r="F1859">
        <v>404.39</v>
      </c>
      <c r="G1859">
        <v>39.4</v>
      </c>
      <c r="H1859">
        <v>94.92</v>
      </c>
      <c r="I1859">
        <v>96.12</v>
      </c>
      <c r="J1859">
        <v>80.28</v>
      </c>
      <c r="K1859" t="s">
        <v>28</v>
      </c>
      <c r="L1859">
        <v>8.6</v>
      </c>
      <c r="M1859">
        <v>3.5</v>
      </c>
      <c r="N1859" t="s">
        <v>39</v>
      </c>
      <c r="O1859">
        <v>13</v>
      </c>
      <c r="P1859" t="s">
        <v>43</v>
      </c>
      <c r="Q1859">
        <v>61.3</v>
      </c>
    </row>
    <row r="1860" spans="1:17" x14ac:dyDescent="0.35">
      <c r="A1860" s="1">
        <v>45828</v>
      </c>
      <c r="B1860" t="s">
        <v>95</v>
      </c>
      <c r="C1860" t="s">
        <v>49</v>
      </c>
      <c r="D1860" t="s">
        <v>96</v>
      </c>
      <c r="E1860" t="s">
        <v>27</v>
      </c>
      <c r="F1860">
        <v>481.16</v>
      </c>
      <c r="G1860">
        <v>39.799999999999997</v>
      </c>
      <c r="H1860">
        <v>97.03</v>
      </c>
      <c r="I1860">
        <v>95.68</v>
      </c>
      <c r="J1860">
        <v>75.650000000000006</v>
      </c>
      <c r="K1860" t="s">
        <v>28</v>
      </c>
      <c r="L1860">
        <v>8.1999999999999993</v>
      </c>
      <c r="M1860">
        <v>2.4</v>
      </c>
      <c r="N1860" t="s">
        <v>29</v>
      </c>
      <c r="O1860">
        <v>8</v>
      </c>
      <c r="P1860" t="s">
        <v>23</v>
      </c>
      <c r="Q1860">
        <v>60.9</v>
      </c>
    </row>
    <row r="1861" spans="1:17" x14ac:dyDescent="0.35">
      <c r="A1861" s="1">
        <v>45828</v>
      </c>
      <c r="B1861" t="s">
        <v>40</v>
      </c>
      <c r="C1861" t="s">
        <v>41</v>
      </c>
      <c r="D1861" t="s">
        <v>42</v>
      </c>
      <c r="E1861" t="s">
        <v>27</v>
      </c>
      <c r="F1861">
        <v>272.25</v>
      </c>
      <c r="G1861">
        <v>26.9</v>
      </c>
      <c r="H1861">
        <v>97.25</v>
      </c>
      <c r="I1861">
        <v>96.81</v>
      </c>
      <c r="J1861">
        <v>83.96</v>
      </c>
      <c r="K1861" t="s">
        <v>47</v>
      </c>
      <c r="L1861">
        <v>7.2</v>
      </c>
      <c r="M1861">
        <v>4.3</v>
      </c>
      <c r="N1861" t="s">
        <v>29</v>
      </c>
      <c r="O1861">
        <v>15</v>
      </c>
      <c r="P1861" t="s">
        <v>43</v>
      </c>
      <c r="Q1861">
        <v>59.3</v>
      </c>
    </row>
    <row r="1862" spans="1:17" x14ac:dyDescent="0.35">
      <c r="A1862" s="1">
        <v>45828</v>
      </c>
      <c r="B1862" t="s">
        <v>36</v>
      </c>
      <c r="C1862" t="s">
        <v>37</v>
      </c>
      <c r="D1862" t="s">
        <v>38</v>
      </c>
      <c r="E1862" t="s">
        <v>33</v>
      </c>
      <c r="F1862">
        <v>371.44</v>
      </c>
      <c r="G1862">
        <v>178.6</v>
      </c>
      <c r="H1862">
        <v>96.41</v>
      </c>
      <c r="I1862">
        <v>95.26</v>
      </c>
      <c r="J1862">
        <v>79.739999999999995</v>
      </c>
      <c r="K1862" t="s">
        <v>47</v>
      </c>
      <c r="L1862">
        <v>7.8</v>
      </c>
      <c r="M1862">
        <v>4.3</v>
      </c>
      <c r="N1862" t="s">
        <v>22</v>
      </c>
      <c r="O1862">
        <v>5</v>
      </c>
      <c r="P1862" t="s">
        <v>23</v>
      </c>
      <c r="Q1862">
        <v>62</v>
      </c>
    </row>
    <row r="1863" spans="1:17" x14ac:dyDescent="0.35">
      <c r="A1863" s="1">
        <v>45828</v>
      </c>
      <c r="B1863" t="s">
        <v>89</v>
      </c>
      <c r="C1863" t="s">
        <v>67</v>
      </c>
      <c r="D1863" t="s">
        <v>90</v>
      </c>
      <c r="E1863" t="s">
        <v>27</v>
      </c>
      <c r="F1863">
        <v>439.62</v>
      </c>
      <c r="G1863">
        <v>29.3</v>
      </c>
      <c r="H1863">
        <v>92.81</v>
      </c>
      <c r="I1863">
        <v>96.43</v>
      </c>
      <c r="J1863">
        <v>83.72</v>
      </c>
      <c r="K1863" t="s">
        <v>34</v>
      </c>
      <c r="L1863">
        <v>9</v>
      </c>
      <c r="M1863">
        <v>3.9</v>
      </c>
      <c r="N1863" t="s">
        <v>29</v>
      </c>
      <c r="O1863">
        <v>11</v>
      </c>
      <c r="P1863" t="s">
        <v>23</v>
      </c>
      <c r="Q1863">
        <v>61.8</v>
      </c>
    </row>
    <row r="1864" spans="1:17" x14ac:dyDescent="0.35">
      <c r="A1864" s="1">
        <v>45828</v>
      </c>
      <c r="B1864" t="s">
        <v>74</v>
      </c>
      <c r="C1864" t="s">
        <v>67</v>
      </c>
      <c r="D1864" t="s">
        <v>75</v>
      </c>
      <c r="E1864" t="s">
        <v>27</v>
      </c>
      <c r="F1864">
        <v>175.56</v>
      </c>
      <c r="G1864">
        <v>32.9</v>
      </c>
      <c r="H1864">
        <v>96.18</v>
      </c>
      <c r="I1864">
        <v>94.99</v>
      </c>
      <c r="J1864">
        <v>83.75</v>
      </c>
      <c r="K1864" t="s">
        <v>28</v>
      </c>
      <c r="L1864">
        <v>7.9</v>
      </c>
      <c r="M1864">
        <v>1.6</v>
      </c>
      <c r="N1864" t="s">
        <v>29</v>
      </c>
      <c r="O1864">
        <v>10</v>
      </c>
      <c r="P1864" t="s">
        <v>23</v>
      </c>
      <c r="Q1864">
        <v>61.9</v>
      </c>
    </row>
    <row r="1865" spans="1:17" x14ac:dyDescent="0.35">
      <c r="A1865" s="1">
        <v>45828</v>
      </c>
      <c r="B1865" t="s">
        <v>48</v>
      </c>
      <c r="C1865" t="s">
        <v>49</v>
      </c>
      <c r="D1865" t="s">
        <v>50</v>
      </c>
      <c r="E1865" t="s">
        <v>27</v>
      </c>
      <c r="F1865">
        <v>216.61</v>
      </c>
      <c r="G1865">
        <v>58</v>
      </c>
      <c r="H1865">
        <v>95.83</v>
      </c>
      <c r="I1865">
        <v>93.57</v>
      </c>
      <c r="J1865">
        <v>76.349999999999994</v>
      </c>
      <c r="K1865" t="s">
        <v>28</v>
      </c>
      <c r="L1865">
        <v>7.4</v>
      </c>
      <c r="M1865">
        <v>2.1</v>
      </c>
      <c r="N1865" t="s">
        <v>29</v>
      </c>
      <c r="O1865">
        <v>15</v>
      </c>
      <c r="P1865" t="s">
        <v>23</v>
      </c>
      <c r="Q1865">
        <v>59.7</v>
      </c>
    </row>
    <row r="1866" spans="1:17" x14ac:dyDescent="0.35">
      <c r="A1866" s="1">
        <v>45829</v>
      </c>
      <c r="B1866" t="s">
        <v>59</v>
      </c>
      <c r="C1866" t="s">
        <v>60</v>
      </c>
      <c r="D1866" t="s">
        <v>61</v>
      </c>
      <c r="E1866" t="s">
        <v>62</v>
      </c>
      <c r="F1866">
        <v>516.88</v>
      </c>
      <c r="G1866">
        <v>176.9</v>
      </c>
      <c r="H1866">
        <v>90.64</v>
      </c>
      <c r="I1866">
        <v>94.95</v>
      </c>
      <c r="J1866">
        <v>91.95</v>
      </c>
      <c r="K1866" t="s">
        <v>34</v>
      </c>
      <c r="L1866">
        <v>9.4</v>
      </c>
      <c r="N1866" t="s">
        <v>35</v>
      </c>
      <c r="O1866">
        <v>4</v>
      </c>
      <c r="P1866" t="s">
        <v>43</v>
      </c>
      <c r="Q1866">
        <v>78.3</v>
      </c>
    </row>
    <row r="1867" spans="1:17" x14ac:dyDescent="0.35">
      <c r="A1867" s="1">
        <v>45829</v>
      </c>
      <c r="B1867" t="s">
        <v>89</v>
      </c>
      <c r="C1867" t="s">
        <v>67</v>
      </c>
      <c r="D1867" t="s">
        <v>90</v>
      </c>
      <c r="E1867" t="s">
        <v>27</v>
      </c>
      <c r="F1867">
        <v>508.03</v>
      </c>
      <c r="G1867">
        <v>22.7</v>
      </c>
      <c r="H1867">
        <v>92.64</v>
      </c>
      <c r="I1867">
        <v>95.52</v>
      </c>
      <c r="J1867">
        <v>81.02</v>
      </c>
      <c r="K1867" t="s">
        <v>47</v>
      </c>
      <c r="L1867">
        <v>8.9</v>
      </c>
      <c r="M1867">
        <v>4.7</v>
      </c>
      <c r="N1867" t="s">
        <v>39</v>
      </c>
      <c r="O1867">
        <v>11</v>
      </c>
      <c r="P1867" t="s">
        <v>43</v>
      </c>
      <c r="Q1867">
        <v>60.3</v>
      </c>
    </row>
    <row r="1868" spans="1:17" x14ac:dyDescent="0.35">
      <c r="A1868" s="1">
        <v>45829</v>
      </c>
      <c r="B1868" t="s">
        <v>66</v>
      </c>
      <c r="C1868" t="s">
        <v>67</v>
      </c>
      <c r="D1868" t="s">
        <v>68</v>
      </c>
      <c r="E1868" t="s">
        <v>27</v>
      </c>
      <c r="F1868">
        <v>521.25</v>
      </c>
      <c r="G1868">
        <v>55.5</v>
      </c>
      <c r="H1868">
        <v>94.87</v>
      </c>
      <c r="I1868">
        <v>93.71</v>
      </c>
      <c r="J1868">
        <v>78.98</v>
      </c>
      <c r="K1868" t="s">
        <v>34</v>
      </c>
      <c r="L1868">
        <v>8.4</v>
      </c>
      <c r="M1868">
        <v>3.9</v>
      </c>
      <c r="N1868" t="s">
        <v>29</v>
      </c>
      <c r="O1868">
        <v>11</v>
      </c>
      <c r="P1868" t="s">
        <v>23</v>
      </c>
      <c r="Q1868">
        <v>60.4</v>
      </c>
    </row>
    <row r="1869" spans="1:17" x14ac:dyDescent="0.35">
      <c r="A1869" s="1">
        <v>45829</v>
      </c>
      <c r="B1869" t="s">
        <v>36</v>
      </c>
      <c r="C1869" t="s">
        <v>37</v>
      </c>
      <c r="D1869" t="s">
        <v>38</v>
      </c>
      <c r="E1869" t="s">
        <v>27</v>
      </c>
      <c r="F1869">
        <v>373.55</v>
      </c>
      <c r="G1869">
        <v>33.4</v>
      </c>
      <c r="H1869">
        <v>97.87</v>
      </c>
      <c r="I1869">
        <v>94.87</v>
      </c>
      <c r="J1869">
        <v>80.239999999999995</v>
      </c>
      <c r="K1869" t="s">
        <v>34</v>
      </c>
      <c r="L1869">
        <v>8.4</v>
      </c>
      <c r="M1869">
        <v>3.7</v>
      </c>
      <c r="N1869" t="s">
        <v>29</v>
      </c>
      <c r="O1869">
        <v>15</v>
      </c>
      <c r="P1869" t="s">
        <v>23</v>
      </c>
      <c r="Q1869">
        <v>61</v>
      </c>
    </row>
    <row r="1870" spans="1:17" x14ac:dyDescent="0.35">
      <c r="A1870" s="1">
        <v>45829</v>
      </c>
      <c r="B1870" t="s">
        <v>55</v>
      </c>
      <c r="C1870" t="s">
        <v>56</v>
      </c>
      <c r="D1870">
        <v>4</v>
      </c>
      <c r="E1870" t="s">
        <v>57</v>
      </c>
      <c r="F1870">
        <v>30</v>
      </c>
      <c r="G1870">
        <v>138.5</v>
      </c>
      <c r="H1870">
        <v>86.58</v>
      </c>
      <c r="I1870">
        <v>94.7</v>
      </c>
      <c r="J1870">
        <v>70.069999999999993</v>
      </c>
      <c r="K1870" t="s">
        <v>63</v>
      </c>
      <c r="L1870">
        <v>7.7</v>
      </c>
      <c r="N1870" t="s">
        <v>35</v>
      </c>
      <c r="O1870">
        <v>3</v>
      </c>
      <c r="P1870" t="s">
        <v>23</v>
      </c>
      <c r="Q1870">
        <v>69</v>
      </c>
    </row>
    <row r="1871" spans="1:17" x14ac:dyDescent="0.35">
      <c r="A1871" s="1">
        <v>45829</v>
      </c>
      <c r="B1871" t="s">
        <v>99</v>
      </c>
      <c r="C1871" t="s">
        <v>72</v>
      </c>
      <c r="D1871" t="s">
        <v>100</v>
      </c>
      <c r="E1871" t="s">
        <v>33</v>
      </c>
      <c r="F1871">
        <v>235.34</v>
      </c>
      <c r="G1871">
        <v>135.6</v>
      </c>
      <c r="H1871">
        <v>96.57</v>
      </c>
      <c r="I1871">
        <v>94.67</v>
      </c>
      <c r="J1871">
        <v>75.680000000000007</v>
      </c>
      <c r="K1871" t="s">
        <v>34</v>
      </c>
      <c r="L1871">
        <v>8</v>
      </c>
      <c r="M1871">
        <v>2.1</v>
      </c>
      <c r="N1871" t="s">
        <v>35</v>
      </c>
      <c r="O1871">
        <v>10</v>
      </c>
      <c r="P1871" t="s">
        <v>23</v>
      </c>
      <c r="Q1871">
        <v>62.4</v>
      </c>
    </row>
    <row r="1872" spans="1:17" x14ac:dyDescent="0.35">
      <c r="A1872" s="1">
        <v>45829</v>
      </c>
      <c r="B1872" t="s">
        <v>53</v>
      </c>
      <c r="C1872" t="s">
        <v>41</v>
      </c>
      <c r="D1872" t="s">
        <v>54</v>
      </c>
      <c r="E1872" t="s">
        <v>27</v>
      </c>
      <c r="F1872">
        <v>246.25</v>
      </c>
      <c r="G1872">
        <v>54.6</v>
      </c>
      <c r="H1872">
        <v>93.7</v>
      </c>
      <c r="I1872">
        <v>97.81</v>
      </c>
      <c r="J1872">
        <v>81.569999999999993</v>
      </c>
      <c r="K1872" t="s">
        <v>28</v>
      </c>
      <c r="L1872">
        <v>8.3000000000000007</v>
      </c>
      <c r="M1872">
        <v>2.7</v>
      </c>
      <c r="N1872" t="s">
        <v>39</v>
      </c>
      <c r="O1872">
        <v>10</v>
      </c>
      <c r="P1872" t="s">
        <v>43</v>
      </c>
      <c r="Q1872">
        <v>62</v>
      </c>
    </row>
    <row r="1873" spans="1:17" x14ac:dyDescent="0.35">
      <c r="A1873" s="1">
        <v>45829</v>
      </c>
      <c r="B1873" t="s">
        <v>53</v>
      </c>
      <c r="C1873" t="s">
        <v>41</v>
      </c>
      <c r="D1873" t="s">
        <v>54</v>
      </c>
      <c r="E1873" t="s">
        <v>27</v>
      </c>
      <c r="F1873">
        <v>686.6</v>
      </c>
      <c r="G1873">
        <v>36.299999999999997</v>
      </c>
      <c r="H1873">
        <v>95.57</v>
      </c>
      <c r="I1873">
        <v>98.48</v>
      </c>
      <c r="J1873">
        <v>76.23</v>
      </c>
      <c r="K1873" t="s">
        <v>34</v>
      </c>
      <c r="L1873">
        <v>9.1</v>
      </c>
      <c r="M1873">
        <v>2.5</v>
      </c>
      <c r="N1873" t="s">
        <v>39</v>
      </c>
      <c r="O1873">
        <v>12</v>
      </c>
      <c r="P1873" t="s">
        <v>43</v>
      </c>
      <c r="Q1873">
        <v>62.6</v>
      </c>
    </row>
    <row r="1874" spans="1:17" x14ac:dyDescent="0.35">
      <c r="A1874" s="1">
        <v>45829</v>
      </c>
      <c r="B1874" t="s">
        <v>76</v>
      </c>
      <c r="C1874" t="s">
        <v>45</v>
      </c>
      <c r="D1874" t="s">
        <v>77</v>
      </c>
      <c r="E1874" t="s">
        <v>27</v>
      </c>
      <c r="F1874">
        <v>692.85</v>
      </c>
      <c r="G1874">
        <v>491.1</v>
      </c>
      <c r="H1874">
        <v>94.47</v>
      </c>
      <c r="I1874">
        <v>99.41</v>
      </c>
      <c r="J1874">
        <v>81.11</v>
      </c>
      <c r="K1874" t="s">
        <v>47</v>
      </c>
      <c r="L1874">
        <v>8.9</v>
      </c>
      <c r="M1874">
        <v>4</v>
      </c>
      <c r="N1874" t="s">
        <v>39</v>
      </c>
      <c r="O1874">
        <v>9</v>
      </c>
      <c r="P1874" t="s">
        <v>23</v>
      </c>
      <c r="Q1874">
        <v>64.7</v>
      </c>
    </row>
    <row r="1875" spans="1:17" x14ac:dyDescent="0.35">
      <c r="A1875" s="1">
        <v>45829</v>
      </c>
      <c r="B1875" t="s">
        <v>80</v>
      </c>
      <c r="C1875" t="s">
        <v>45</v>
      </c>
      <c r="D1875" t="s">
        <v>81</v>
      </c>
      <c r="E1875" t="s">
        <v>33</v>
      </c>
      <c r="F1875">
        <v>168.57</v>
      </c>
      <c r="G1875">
        <v>607.20000000000005</v>
      </c>
      <c r="H1875">
        <v>93.23</v>
      </c>
      <c r="I1875">
        <v>99.01</v>
      </c>
      <c r="J1875">
        <v>74.37</v>
      </c>
      <c r="K1875" t="s">
        <v>28</v>
      </c>
      <c r="L1875">
        <v>6.7</v>
      </c>
      <c r="M1875">
        <v>1.6</v>
      </c>
      <c r="N1875" t="s">
        <v>35</v>
      </c>
      <c r="O1875">
        <v>8</v>
      </c>
      <c r="P1875" t="s">
        <v>23</v>
      </c>
      <c r="Q1875">
        <v>61.2</v>
      </c>
    </row>
    <row r="1876" spans="1:17" x14ac:dyDescent="0.35">
      <c r="A1876" s="1">
        <v>45829</v>
      </c>
      <c r="B1876" t="s">
        <v>24</v>
      </c>
      <c r="C1876" t="s">
        <v>25</v>
      </c>
      <c r="D1876" t="s">
        <v>26</v>
      </c>
      <c r="E1876" t="s">
        <v>27</v>
      </c>
      <c r="F1876">
        <v>497.63</v>
      </c>
      <c r="G1876">
        <v>24.7</v>
      </c>
      <c r="H1876">
        <v>97.53</v>
      </c>
      <c r="I1876">
        <v>96.2</v>
      </c>
      <c r="J1876">
        <v>77.930000000000007</v>
      </c>
      <c r="K1876" t="s">
        <v>28</v>
      </c>
      <c r="L1876">
        <v>8.9</v>
      </c>
      <c r="M1876">
        <v>4.5</v>
      </c>
      <c r="N1876" t="s">
        <v>39</v>
      </c>
      <c r="O1876">
        <v>9</v>
      </c>
      <c r="P1876" t="s">
        <v>30</v>
      </c>
      <c r="Q1876">
        <v>60.9</v>
      </c>
    </row>
    <row r="1877" spans="1:17" x14ac:dyDescent="0.35">
      <c r="A1877" s="1">
        <v>45829</v>
      </c>
      <c r="B1877" t="s">
        <v>40</v>
      </c>
      <c r="C1877" t="s">
        <v>41</v>
      </c>
      <c r="D1877" t="s">
        <v>42</v>
      </c>
      <c r="E1877" t="s">
        <v>27</v>
      </c>
      <c r="F1877">
        <v>246.59</v>
      </c>
      <c r="G1877">
        <v>29.5</v>
      </c>
      <c r="H1877">
        <v>92.47</v>
      </c>
      <c r="I1877">
        <v>97.48</v>
      </c>
      <c r="J1877">
        <v>80.19</v>
      </c>
      <c r="K1877" t="s">
        <v>34</v>
      </c>
      <c r="L1877">
        <v>7</v>
      </c>
      <c r="M1877">
        <v>3.9</v>
      </c>
      <c r="N1877" t="s">
        <v>39</v>
      </c>
      <c r="O1877">
        <v>14</v>
      </c>
      <c r="P1877" t="s">
        <v>43</v>
      </c>
      <c r="Q1877">
        <v>58</v>
      </c>
    </row>
    <row r="1878" spans="1:17" x14ac:dyDescent="0.35">
      <c r="A1878" s="1">
        <v>45829</v>
      </c>
      <c r="B1878" t="s">
        <v>55</v>
      </c>
      <c r="C1878" t="s">
        <v>56</v>
      </c>
      <c r="D1878">
        <v>4</v>
      </c>
      <c r="E1878" t="s">
        <v>57</v>
      </c>
      <c r="F1878">
        <v>30</v>
      </c>
      <c r="G1878">
        <v>149</v>
      </c>
      <c r="H1878">
        <v>86.46</v>
      </c>
      <c r="I1878">
        <v>96.26</v>
      </c>
      <c r="J1878">
        <v>77.760000000000005</v>
      </c>
      <c r="K1878" t="s">
        <v>58</v>
      </c>
      <c r="L1878">
        <v>6.3</v>
      </c>
      <c r="N1878" t="s">
        <v>35</v>
      </c>
      <c r="O1878">
        <v>4</v>
      </c>
      <c r="P1878" t="s">
        <v>43</v>
      </c>
      <c r="Q1878">
        <v>68.2</v>
      </c>
    </row>
    <row r="1879" spans="1:17" x14ac:dyDescent="0.35">
      <c r="A1879" s="1">
        <v>45829</v>
      </c>
      <c r="B1879" t="s">
        <v>95</v>
      </c>
      <c r="C1879" t="s">
        <v>49</v>
      </c>
      <c r="D1879" t="s">
        <v>96</v>
      </c>
      <c r="E1879" t="s">
        <v>27</v>
      </c>
      <c r="F1879">
        <v>226.74</v>
      </c>
      <c r="G1879">
        <v>28.7</v>
      </c>
      <c r="H1879">
        <v>93.66</v>
      </c>
      <c r="I1879">
        <v>96.47</v>
      </c>
      <c r="J1879">
        <v>80.11</v>
      </c>
      <c r="K1879" t="s">
        <v>47</v>
      </c>
      <c r="L1879">
        <v>7.9</v>
      </c>
      <c r="M1879">
        <v>2.2000000000000002</v>
      </c>
      <c r="N1879" t="s">
        <v>29</v>
      </c>
      <c r="O1879">
        <v>14</v>
      </c>
      <c r="P1879" t="s">
        <v>23</v>
      </c>
      <c r="Q1879">
        <v>60.6</v>
      </c>
    </row>
    <row r="1880" spans="1:17" x14ac:dyDescent="0.35">
      <c r="A1880" s="1">
        <v>45829</v>
      </c>
      <c r="B1880" t="s">
        <v>78</v>
      </c>
      <c r="C1880" t="s">
        <v>41</v>
      </c>
      <c r="D1880" t="s">
        <v>79</v>
      </c>
      <c r="E1880" t="s">
        <v>27</v>
      </c>
      <c r="F1880">
        <v>542.39</v>
      </c>
      <c r="G1880">
        <v>45</v>
      </c>
      <c r="H1880">
        <v>95.65</v>
      </c>
      <c r="I1880">
        <v>96.29</v>
      </c>
      <c r="J1880">
        <v>78.98</v>
      </c>
      <c r="K1880" t="s">
        <v>28</v>
      </c>
      <c r="L1880">
        <v>8.1999999999999993</v>
      </c>
      <c r="M1880">
        <v>2</v>
      </c>
      <c r="N1880" t="s">
        <v>29</v>
      </c>
      <c r="O1880">
        <v>9</v>
      </c>
      <c r="P1880" t="s">
        <v>43</v>
      </c>
      <c r="Q1880">
        <v>61.7</v>
      </c>
    </row>
    <row r="1881" spans="1:17" x14ac:dyDescent="0.35">
      <c r="A1881" s="1">
        <v>45829</v>
      </c>
      <c r="B1881" t="s">
        <v>48</v>
      </c>
      <c r="C1881" t="s">
        <v>49</v>
      </c>
      <c r="D1881" t="s">
        <v>50</v>
      </c>
      <c r="E1881" t="s">
        <v>33</v>
      </c>
      <c r="F1881">
        <v>490.7</v>
      </c>
      <c r="G1881">
        <v>104.2</v>
      </c>
      <c r="H1881">
        <v>94.01</v>
      </c>
      <c r="I1881">
        <v>95.7</v>
      </c>
      <c r="J1881">
        <v>72.790000000000006</v>
      </c>
      <c r="K1881" t="s">
        <v>28</v>
      </c>
      <c r="L1881">
        <v>8.6</v>
      </c>
      <c r="M1881">
        <v>3.8</v>
      </c>
      <c r="N1881" t="s">
        <v>22</v>
      </c>
      <c r="O1881">
        <v>6</v>
      </c>
      <c r="P1881" t="s">
        <v>23</v>
      </c>
      <c r="Q1881">
        <v>61</v>
      </c>
    </row>
    <row r="1882" spans="1:17" x14ac:dyDescent="0.35">
      <c r="A1882" s="1">
        <v>45829</v>
      </c>
      <c r="B1882" t="s">
        <v>99</v>
      </c>
      <c r="C1882" t="s">
        <v>72</v>
      </c>
      <c r="D1882" t="s">
        <v>100</v>
      </c>
      <c r="E1882" t="s">
        <v>33</v>
      </c>
      <c r="F1882">
        <v>170.88</v>
      </c>
      <c r="G1882">
        <v>83</v>
      </c>
      <c r="H1882">
        <v>92.68</v>
      </c>
      <c r="I1882">
        <v>94.91</v>
      </c>
      <c r="J1882">
        <v>78.459999999999994</v>
      </c>
      <c r="K1882" t="s">
        <v>34</v>
      </c>
      <c r="L1882">
        <v>7.5</v>
      </c>
      <c r="M1882">
        <v>3.6</v>
      </c>
      <c r="N1882" t="s">
        <v>35</v>
      </c>
      <c r="O1882">
        <v>5</v>
      </c>
      <c r="P1882" t="s">
        <v>23</v>
      </c>
      <c r="Q1882">
        <v>59.4</v>
      </c>
    </row>
    <row r="1883" spans="1:17" x14ac:dyDescent="0.35">
      <c r="A1883" s="1">
        <v>45829</v>
      </c>
      <c r="B1883" t="s">
        <v>44</v>
      </c>
      <c r="C1883" t="s">
        <v>45</v>
      </c>
      <c r="D1883" t="s">
        <v>46</v>
      </c>
      <c r="E1883" t="s">
        <v>27</v>
      </c>
      <c r="F1883">
        <v>271.04000000000002</v>
      </c>
      <c r="G1883">
        <v>559.1</v>
      </c>
      <c r="H1883">
        <v>92.83</v>
      </c>
      <c r="I1883">
        <v>98.56</v>
      </c>
      <c r="J1883">
        <v>83.18</v>
      </c>
      <c r="K1883" t="s">
        <v>34</v>
      </c>
      <c r="L1883">
        <v>7.5</v>
      </c>
      <c r="M1883">
        <v>3.8</v>
      </c>
      <c r="N1883" t="s">
        <v>39</v>
      </c>
      <c r="O1883">
        <v>12</v>
      </c>
      <c r="P1883" t="s">
        <v>23</v>
      </c>
      <c r="Q1883">
        <v>62.4</v>
      </c>
    </row>
    <row r="1884" spans="1:17" x14ac:dyDescent="0.35">
      <c r="A1884" s="1">
        <v>45829</v>
      </c>
      <c r="B1884" t="s">
        <v>24</v>
      </c>
      <c r="C1884" t="s">
        <v>25</v>
      </c>
      <c r="D1884" t="s">
        <v>26</v>
      </c>
      <c r="E1884" t="s">
        <v>27</v>
      </c>
      <c r="F1884">
        <v>598.86</v>
      </c>
      <c r="G1884">
        <v>37.799999999999997</v>
      </c>
      <c r="H1884">
        <v>95.37</v>
      </c>
      <c r="I1884">
        <v>96.49</v>
      </c>
      <c r="J1884">
        <v>79.2</v>
      </c>
      <c r="K1884" t="s">
        <v>47</v>
      </c>
      <c r="L1884">
        <v>8.4</v>
      </c>
      <c r="M1884">
        <v>2</v>
      </c>
      <c r="N1884" t="s">
        <v>39</v>
      </c>
      <c r="O1884">
        <v>14</v>
      </c>
      <c r="P1884" t="s">
        <v>30</v>
      </c>
      <c r="Q1884">
        <v>61.9</v>
      </c>
    </row>
    <row r="1885" spans="1:17" x14ac:dyDescent="0.35">
      <c r="A1885" s="1">
        <v>45829</v>
      </c>
      <c r="B1885" t="s">
        <v>53</v>
      </c>
      <c r="C1885" t="s">
        <v>41</v>
      </c>
      <c r="D1885" t="s">
        <v>54</v>
      </c>
      <c r="E1885" t="s">
        <v>27</v>
      </c>
      <c r="F1885">
        <v>617.23</v>
      </c>
      <c r="G1885">
        <v>56.3</v>
      </c>
      <c r="H1885">
        <v>94.23</v>
      </c>
      <c r="I1885">
        <v>97.75</v>
      </c>
      <c r="J1885">
        <v>81.96</v>
      </c>
      <c r="K1885" t="s">
        <v>47</v>
      </c>
      <c r="L1885">
        <v>9</v>
      </c>
      <c r="M1885">
        <v>4.9000000000000004</v>
      </c>
      <c r="N1885" t="s">
        <v>39</v>
      </c>
      <c r="O1885">
        <v>13</v>
      </c>
      <c r="P1885" t="s">
        <v>43</v>
      </c>
      <c r="Q1885">
        <v>61.8</v>
      </c>
    </row>
    <row r="1886" spans="1:17" x14ac:dyDescent="0.35">
      <c r="A1886" s="1">
        <v>45829</v>
      </c>
      <c r="B1886" t="s">
        <v>80</v>
      </c>
      <c r="C1886" t="s">
        <v>45</v>
      </c>
      <c r="D1886" t="s">
        <v>81</v>
      </c>
      <c r="E1886" t="s">
        <v>33</v>
      </c>
      <c r="F1886">
        <v>264.94</v>
      </c>
      <c r="G1886">
        <v>585.5</v>
      </c>
      <c r="H1886">
        <v>95.79</v>
      </c>
      <c r="I1886">
        <v>99.46</v>
      </c>
      <c r="J1886">
        <v>72.02</v>
      </c>
      <c r="K1886" t="s">
        <v>47</v>
      </c>
      <c r="L1886">
        <v>7</v>
      </c>
      <c r="M1886">
        <v>3.5</v>
      </c>
      <c r="N1886" t="s">
        <v>35</v>
      </c>
      <c r="O1886">
        <v>5</v>
      </c>
      <c r="P1886" t="s">
        <v>23</v>
      </c>
      <c r="Q1886">
        <v>60.5</v>
      </c>
    </row>
    <row r="1887" spans="1:17" x14ac:dyDescent="0.35">
      <c r="A1887" s="1">
        <v>45829</v>
      </c>
      <c r="B1887" t="s">
        <v>78</v>
      </c>
      <c r="C1887" t="s">
        <v>41</v>
      </c>
      <c r="D1887" t="s">
        <v>79</v>
      </c>
      <c r="E1887" t="s">
        <v>27</v>
      </c>
      <c r="F1887">
        <v>428.41</v>
      </c>
      <c r="G1887">
        <v>38.1</v>
      </c>
      <c r="H1887">
        <v>95.32</v>
      </c>
      <c r="I1887">
        <v>96.41</v>
      </c>
      <c r="J1887">
        <v>79.36</v>
      </c>
      <c r="K1887" t="s">
        <v>34</v>
      </c>
      <c r="L1887">
        <v>9.3000000000000007</v>
      </c>
      <c r="M1887">
        <v>3.9</v>
      </c>
      <c r="N1887" t="s">
        <v>29</v>
      </c>
      <c r="O1887">
        <v>12</v>
      </c>
      <c r="P1887" t="s">
        <v>43</v>
      </c>
      <c r="Q1887">
        <v>62.2</v>
      </c>
    </row>
    <row r="1888" spans="1:17" x14ac:dyDescent="0.35">
      <c r="A1888" s="1">
        <v>45829</v>
      </c>
      <c r="B1888" t="s">
        <v>40</v>
      </c>
      <c r="C1888" t="s">
        <v>41</v>
      </c>
      <c r="D1888" t="s">
        <v>42</v>
      </c>
      <c r="E1888" t="s">
        <v>27</v>
      </c>
      <c r="F1888">
        <v>581.91999999999996</v>
      </c>
      <c r="G1888">
        <v>24.9</v>
      </c>
      <c r="H1888">
        <v>94.85</v>
      </c>
      <c r="I1888">
        <v>97.37</v>
      </c>
      <c r="J1888">
        <v>77.650000000000006</v>
      </c>
      <c r="K1888" t="s">
        <v>28</v>
      </c>
      <c r="L1888">
        <v>8.6</v>
      </c>
      <c r="M1888">
        <v>2.2000000000000002</v>
      </c>
      <c r="N1888" t="s">
        <v>39</v>
      </c>
      <c r="O1888">
        <v>11</v>
      </c>
      <c r="P1888" t="s">
        <v>43</v>
      </c>
      <c r="Q1888">
        <v>61.7</v>
      </c>
    </row>
    <row r="1889" spans="1:17" x14ac:dyDescent="0.35">
      <c r="A1889" s="1">
        <v>45829</v>
      </c>
      <c r="B1889" t="s">
        <v>59</v>
      </c>
      <c r="C1889" t="s">
        <v>60</v>
      </c>
      <c r="D1889" t="s">
        <v>61</v>
      </c>
      <c r="E1889" t="s">
        <v>62</v>
      </c>
      <c r="F1889">
        <v>346.06</v>
      </c>
      <c r="G1889">
        <v>177.2</v>
      </c>
      <c r="H1889">
        <v>91.47</v>
      </c>
      <c r="I1889">
        <v>96.36</v>
      </c>
      <c r="J1889">
        <v>86.08</v>
      </c>
      <c r="K1889" t="s">
        <v>63</v>
      </c>
      <c r="L1889">
        <v>7.2</v>
      </c>
      <c r="N1889" t="s">
        <v>35</v>
      </c>
      <c r="O1889">
        <v>3</v>
      </c>
      <c r="P1889" t="s">
        <v>43</v>
      </c>
      <c r="Q1889">
        <v>73.2</v>
      </c>
    </row>
    <row r="1890" spans="1:17" x14ac:dyDescent="0.35">
      <c r="A1890" s="1">
        <v>45829</v>
      </c>
      <c r="B1890" t="s">
        <v>31</v>
      </c>
      <c r="C1890" t="s">
        <v>18</v>
      </c>
      <c r="D1890" t="s">
        <v>32</v>
      </c>
      <c r="E1890" t="s">
        <v>27</v>
      </c>
      <c r="F1890">
        <v>195.92</v>
      </c>
      <c r="G1890">
        <v>19.7</v>
      </c>
      <c r="H1890">
        <v>92.69</v>
      </c>
      <c r="I1890">
        <v>95.63</v>
      </c>
      <c r="J1890">
        <v>76.86</v>
      </c>
      <c r="K1890" t="s">
        <v>47</v>
      </c>
      <c r="L1890">
        <v>6.9</v>
      </c>
      <c r="M1890">
        <v>2.6</v>
      </c>
      <c r="N1890" t="s">
        <v>39</v>
      </c>
      <c r="O1890">
        <v>8</v>
      </c>
      <c r="P1890" t="s">
        <v>23</v>
      </c>
      <c r="Q1890">
        <v>57.7</v>
      </c>
    </row>
    <row r="1891" spans="1:17" x14ac:dyDescent="0.35">
      <c r="A1891" s="1">
        <v>45829</v>
      </c>
      <c r="B1891" t="s">
        <v>93</v>
      </c>
      <c r="C1891" t="s">
        <v>37</v>
      </c>
      <c r="D1891" t="s">
        <v>94</v>
      </c>
      <c r="E1891" t="s">
        <v>27</v>
      </c>
      <c r="F1891">
        <v>227.27</v>
      </c>
      <c r="G1891">
        <v>60.1</v>
      </c>
      <c r="H1891">
        <v>96</v>
      </c>
      <c r="I1891">
        <v>93.12</v>
      </c>
      <c r="J1891">
        <v>78.88</v>
      </c>
      <c r="K1891" t="s">
        <v>34</v>
      </c>
      <c r="L1891">
        <v>7.2</v>
      </c>
      <c r="M1891">
        <v>3</v>
      </c>
      <c r="N1891" t="s">
        <v>29</v>
      </c>
      <c r="O1891">
        <v>14</v>
      </c>
      <c r="P1891" t="s">
        <v>23</v>
      </c>
      <c r="Q1891">
        <v>59.2</v>
      </c>
    </row>
    <row r="1892" spans="1:17" x14ac:dyDescent="0.35">
      <c r="A1892" s="1">
        <v>45829</v>
      </c>
      <c r="B1892" t="s">
        <v>31</v>
      </c>
      <c r="C1892" t="s">
        <v>18</v>
      </c>
      <c r="D1892" t="s">
        <v>32</v>
      </c>
      <c r="E1892" t="s">
        <v>27</v>
      </c>
      <c r="F1892">
        <v>149.11000000000001</v>
      </c>
      <c r="G1892">
        <v>52.1</v>
      </c>
      <c r="H1892">
        <v>92.89</v>
      </c>
      <c r="I1892">
        <v>93.01</v>
      </c>
      <c r="J1892">
        <v>79.25</v>
      </c>
      <c r="K1892" t="s">
        <v>47</v>
      </c>
      <c r="L1892">
        <v>7</v>
      </c>
      <c r="M1892">
        <v>2.2000000000000002</v>
      </c>
      <c r="N1892" t="s">
        <v>29</v>
      </c>
      <c r="O1892">
        <v>11</v>
      </c>
      <c r="P1892" t="s">
        <v>23</v>
      </c>
      <c r="Q1892">
        <v>58.8</v>
      </c>
    </row>
    <row r="1893" spans="1:17" x14ac:dyDescent="0.35">
      <c r="A1893" s="1">
        <v>45829</v>
      </c>
      <c r="B1893" t="s">
        <v>69</v>
      </c>
      <c r="C1893" t="s">
        <v>18</v>
      </c>
      <c r="D1893" t="s">
        <v>70</v>
      </c>
      <c r="E1893" t="s">
        <v>20</v>
      </c>
      <c r="F1893">
        <v>148.25</v>
      </c>
      <c r="G1893">
        <v>192</v>
      </c>
      <c r="H1893">
        <v>89.04</v>
      </c>
      <c r="I1893">
        <v>96.41</v>
      </c>
      <c r="J1893">
        <v>71.31</v>
      </c>
      <c r="K1893" t="s">
        <v>63</v>
      </c>
      <c r="L1893">
        <v>7</v>
      </c>
      <c r="N1893" t="s">
        <v>22</v>
      </c>
      <c r="O1893">
        <v>6</v>
      </c>
      <c r="P1893" t="s">
        <v>23</v>
      </c>
      <c r="Q1893">
        <v>69.400000000000006</v>
      </c>
    </row>
    <row r="1894" spans="1:17" x14ac:dyDescent="0.35">
      <c r="A1894" s="1">
        <v>45829</v>
      </c>
      <c r="B1894" t="s">
        <v>78</v>
      </c>
      <c r="C1894" t="s">
        <v>41</v>
      </c>
      <c r="D1894" t="s">
        <v>79</v>
      </c>
      <c r="E1894" t="s">
        <v>27</v>
      </c>
      <c r="F1894">
        <v>492.18</v>
      </c>
      <c r="G1894">
        <v>45</v>
      </c>
      <c r="H1894">
        <v>93.81</v>
      </c>
      <c r="I1894">
        <v>97.95</v>
      </c>
      <c r="J1894">
        <v>83.21</v>
      </c>
      <c r="K1894" t="s">
        <v>47</v>
      </c>
      <c r="L1894">
        <v>8.3000000000000007</v>
      </c>
      <c r="M1894">
        <v>1.7</v>
      </c>
      <c r="N1894" t="s">
        <v>29</v>
      </c>
      <c r="O1894">
        <v>8</v>
      </c>
      <c r="P1894" t="s">
        <v>43</v>
      </c>
      <c r="Q1894">
        <v>62.8</v>
      </c>
    </row>
    <row r="1895" spans="1:17" x14ac:dyDescent="0.35">
      <c r="A1895" s="1">
        <v>45829</v>
      </c>
      <c r="B1895" t="s">
        <v>93</v>
      </c>
      <c r="C1895" t="s">
        <v>37</v>
      </c>
      <c r="D1895" t="s">
        <v>94</v>
      </c>
      <c r="E1895" t="s">
        <v>33</v>
      </c>
      <c r="F1895">
        <v>285.64999999999998</v>
      </c>
      <c r="G1895">
        <v>103.4</v>
      </c>
      <c r="H1895">
        <v>97.05</v>
      </c>
      <c r="I1895">
        <v>95.48</v>
      </c>
      <c r="J1895">
        <v>78.66</v>
      </c>
      <c r="K1895" t="s">
        <v>47</v>
      </c>
      <c r="L1895">
        <v>7.7</v>
      </c>
      <c r="M1895">
        <v>2.2000000000000002</v>
      </c>
      <c r="N1895" t="s">
        <v>35</v>
      </c>
      <c r="O1895">
        <v>9</v>
      </c>
      <c r="P1895" t="s">
        <v>23</v>
      </c>
      <c r="Q1895">
        <v>61.9</v>
      </c>
    </row>
    <row r="1896" spans="1:17" x14ac:dyDescent="0.35">
      <c r="A1896" s="1">
        <v>45829</v>
      </c>
      <c r="B1896" t="s">
        <v>55</v>
      </c>
      <c r="C1896" t="s">
        <v>56</v>
      </c>
      <c r="D1896">
        <v>4</v>
      </c>
      <c r="E1896" t="s">
        <v>57</v>
      </c>
      <c r="F1896">
        <v>30</v>
      </c>
      <c r="G1896">
        <v>154.19999999999999</v>
      </c>
      <c r="H1896">
        <v>87.38</v>
      </c>
      <c r="I1896">
        <v>94.38</v>
      </c>
      <c r="J1896">
        <v>76.59</v>
      </c>
      <c r="K1896" t="s">
        <v>21</v>
      </c>
      <c r="L1896">
        <v>7.8</v>
      </c>
      <c r="N1896" t="s">
        <v>35</v>
      </c>
      <c r="O1896">
        <v>5</v>
      </c>
      <c r="P1896" t="s">
        <v>43</v>
      </c>
      <c r="Q1896">
        <v>70.900000000000006</v>
      </c>
    </row>
    <row r="1897" spans="1:17" x14ac:dyDescent="0.35">
      <c r="A1897" s="1">
        <v>45829</v>
      </c>
      <c r="B1897" t="s">
        <v>40</v>
      </c>
      <c r="C1897" t="s">
        <v>41</v>
      </c>
      <c r="D1897" t="s">
        <v>42</v>
      </c>
      <c r="E1897" t="s">
        <v>27</v>
      </c>
      <c r="F1897">
        <v>315.70999999999998</v>
      </c>
      <c r="G1897">
        <v>32.299999999999997</v>
      </c>
      <c r="H1897">
        <v>96.75</v>
      </c>
      <c r="I1897">
        <v>97.47</v>
      </c>
      <c r="J1897">
        <v>83.04</v>
      </c>
      <c r="K1897" t="s">
        <v>47</v>
      </c>
      <c r="L1897">
        <v>7.6</v>
      </c>
      <c r="M1897">
        <v>3.4</v>
      </c>
      <c r="N1897" t="s">
        <v>39</v>
      </c>
      <c r="O1897">
        <v>12</v>
      </c>
      <c r="P1897" t="s">
        <v>43</v>
      </c>
      <c r="Q1897">
        <v>60.6</v>
      </c>
    </row>
    <row r="1898" spans="1:17" x14ac:dyDescent="0.35">
      <c r="A1898" s="1">
        <v>45829</v>
      </c>
      <c r="B1898" t="s">
        <v>55</v>
      </c>
      <c r="C1898" t="s">
        <v>56</v>
      </c>
      <c r="D1898">
        <v>4</v>
      </c>
      <c r="E1898" t="s">
        <v>57</v>
      </c>
      <c r="F1898">
        <v>30</v>
      </c>
      <c r="G1898">
        <v>157.80000000000001</v>
      </c>
      <c r="H1898">
        <v>90.58</v>
      </c>
      <c r="I1898">
        <v>93.33</v>
      </c>
      <c r="J1898">
        <v>73.53</v>
      </c>
      <c r="K1898" t="s">
        <v>21</v>
      </c>
      <c r="L1898">
        <v>6</v>
      </c>
      <c r="N1898" t="s">
        <v>35</v>
      </c>
      <c r="O1898">
        <v>3</v>
      </c>
      <c r="P1898" t="s">
        <v>43</v>
      </c>
      <c r="Q1898">
        <v>67.2</v>
      </c>
    </row>
    <row r="1899" spans="1:17" x14ac:dyDescent="0.35">
      <c r="A1899" s="1">
        <v>45829</v>
      </c>
      <c r="B1899" t="s">
        <v>40</v>
      </c>
      <c r="C1899" t="s">
        <v>41</v>
      </c>
      <c r="D1899" t="s">
        <v>42</v>
      </c>
      <c r="E1899" t="s">
        <v>27</v>
      </c>
      <c r="F1899">
        <v>599.59</v>
      </c>
      <c r="G1899">
        <v>45.2</v>
      </c>
      <c r="H1899">
        <v>95.79</v>
      </c>
      <c r="I1899">
        <v>97.96</v>
      </c>
      <c r="J1899">
        <v>83.43</v>
      </c>
      <c r="K1899" t="s">
        <v>28</v>
      </c>
      <c r="L1899">
        <v>9.4</v>
      </c>
      <c r="M1899">
        <v>4.4000000000000004</v>
      </c>
      <c r="N1899" t="s">
        <v>29</v>
      </c>
      <c r="O1899">
        <v>13</v>
      </c>
      <c r="P1899" t="s">
        <v>43</v>
      </c>
      <c r="Q1899">
        <v>63.2</v>
      </c>
    </row>
    <row r="1900" spans="1:17" x14ac:dyDescent="0.35">
      <c r="A1900" s="1">
        <v>45829</v>
      </c>
      <c r="B1900" t="s">
        <v>44</v>
      </c>
      <c r="C1900" t="s">
        <v>45</v>
      </c>
      <c r="D1900" t="s">
        <v>46</v>
      </c>
      <c r="E1900" t="s">
        <v>27</v>
      </c>
      <c r="F1900">
        <v>486.51</v>
      </c>
      <c r="G1900">
        <v>671.9</v>
      </c>
      <c r="H1900">
        <v>96.72</v>
      </c>
      <c r="I1900">
        <v>98.66</v>
      </c>
      <c r="J1900">
        <v>81.790000000000006</v>
      </c>
      <c r="K1900" t="s">
        <v>34</v>
      </c>
      <c r="L1900">
        <v>9.1999999999999993</v>
      </c>
      <c r="M1900">
        <v>1.9</v>
      </c>
      <c r="N1900" t="s">
        <v>29</v>
      </c>
      <c r="O1900">
        <v>10</v>
      </c>
      <c r="P1900" t="s">
        <v>23</v>
      </c>
      <c r="Q1900">
        <v>66.900000000000006</v>
      </c>
    </row>
    <row r="1901" spans="1:17" x14ac:dyDescent="0.35">
      <c r="A1901" s="1">
        <v>45829</v>
      </c>
      <c r="B1901" t="s">
        <v>95</v>
      </c>
      <c r="C1901" t="s">
        <v>49</v>
      </c>
      <c r="D1901" t="s">
        <v>96</v>
      </c>
      <c r="E1901" t="s">
        <v>33</v>
      </c>
      <c r="F1901">
        <v>279.81</v>
      </c>
      <c r="G1901">
        <v>149.30000000000001</v>
      </c>
      <c r="H1901">
        <v>97.02</v>
      </c>
      <c r="I1901">
        <v>96.44</v>
      </c>
      <c r="J1901">
        <v>71.8</v>
      </c>
      <c r="K1901" t="s">
        <v>47</v>
      </c>
      <c r="L1901">
        <v>7.8</v>
      </c>
      <c r="M1901">
        <v>3.9</v>
      </c>
      <c r="N1901" t="s">
        <v>35</v>
      </c>
      <c r="O1901">
        <v>6</v>
      </c>
      <c r="P1901" t="s">
        <v>23</v>
      </c>
      <c r="Q1901">
        <v>60.9</v>
      </c>
    </row>
    <row r="1902" spans="1:17" x14ac:dyDescent="0.35">
      <c r="A1902" s="1">
        <v>45829</v>
      </c>
      <c r="B1902" t="s">
        <v>31</v>
      </c>
      <c r="C1902" t="s">
        <v>18</v>
      </c>
      <c r="D1902" t="s">
        <v>32</v>
      </c>
      <c r="E1902" t="s">
        <v>33</v>
      </c>
      <c r="F1902">
        <v>291.73</v>
      </c>
      <c r="G1902">
        <v>227.6</v>
      </c>
      <c r="H1902">
        <v>94.36</v>
      </c>
      <c r="I1902">
        <v>96.33</v>
      </c>
      <c r="J1902">
        <v>73.260000000000005</v>
      </c>
      <c r="K1902" t="s">
        <v>34</v>
      </c>
      <c r="L1902">
        <v>7.4</v>
      </c>
      <c r="M1902">
        <v>1.8</v>
      </c>
      <c r="N1902" t="s">
        <v>35</v>
      </c>
      <c r="O1902">
        <v>9</v>
      </c>
      <c r="P1902" t="s">
        <v>23</v>
      </c>
      <c r="Q1902">
        <v>61.8</v>
      </c>
    </row>
    <row r="1903" spans="1:17" x14ac:dyDescent="0.35">
      <c r="A1903" s="1">
        <v>45829</v>
      </c>
      <c r="B1903" t="s">
        <v>64</v>
      </c>
      <c r="C1903" t="s">
        <v>25</v>
      </c>
      <c r="D1903" t="s">
        <v>65</v>
      </c>
      <c r="E1903" t="s">
        <v>27</v>
      </c>
      <c r="F1903">
        <v>754.49</v>
      </c>
      <c r="G1903">
        <v>48</v>
      </c>
      <c r="H1903">
        <v>95.3</v>
      </c>
      <c r="I1903">
        <v>96.24</v>
      </c>
      <c r="J1903">
        <v>76.02</v>
      </c>
      <c r="K1903" t="s">
        <v>47</v>
      </c>
      <c r="L1903">
        <v>8.1999999999999993</v>
      </c>
      <c r="M1903">
        <v>1.7</v>
      </c>
      <c r="N1903" t="s">
        <v>39</v>
      </c>
      <c r="O1903">
        <v>11</v>
      </c>
      <c r="P1903" t="s">
        <v>30</v>
      </c>
      <c r="Q1903">
        <v>61.4</v>
      </c>
    </row>
    <row r="1904" spans="1:17" x14ac:dyDescent="0.35">
      <c r="A1904" s="1">
        <v>45829</v>
      </c>
      <c r="B1904" t="s">
        <v>86</v>
      </c>
      <c r="C1904" t="s">
        <v>25</v>
      </c>
      <c r="D1904" t="s">
        <v>87</v>
      </c>
      <c r="E1904" t="s">
        <v>27</v>
      </c>
      <c r="F1904">
        <v>406.68</v>
      </c>
      <c r="G1904">
        <v>36.200000000000003</v>
      </c>
      <c r="H1904">
        <v>97.18</v>
      </c>
      <c r="I1904">
        <v>98.33</v>
      </c>
      <c r="J1904">
        <v>84.07</v>
      </c>
      <c r="K1904" t="s">
        <v>34</v>
      </c>
      <c r="L1904">
        <v>9.4</v>
      </c>
      <c r="M1904">
        <v>3.8</v>
      </c>
      <c r="N1904" t="s">
        <v>39</v>
      </c>
      <c r="O1904">
        <v>12</v>
      </c>
      <c r="P1904" t="s">
        <v>30</v>
      </c>
      <c r="Q1904">
        <v>63.8</v>
      </c>
    </row>
    <row r="1905" spans="1:17" x14ac:dyDescent="0.35">
      <c r="A1905" s="1">
        <v>45829</v>
      </c>
      <c r="B1905" t="s">
        <v>97</v>
      </c>
      <c r="C1905" t="s">
        <v>72</v>
      </c>
      <c r="D1905" t="s">
        <v>98</v>
      </c>
      <c r="E1905" t="s">
        <v>33</v>
      </c>
      <c r="F1905">
        <v>134.88999999999999</v>
      </c>
      <c r="G1905">
        <v>83.7</v>
      </c>
      <c r="H1905">
        <v>94.4</v>
      </c>
      <c r="I1905">
        <v>93.25</v>
      </c>
      <c r="J1905">
        <v>74.16</v>
      </c>
      <c r="K1905" t="s">
        <v>34</v>
      </c>
      <c r="L1905">
        <v>7.4</v>
      </c>
      <c r="M1905">
        <v>3.4</v>
      </c>
      <c r="N1905" t="s">
        <v>35</v>
      </c>
      <c r="O1905">
        <v>6</v>
      </c>
      <c r="P1905" t="s">
        <v>23</v>
      </c>
      <c r="Q1905">
        <v>58.7</v>
      </c>
    </row>
    <row r="1906" spans="1:17" x14ac:dyDescent="0.35">
      <c r="A1906" s="1">
        <v>45829</v>
      </c>
      <c r="B1906" t="s">
        <v>36</v>
      </c>
      <c r="C1906" t="s">
        <v>37</v>
      </c>
      <c r="D1906" t="s">
        <v>38</v>
      </c>
      <c r="E1906" t="s">
        <v>27</v>
      </c>
      <c r="F1906">
        <v>440.45</v>
      </c>
      <c r="G1906">
        <v>29.2</v>
      </c>
      <c r="H1906">
        <v>95.6</v>
      </c>
      <c r="I1906">
        <v>94.47</v>
      </c>
      <c r="J1906">
        <v>77.98</v>
      </c>
      <c r="K1906" t="s">
        <v>28</v>
      </c>
      <c r="L1906">
        <v>9.4</v>
      </c>
      <c r="M1906">
        <v>2.8</v>
      </c>
      <c r="N1906" t="s">
        <v>29</v>
      </c>
      <c r="O1906">
        <v>8</v>
      </c>
      <c r="P1906" t="s">
        <v>23</v>
      </c>
      <c r="Q1906">
        <v>62.4</v>
      </c>
    </row>
    <row r="1907" spans="1:17" x14ac:dyDescent="0.35">
      <c r="A1907" s="1">
        <v>45829</v>
      </c>
      <c r="B1907" t="s">
        <v>36</v>
      </c>
      <c r="C1907" t="s">
        <v>37</v>
      </c>
      <c r="D1907" t="s">
        <v>38</v>
      </c>
      <c r="E1907" t="s">
        <v>33</v>
      </c>
      <c r="F1907">
        <v>265.2</v>
      </c>
      <c r="G1907">
        <v>155.69999999999999</v>
      </c>
      <c r="H1907">
        <v>92.5</v>
      </c>
      <c r="I1907">
        <v>96.38</v>
      </c>
      <c r="J1907">
        <v>76.06</v>
      </c>
      <c r="K1907" t="s">
        <v>47</v>
      </c>
      <c r="L1907">
        <v>7</v>
      </c>
      <c r="M1907">
        <v>1.6</v>
      </c>
      <c r="N1907" t="s">
        <v>22</v>
      </c>
      <c r="O1907">
        <v>8</v>
      </c>
      <c r="P1907" t="s">
        <v>23</v>
      </c>
      <c r="Q1907">
        <v>61.2</v>
      </c>
    </row>
    <row r="1908" spans="1:17" x14ac:dyDescent="0.35">
      <c r="A1908" s="1">
        <v>45829</v>
      </c>
      <c r="B1908" t="s">
        <v>69</v>
      </c>
      <c r="C1908" t="s">
        <v>18</v>
      </c>
      <c r="D1908" t="s">
        <v>70</v>
      </c>
      <c r="E1908" t="s">
        <v>20</v>
      </c>
      <c r="F1908">
        <v>142.56</v>
      </c>
      <c r="G1908">
        <v>118.8</v>
      </c>
      <c r="H1908">
        <v>89.77</v>
      </c>
      <c r="I1908">
        <v>96.77</v>
      </c>
      <c r="J1908">
        <v>73.900000000000006</v>
      </c>
      <c r="K1908" t="s">
        <v>63</v>
      </c>
      <c r="L1908">
        <v>6.8</v>
      </c>
      <c r="N1908" t="s">
        <v>35</v>
      </c>
      <c r="O1908">
        <v>5</v>
      </c>
      <c r="P1908" t="s">
        <v>23</v>
      </c>
      <c r="Q1908">
        <v>68.5</v>
      </c>
    </row>
    <row r="1909" spans="1:17" x14ac:dyDescent="0.35">
      <c r="A1909" s="1">
        <v>45829</v>
      </c>
      <c r="B1909" t="s">
        <v>71</v>
      </c>
      <c r="C1909" t="s">
        <v>72</v>
      </c>
      <c r="D1909" t="s">
        <v>73</v>
      </c>
      <c r="E1909" t="s">
        <v>27</v>
      </c>
      <c r="F1909">
        <v>247.89</v>
      </c>
      <c r="G1909">
        <v>29.3</v>
      </c>
      <c r="H1909">
        <v>92.58</v>
      </c>
      <c r="I1909">
        <v>95.57</v>
      </c>
      <c r="J1909">
        <v>75.739999999999995</v>
      </c>
      <c r="K1909" t="s">
        <v>28</v>
      </c>
      <c r="L1909">
        <v>7.7</v>
      </c>
      <c r="M1909">
        <v>2.4</v>
      </c>
      <c r="N1909" t="s">
        <v>29</v>
      </c>
      <c r="O1909">
        <v>12</v>
      </c>
      <c r="P1909" t="s">
        <v>23</v>
      </c>
      <c r="Q1909">
        <v>59.1</v>
      </c>
    </row>
    <row r="1910" spans="1:17" x14ac:dyDescent="0.35">
      <c r="A1910" s="1">
        <v>45829</v>
      </c>
      <c r="B1910" t="s">
        <v>64</v>
      </c>
      <c r="C1910" t="s">
        <v>25</v>
      </c>
      <c r="D1910" t="s">
        <v>65</v>
      </c>
      <c r="E1910" t="s">
        <v>27</v>
      </c>
      <c r="F1910">
        <v>362.82</v>
      </c>
      <c r="G1910">
        <v>34.799999999999997</v>
      </c>
      <c r="H1910">
        <v>94.03</v>
      </c>
      <c r="I1910">
        <v>96.38</v>
      </c>
      <c r="J1910">
        <v>78.209999999999994</v>
      </c>
      <c r="K1910" t="s">
        <v>28</v>
      </c>
      <c r="L1910">
        <v>7.9</v>
      </c>
      <c r="M1910">
        <v>4.5</v>
      </c>
      <c r="N1910" t="s">
        <v>29</v>
      </c>
      <c r="O1910">
        <v>11</v>
      </c>
      <c r="P1910" t="s">
        <v>30</v>
      </c>
      <c r="Q1910">
        <v>59</v>
      </c>
    </row>
    <row r="1911" spans="1:17" x14ac:dyDescent="0.35">
      <c r="A1911" s="1">
        <v>45829</v>
      </c>
      <c r="B1911" t="s">
        <v>59</v>
      </c>
      <c r="C1911" t="s">
        <v>60</v>
      </c>
      <c r="D1911" t="s">
        <v>61</v>
      </c>
      <c r="E1911" t="s">
        <v>62</v>
      </c>
      <c r="F1911">
        <v>495.73</v>
      </c>
      <c r="G1911">
        <v>189.6</v>
      </c>
      <c r="H1911">
        <v>88.36</v>
      </c>
      <c r="I1911">
        <v>94.28</v>
      </c>
      <c r="J1911">
        <v>90.23</v>
      </c>
      <c r="K1911" t="s">
        <v>34</v>
      </c>
      <c r="L1911">
        <v>8.8000000000000007</v>
      </c>
      <c r="N1911" t="s">
        <v>35</v>
      </c>
      <c r="O1911">
        <v>5</v>
      </c>
      <c r="P1911" t="s">
        <v>23</v>
      </c>
      <c r="Q1911">
        <v>76.2</v>
      </c>
    </row>
    <row r="1912" spans="1:17" x14ac:dyDescent="0.35">
      <c r="A1912" s="1">
        <v>45829</v>
      </c>
      <c r="B1912" t="s">
        <v>55</v>
      </c>
      <c r="C1912" t="s">
        <v>56</v>
      </c>
      <c r="D1912">
        <v>4</v>
      </c>
      <c r="E1912" t="s">
        <v>57</v>
      </c>
      <c r="F1912">
        <v>30</v>
      </c>
      <c r="G1912">
        <v>155.6</v>
      </c>
      <c r="H1912">
        <v>85.91</v>
      </c>
      <c r="I1912">
        <v>94.81</v>
      </c>
      <c r="J1912">
        <v>76.319999999999993</v>
      </c>
      <c r="K1912" t="s">
        <v>63</v>
      </c>
      <c r="L1912">
        <v>6.4</v>
      </c>
      <c r="N1912" t="s">
        <v>35</v>
      </c>
      <c r="O1912">
        <v>3</v>
      </c>
      <c r="P1912" t="s">
        <v>23</v>
      </c>
      <c r="Q1912">
        <v>67.900000000000006</v>
      </c>
    </row>
    <row r="1913" spans="1:17" x14ac:dyDescent="0.35">
      <c r="A1913" s="1">
        <v>45829</v>
      </c>
      <c r="B1913" t="s">
        <v>99</v>
      </c>
      <c r="C1913" t="s">
        <v>72</v>
      </c>
      <c r="D1913" t="s">
        <v>100</v>
      </c>
      <c r="E1913" t="s">
        <v>27</v>
      </c>
      <c r="F1913">
        <v>109.19</v>
      </c>
      <c r="G1913">
        <v>39.200000000000003</v>
      </c>
      <c r="H1913">
        <v>96.64</v>
      </c>
      <c r="I1913">
        <v>95.82</v>
      </c>
      <c r="J1913">
        <v>78.55</v>
      </c>
      <c r="K1913" t="s">
        <v>28</v>
      </c>
      <c r="L1913">
        <v>6.6</v>
      </c>
      <c r="M1913">
        <v>1.8</v>
      </c>
      <c r="N1913" t="s">
        <v>39</v>
      </c>
      <c r="O1913">
        <v>11</v>
      </c>
      <c r="P1913" t="s">
        <v>43</v>
      </c>
      <c r="Q1913">
        <v>59.1</v>
      </c>
    </row>
    <row r="1914" spans="1:17" x14ac:dyDescent="0.35">
      <c r="A1914" s="1">
        <v>45829</v>
      </c>
      <c r="B1914" t="s">
        <v>71</v>
      </c>
      <c r="C1914" t="s">
        <v>72</v>
      </c>
      <c r="D1914" t="s">
        <v>73</v>
      </c>
      <c r="E1914" t="s">
        <v>27</v>
      </c>
      <c r="F1914">
        <v>117.61</v>
      </c>
      <c r="G1914">
        <v>52.9</v>
      </c>
      <c r="H1914">
        <v>94.86</v>
      </c>
      <c r="I1914">
        <v>94.83</v>
      </c>
      <c r="J1914">
        <v>78.52</v>
      </c>
      <c r="K1914" t="s">
        <v>47</v>
      </c>
      <c r="L1914">
        <v>6.4</v>
      </c>
      <c r="M1914">
        <v>3.7</v>
      </c>
      <c r="N1914" t="s">
        <v>29</v>
      </c>
      <c r="O1914">
        <v>14</v>
      </c>
      <c r="P1914" t="s">
        <v>23</v>
      </c>
      <c r="Q1914">
        <v>57.3</v>
      </c>
    </row>
    <row r="1915" spans="1:17" x14ac:dyDescent="0.35">
      <c r="A1915" s="1">
        <v>45829</v>
      </c>
      <c r="B1915" t="s">
        <v>69</v>
      </c>
      <c r="C1915" t="s">
        <v>18</v>
      </c>
      <c r="D1915" t="s">
        <v>70</v>
      </c>
      <c r="E1915" t="s">
        <v>20</v>
      </c>
      <c r="F1915">
        <v>178.34</v>
      </c>
      <c r="G1915">
        <v>111</v>
      </c>
      <c r="H1915">
        <v>90.59</v>
      </c>
      <c r="I1915">
        <v>95.25</v>
      </c>
      <c r="J1915">
        <v>76.430000000000007</v>
      </c>
      <c r="K1915" t="s">
        <v>63</v>
      </c>
      <c r="L1915">
        <v>6.3</v>
      </c>
      <c r="N1915" t="s">
        <v>35</v>
      </c>
      <c r="O1915">
        <v>5</v>
      </c>
      <c r="P1915" t="s">
        <v>23</v>
      </c>
      <c r="Q1915">
        <v>67.7</v>
      </c>
    </row>
    <row r="1916" spans="1:17" x14ac:dyDescent="0.35">
      <c r="A1916" s="1">
        <v>45829</v>
      </c>
      <c r="B1916" t="s">
        <v>53</v>
      </c>
      <c r="C1916" t="s">
        <v>41</v>
      </c>
      <c r="D1916" t="s">
        <v>54</v>
      </c>
      <c r="E1916" t="s">
        <v>27</v>
      </c>
      <c r="F1916">
        <v>225.55</v>
      </c>
      <c r="G1916">
        <v>64.900000000000006</v>
      </c>
      <c r="H1916">
        <v>96.31</v>
      </c>
      <c r="I1916">
        <v>98.4</v>
      </c>
      <c r="J1916">
        <v>81.45</v>
      </c>
      <c r="K1916" t="s">
        <v>47</v>
      </c>
      <c r="L1916">
        <v>7.1</v>
      </c>
      <c r="M1916">
        <v>3.9</v>
      </c>
      <c r="N1916" t="s">
        <v>29</v>
      </c>
      <c r="O1916">
        <v>11</v>
      </c>
      <c r="P1916" t="s">
        <v>43</v>
      </c>
      <c r="Q1916">
        <v>59.9</v>
      </c>
    </row>
    <row r="1917" spans="1:17" x14ac:dyDescent="0.35">
      <c r="A1917" s="1">
        <v>45829</v>
      </c>
      <c r="B1917" t="s">
        <v>74</v>
      </c>
      <c r="C1917" t="s">
        <v>67</v>
      </c>
      <c r="D1917" t="s">
        <v>75</v>
      </c>
      <c r="E1917" t="s">
        <v>27</v>
      </c>
      <c r="F1917">
        <v>475.17</v>
      </c>
      <c r="G1917">
        <v>70.900000000000006</v>
      </c>
      <c r="H1917">
        <v>96.67</v>
      </c>
      <c r="I1917">
        <v>96.12</v>
      </c>
      <c r="J1917">
        <v>76.06</v>
      </c>
      <c r="K1917" t="s">
        <v>28</v>
      </c>
      <c r="L1917">
        <v>9</v>
      </c>
      <c r="M1917">
        <v>4.8</v>
      </c>
      <c r="N1917" t="s">
        <v>29</v>
      </c>
      <c r="O1917">
        <v>11</v>
      </c>
      <c r="P1917" t="s">
        <v>23</v>
      </c>
      <c r="Q1917">
        <v>61.3</v>
      </c>
    </row>
    <row r="1918" spans="1:17" x14ac:dyDescent="0.35">
      <c r="A1918" s="1">
        <v>45829</v>
      </c>
      <c r="B1918" t="s">
        <v>24</v>
      </c>
      <c r="C1918" t="s">
        <v>25</v>
      </c>
      <c r="D1918" t="s">
        <v>26</v>
      </c>
      <c r="E1918" t="s">
        <v>27</v>
      </c>
      <c r="F1918">
        <v>738.66</v>
      </c>
      <c r="G1918">
        <v>50.7</v>
      </c>
      <c r="H1918">
        <v>92.91</v>
      </c>
      <c r="I1918">
        <v>97.84</v>
      </c>
      <c r="J1918">
        <v>82.93</v>
      </c>
      <c r="K1918" t="s">
        <v>47</v>
      </c>
      <c r="L1918">
        <v>9.1999999999999993</v>
      </c>
      <c r="M1918">
        <v>4.5</v>
      </c>
      <c r="N1918" t="s">
        <v>39</v>
      </c>
      <c r="O1918">
        <v>14</v>
      </c>
      <c r="P1918" t="s">
        <v>30</v>
      </c>
      <c r="Q1918">
        <v>62.3</v>
      </c>
    </row>
    <row r="1919" spans="1:17" x14ac:dyDescent="0.35">
      <c r="A1919" s="1">
        <v>45829</v>
      </c>
      <c r="B1919" t="s">
        <v>17</v>
      </c>
      <c r="C1919" t="s">
        <v>18</v>
      </c>
      <c r="D1919" t="s">
        <v>19</v>
      </c>
      <c r="E1919" t="s">
        <v>20</v>
      </c>
      <c r="F1919">
        <v>111.6</v>
      </c>
      <c r="G1919">
        <v>233.2</v>
      </c>
      <c r="H1919">
        <v>89.72</v>
      </c>
      <c r="I1919">
        <v>93.58</v>
      </c>
      <c r="J1919">
        <v>76.400000000000006</v>
      </c>
      <c r="K1919" t="s">
        <v>58</v>
      </c>
      <c r="L1919">
        <v>6.6</v>
      </c>
      <c r="N1919" t="s">
        <v>35</v>
      </c>
      <c r="O1919">
        <v>8</v>
      </c>
      <c r="P1919" t="s">
        <v>23</v>
      </c>
      <c r="Q1919">
        <v>69.099999999999994</v>
      </c>
    </row>
    <row r="1920" spans="1:17" x14ac:dyDescent="0.35">
      <c r="A1920" s="1">
        <v>45829</v>
      </c>
      <c r="B1920" t="s">
        <v>82</v>
      </c>
      <c r="C1920" t="s">
        <v>72</v>
      </c>
      <c r="D1920" t="s">
        <v>83</v>
      </c>
      <c r="E1920" t="s">
        <v>20</v>
      </c>
      <c r="F1920">
        <v>217.63</v>
      </c>
      <c r="G1920">
        <v>77</v>
      </c>
      <c r="H1920">
        <v>92.37</v>
      </c>
      <c r="I1920">
        <v>93.67</v>
      </c>
      <c r="J1920">
        <v>73.52</v>
      </c>
      <c r="K1920" t="s">
        <v>63</v>
      </c>
      <c r="L1920">
        <v>7.6</v>
      </c>
      <c r="N1920" t="s">
        <v>22</v>
      </c>
      <c r="O1920">
        <v>7</v>
      </c>
      <c r="P1920" t="s">
        <v>23</v>
      </c>
      <c r="Q1920">
        <v>68.900000000000006</v>
      </c>
    </row>
    <row r="1921" spans="1:17" x14ac:dyDescent="0.35">
      <c r="A1921" s="1">
        <v>45829</v>
      </c>
      <c r="B1921" t="s">
        <v>80</v>
      </c>
      <c r="C1921" t="s">
        <v>45</v>
      </c>
      <c r="D1921" t="s">
        <v>81</v>
      </c>
      <c r="E1921" t="s">
        <v>27</v>
      </c>
      <c r="F1921">
        <v>761.96</v>
      </c>
      <c r="G1921">
        <v>417.1</v>
      </c>
      <c r="H1921">
        <v>95.26</v>
      </c>
      <c r="I1921">
        <v>98.28</v>
      </c>
      <c r="J1921">
        <v>76.92</v>
      </c>
      <c r="K1921" t="s">
        <v>28</v>
      </c>
      <c r="L1921">
        <v>8</v>
      </c>
      <c r="M1921">
        <v>1.8</v>
      </c>
      <c r="N1921" t="s">
        <v>29</v>
      </c>
      <c r="O1921">
        <v>14</v>
      </c>
      <c r="P1921" t="s">
        <v>23</v>
      </c>
      <c r="Q1921">
        <v>63.9</v>
      </c>
    </row>
    <row r="1922" spans="1:17" x14ac:dyDescent="0.35">
      <c r="A1922" s="1">
        <v>45829</v>
      </c>
      <c r="B1922" t="s">
        <v>55</v>
      </c>
      <c r="C1922" t="s">
        <v>56</v>
      </c>
      <c r="D1922">
        <v>4</v>
      </c>
      <c r="E1922" t="s">
        <v>57</v>
      </c>
      <c r="F1922">
        <v>30</v>
      </c>
      <c r="G1922">
        <v>153</v>
      </c>
      <c r="H1922">
        <v>90.84</v>
      </c>
      <c r="I1922">
        <v>93.64</v>
      </c>
      <c r="J1922">
        <v>73.78</v>
      </c>
      <c r="K1922" t="s">
        <v>58</v>
      </c>
      <c r="L1922">
        <v>6.7</v>
      </c>
      <c r="N1922" t="s">
        <v>35</v>
      </c>
      <c r="O1922">
        <v>3</v>
      </c>
      <c r="P1922" t="s">
        <v>23</v>
      </c>
      <c r="Q1922">
        <v>68.7</v>
      </c>
    </row>
    <row r="1923" spans="1:17" x14ac:dyDescent="0.35">
      <c r="A1923" s="1">
        <v>45829</v>
      </c>
      <c r="B1923" t="s">
        <v>36</v>
      </c>
      <c r="C1923" t="s">
        <v>37</v>
      </c>
      <c r="D1923" t="s">
        <v>38</v>
      </c>
      <c r="E1923" t="s">
        <v>33</v>
      </c>
      <c r="F1923">
        <v>387.04</v>
      </c>
      <c r="G1923">
        <v>221.1</v>
      </c>
      <c r="H1923">
        <v>94.93</v>
      </c>
      <c r="I1923">
        <v>95.16</v>
      </c>
      <c r="J1923">
        <v>76.17</v>
      </c>
      <c r="K1923" t="s">
        <v>47</v>
      </c>
      <c r="L1923">
        <v>7.9</v>
      </c>
      <c r="M1923">
        <v>4.7</v>
      </c>
      <c r="N1923" t="s">
        <v>22</v>
      </c>
      <c r="O1923">
        <v>10</v>
      </c>
      <c r="P1923" t="s">
        <v>23</v>
      </c>
      <c r="Q1923">
        <v>61.1</v>
      </c>
    </row>
    <row r="1924" spans="1:17" x14ac:dyDescent="0.35">
      <c r="A1924" s="1">
        <v>45829</v>
      </c>
      <c r="B1924" t="s">
        <v>40</v>
      </c>
      <c r="C1924" t="s">
        <v>41</v>
      </c>
      <c r="D1924" t="s">
        <v>42</v>
      </c>
      <c r="E1924" t="s">
        <v>27</v>
      </c>
      <c r="F1924">
        <v>638.25</v>
      </c>
      <c r="G1924">
        <v>47.5</v>
      </c>
      <c r="H1924">
        <v>92.93</v>
      </c>
      <c r="I1924">
        <v>97.42</v>
      </c>
      <c r="J1924">
        <v>82.89</v>
      </c>
      <c r="K1924" t="s">
        <v>28</v>
      </c>
      <c r="L1924">
        <v>9</v>
      </c>
      <c r="M1924">
        <v>4.5</v>
      </c>
      <c r="N1924" t="s">
        <v>39</v>
      </c>
      <c r="O1924">
        <v>9</v>
      </c>
      <c r="P1924" t="s">
        <v>43</v>
      </c>
      <c r="Q1924">
        <v>61.8</v>
      </c>
    </row>
    <row r="1925" spans="1:17" x14ac:dyDescent="0.35">
      <c r="A1925" s="1">
        <v>45829</v>
      </c>
      <c r="B1925" t="s">
        <v>51</v>
      </c>
      <c r="C1925" t="s">
        <v>45</v>
      </c>
      <c r="D1925" t="s">
        <v>52</v>
      </c>
      <c r="E1925" t="s">
        <v>27</v>
      </c>
      <c r="F1925">
        <v>470.16</v>
      </c>
      <c r="G1925">
        <v>618</v>
      </c>
      <c r="H1925">
        <v>92.76</v>
      </c>
      <c r="I1925">
        <v>98.49</v>
      </c>
      <c r="J1925">
        <v>78.44</v>
      </c>
      <c r="K1925" t="s">
        <v>47</v>
      </c>
      <c r="L1925">
        <v>9.3000000000000007</v>
      </c>
      <c r="M1925">
        <v>2</v>
      </c>
      <c r="N1925" t="s">
        <v>39</v>
      </c>
      <c r="O1925">
        <v>10</v>
      </c>
      <c r="P1925" t="s">
        <v>23</v>
      </c>
      <c r="Q1925">
        <v>65.8</v>
      </c>
    </row>
    <row r="1926" spans="1:17" x14ac:dyDescent="0.35">
      <c r="A1926" s="1">
        <v>45829</v>
      </c>
      <c r="B1926" t="s">
        <v>101</v>
      </c>
      <c r="C1926" t="s">
        <v>45</v>
      </c>
      <c r="D1926" t="s">
        <v>102</v>
      </c>
      <c r="E1926" t="s">
        <v>27</v>
      </c>
      <c r="F1926">
        <v>914.2</v>
      </c>
      <c r="G1926">
        <v>1436.6</v>
      </c>
      <c r="H1926">
        <v>95.62</v>
      </c>
      <c r="I1926">
        <v>99.5</v>
      </c>
      <c r="J1926">
        <v>84.2</v>
      </c>
      <c r="K1926" t="s">
        <v>47</v>
      </c>
      <c r="L1926">
        <v>9.4</v>
      </c>
      <c r="M1926">
        <v>3.4</v>
      </c>
      <c r="N1926" t="s">
        <v>29</v>
      </c>
      <c r="O1926">
        <v>15</v>
      </c>
      <c r="P1926" t="s">
        <v>23</v>
      </c>
      <c r="Q1926">
        <v>66.599999999999994</v>
      </c>
    </row>
    <row r="1927" spans="1:17" x14ac:dyDescent="0.35">
      <c r="A1927" s="1">
        <v>45829</v>
      </c>
      <c r="B1927" t="s">
        <v>40</v>
      </c>
      <c r="C1927" t="s">
        <v>41</v>
      </c>
      <c r="D1927" t="s">
        <v>42</v>
      </c>
      <c r="E1927" t="s">
        <v>27</v>
      </c>
      <c r="F1927">
        <v>683.22</v>
      </c>
      <c r="G1927">
        <v>52.2</v>
      </c>
      <c r="H1927">
        <v>93.64</v>
      </c>
      <c r="I1927">
        <v>97.85</v>
      </c>
      <c r="J1927">
        <v>80.790000000000006</v>
      </c>
      <c r="K1927" t="s">
        <v>28</v>
      </c>
      <c r="L1927">
        <v>8.3000000000000007</v>
      </c>
      <c r="M1927">
        <v>3.8</v>
      </c>
      <c r="N1927" t="s">
        <v>29</v>
      </c>
      <c r="O1927">
        <v>9</v>
      </c>
      <c r="P1927" t="s">
        <v>43</v>
      </c>
      <c r="Q1927">
        <v>61</v>
      </c>
    </row>
    <row r="1928" spans="1:17" x14ac:dyDescent="0.35">
      <c r="A1928" s="1">
        <v>45829</v>
      </c>
      <c r="B1928" t="s">
        <v>78</v>
      </c>
      <c r="C1928" t="s">
        <v>41</v>
      </c>
      <c r="D1928" t="s">
        <v>79</v>
      </c>
      <c r="E1928" t="s">
        <v>27</v>
      </c>
      <c r="F1928">
        <v>434.53</v>
      </c>
      <c r="G1928">
        <v>51.2</v>
      </c>
      <c r="H1928">
        <v>92.92</v>
      </c>
      <c r="I1928">
        <v>97.9</v>
      </c>
      <c r="J1928">
        <v>80.88</v>
      </c>
      <c r="K1928" t="s">
        <v>28</v>
      </c>
      <c r="L1928">
        <v>9.5</v>
      </c>
      <c r="M1928">
        <v>2.5</v>
      </c>
      <c r="N1928" t="s">
        <v>39</v>
      </c>
      <c r="O1928">
        <v>9</v>
      </c>
      <c r="P1928" t="s">
        <v>43</v>
      </c>
      <c r="Q1928">
        <v>63.8</v>
      </c>
    </row>
    <row r="1929" spans="1:17" x14ac:dyDescent="0.35">
      <c r="A1929" s="1">
        <v>45829</v>
      </c>
      <c r="B1929" t="s">
        <v>97</v>
      </c>
      <c r="C1929" t="s">
        <v>72</v>
      </c>
      <c r="D1929" t="s">
        <v>98</v>
      </c>
      <c r="E1929" t="s">
        <v>27</v>
      </c>
      <c r="F1929">
        <v>129.19</v>
      </c>
      <c r="G1929">
        <v>45.6</v>
      </c>
      <c r="H1929">
        <v>96.88</v>
      </c>
      <c r="I1929">
        <v>96.77</v>
      </c>
      <c r="J1929">
        <v>82.71</v>
      </c>
      <c r="K1929" t="s">
        <v>47</v>
      </c>
      <c r="L1929">
        <v>7.2</v>
      </c>
      <c r="M1929">
        <v>4.5</v>
      </c>
      <c r="N1929" t="s">
        <v>39</v>
      </c>
      <c r="O1929">
        <v>13</v>
      </c>
      <c r="P1929" t="s">
        <v>43</v>
      </c>
      <c r="Q1929">
        <v>59.3</v>
      </c>
    </row>
    <row r="1930" spans="1:17" x14ac:dyDescent="0.35">
      <c r="A1930" s="1">
        <v>45829</v>
      </c>
      <c r="B1930" t="s">
        <v>55</v>
      </c>
      <c r="C1930" t="s">
        <v>56</v>
      </c>
      <c r="D1930">
        <v>4</v>
      </c>
      <c r="E1930" t="s">
        <v>57</v>
      </c>
      <c r="F1930">
        <v>30</v>
      </c>
      <c r="G1930">
        <v>153.4</v>
      </c>
      <c r="H1930">
        <v>85.97</v>
      </c>
      <c r="I1930">
        <v>94.37</v>
      </c>
      <c r="J1930">
        <v>70.959999999999994</v>
      </c>
      <c r="K1930" t="s">
        <v>63</v>
      </c>
      <c r="L1930">
        <v>6.4</v>
      </c>
      <c r="N1930" t="s">
        <v>35</v>
      </c>
      <c r="O1930">
        <v>5</v>
      </c>
      <c r="P1930" t="s">
        <v>23</v>
      </c>
      <c r="Q1930">
        <v>66.7</v>
      </c>
    </row>
    <row r="1931" spans="1:17" x14ac:dyDescent="0.35">
      <c r="A1931" s="1">
        <v>45829</v>
      </c>
      <c r="B1931" t="s">
        <v>84</v>
      </c>
      <c r="C1931" t="s">
        <v>18</v>
      </c>
      <c r="D1931" t="s">
        <v>85</v>
      </c>
      <c r="E1931" t="s">
        <v>27</v>
      </c>
      <c r="F1931">
        <v>324.25</v>
      </c>
      <c r="G1931">
        <v>60.3</v>
      </c>
      <c r="H1931">
        <v>95.04</v>
      </c>
      <c r="I1931">
        <v>94.9</v>
      </c>
      <c r="J1931">
        <v>78.13</v>
      </c>
      <c r="K1931" t="s">
        <v>28</v>
      </c>
      <c r="L1931">
        <v>7.3</v>
      </c>
      <c r="M1931">
        <v>2.7</v>
      </c>
      <c r="N1931" t="s">
        <v>39</v>
      </c>
      <c r="O1931">
        <v>11</v>
      </c>
      <c r="P1931" t="s">
        <v>23</v>
      </c>
      <c r="Q1931">
        <v>59.6</v>
      </c>
    </row>
    <row r="1932" spans="1:17" x14ac:dyDescent="0.35">
      <c r="A1932" s="1">
        <v>45829</v>
      </c>
      <c r="B1932" t="s">
        <v>93</v>
      </c>
      <c r="C1932" t="s">
        <v>37</v>
      </c>
      <c r="D1932" t="s">
        <v>94</v>
      </c>
      <c r="E1932" t="s">
        <v>33</v>
      </c>
      <c r="F1932">
        <v>395.36</v>
      </c>
      <c r="G1932">
        <v>187.5</v>
      </c>
      <c r="H1932">
        <v>93.9</v>
      </c>
      <c r="I1932">
        <v>94.45</v>
      </c>
      <c r="J1932">
        <v>71.55</v>
      </c>
      <c r="K1932" t="s">
        <v>28</v>
      </c>
      <c r="L1932">
        <v>7.9</v>
      </c>
      <c r="M1932">
        <v>2.4</v>
      </c>
      <c r="N1932" t="s">
        <v>35</v>
      </c>
      <c r="O1932">
        <v>9</v>
      </c>
      <c r="P1932" t="s">
        <v>23</v>
      </c>
      <c r="Q1932">
        <v>61.6</v>
      </c>
    </row>
    <row r="1933" spans="1:17" x14ac:dyDescent="0.35">
      <c r="A1933" s="1">
        <v>45829</v>
      </c>
      <c r="B1933" t="s">
        <v>78</v>
      </c>
      <c r="C1933" t="s">
        <v>41</v>
      </c>
      <c r="D1933" t="s">
        <v>79</v>
      </c>
      <c r="E1933" t="s">
        <v>27</v>
      </c>
      <c r="F1933">
        <v>568.79</v>
      </c>
      <c r="G1933">
        <v>31.1</v>
      </c>
      <c r="H1933">
        <v>95.73</v>
      </c>
      <c r="I1933">
        <v>96.37</v>
      </c>
      <c r="J1933">
        <v>83.32</v>
      </c>
      <c r="K1933" t="s">
        <v>34</v>
      </c>
      <c r="L1933">
        <v>8</v>
      </c>
      <c r="M1933">
        <v>3.9</v>
      </c>
      <c r="N1933" t="s">
        <v>29</v>
      </c>
      <c r="O1933">
        <v>15</v>
      </c>
      <c r="P1933" t="s">
        <v>43</v>
      </c>
      <c r="Q1933">
        <v>60.6</v>
      </c>
    </row>
    <row r="1934" spans="1:17" x14ac:dyDescent="0.35">
      <c r="A1934" s="1">
        <v>45829</v>
      </c>
      <c r="B1934" t="s">
        <v>89</v>
      </c>
      <c r="C1934" t="s">
        <v>67</v>
      </c>
      <c r="D1934" t="s">
        <v>90</v>
      </c>
      <c r="E1934" t="s">
        <v>27</v>
      </c>
      <c r="F1934">
        <v>638.23</v>
      </c>
      <c r="G1934">
        <v>51.5</v>
      </c>
      <c r="H1934">
        <v>94.8</v>
      </c>
      <c r="I1934">
        <v>94.78</v>
      </c>
      <c r="J1934">
        <v>79.099999999999994</v>
      </c>
      <c r="K1934" t="s">
        <v>34</v>
      </c>
      <c r="L1934">
        <v>9.4</v>
      </c>
      <c r="M1934">
        <v>3.9</v>
      </c>
      <c r="N1934" t="s">
        <v>29</v>
      </c>
      <c r="O1934">
        <v>14</v>
      </c>
      <c r="P1934" t="s">
        <v>43</v>
      </c>
      <c r="Q1934">
        <v>62.2</v>
      </c>
    </row>
    <row r="1935" spans="1:17" x14ac:dyDescent="0.35">
      <c r="A1935" s="1">
        <v>45829</v>
      </c>
      <c r="B1935" t="s">
        <v>53</v>
      </c>
      <c r="C1935" t="s">
        <v>41</v>
      </c>
      <c r="D1935" t="s">
        <v>54</v>
      </c>
      <c r="E1935" t="s">
        <v>27</v>
      </c>
      <c r="F1935">
        <v>232.78</v>
      </c>
      <c r="G1935">
        <v>52.2</v>
      </c>
      <c r="H1935">
        <v>97.97</v>
      </c>
      <c r="I1935">
        <v>97.69</v>
      </c>
      <c r="J1935">
        <v>77.3</v>
      </c>
      <c r="K1935" t="s">
        <v>34</v>
      </c>
      <c r="L1935">
        <v>7.6</v>
      </c>
      <c r="M1935">
        <v>2.7</v>
      </c>
      <c r="N1935" t="s">
        <v>39</v>
      </c>
      <c r="O1935">
        <v>12</v>
      </c>
      <c r="P1935" t="s">
        <v>43</v>
      </c>
      <c r="Q1935">
        <v>60.7</v>
      </c>
    </row>
    <row r="1936" spans="1:17" x14ac:dyDescent="0.35">
      <c r="A1936" s="1">
        <v>45829</v>
      </c>
      <c r="B1936" t="s">
        <v>40</v>
      </c>
      <c r="C1936" t="s">
        <v>41</v>
      </c>
      <c r="D1936" t="s">
        <v>42</v>
      </c>
      <c r="E1936" t="s">
        <v>27</v>
      </c>
      <c r="F1936">
        <v>676.89</v>
      </c>
      <c r="G1936">
        <v>44.6</v>
      </c>
      <c r="H1936">
        <v>92.04</v>
      </c>
      <c r="I1936">
        <v>98.14</v>
      </c>
      <c r="J1936">
        <v>84.58</v>
      </c>
      <c r="K1936" t="s">
        <v>34</v>
      </c>
      <c r="L1936">
        <v>8.6</v>
      </c>
      <c r="M1936">
        <v>2.6</v>
      </c>
      <c r="N1936" t="s">
        <v>39</v>
      </c>
      <c r="O1936">
        <v>12</v>
      </c>
      <c r="P1936" t="s">
        <v>43</v>
      </c>
      <c r="Q1936">
        <v>62.6</v>
      </c>
    </row>
    <row r="1937" spans="1:17" x14ac:dyDescent="0.35">
      <c r="A1937" s="1">
        <v>45829</v>
      </c>
      <c r="B1937" t="s">
        <v>24</v>
      </c>
      <c r="C1937" t="s">
        <v>25</v>
      </c>
      <c r="D1937" t="s">
        <v>26</v>
      </c>
      <c r="E1937" t="s">
        <v>27</v>
      </c>
      <c r="F1937">
        <v>800.62</v>
      </c>
      <c r="G1937">
        <v>47.1</v>
      </c>
      <c r="H1937">
        <v>96.32</v>
      </c>
      <c r="I1937">
        <v>97.85</v>
      </c>
      <c r="J1937">
        <v>81.709999999999994</v>
      </c>
      <c r="K1937" t="s">
        <v>34</v>
      </c>
      <c r="L1937">
        <v>8.6</v>
      </c>
      <c r="M1937">
        <v>4.8</v>
      </c>
      <c r="N1937" t="s">
        <v>39</v>
      </c>
      <c r="O1937">
        <v>13</v>
      </c>
      <c r="P1937" t="s">
        <v>30</v>
      </c>
      <c r="Q1937">
        <v>61.4</v>
      </c>
    </row>
    <row r="1938" spans="1:17" x14ac:dyDescent="0.35">
      <c r="A1938" s="1">
        <v>45829</v>
      </c>
      <c r="B1938" t="s">
        <v>91</v>
      </c>
      <c r="C1938" t="s">
        <v>67</v>
      </c>
      <c r="D1938" t="s">
        <v>92</v>
      </c>
      <c r="E1938" t="s">
        <v>27</v>
      </c>
      <c r="F1938">
        <v>719.02</v>
      </c>
      <c r="G1938">
        <v>27.5</v>
      </c>
      <c r="H1938">
        <v>94.55</v>
      </c>
      <c r="I1938">
        <v>95.91</v>
      </c>
      <c r="J1938">
        <v>75.010000000000005</v>
      </c>
      <c r="K1938" t="s">
        <v>28</v>
      </c>
      <c r="L1938">
        <v>8.1999999999999993</v>
      </c>
      <c r="M1938">
        <v>4.3</v>
      </c>
      <c r="N1938" t="s">
        <v>29</v>
      </c>
      <c r="O1938">
        <v>9</v>
      </c>
      <c r="P1938" t="s">
        <v>23</v>
      </c>
      <c r="Q1938">
        <v>58.9</v>
      </c>
    </row>
    <row r="1939" spans="1:17" x14ac:dyDescent="0.35">
      <c r="A1939" s="1">
        <v>45829</v>
      </c>
      <c r="B1939" t="s">
        <v>74</v>
      </c>
      <c r="C1939" t="s">
        <v>67</v>
      </c>
      <c r="D1939" t="s">
        <v>75</v>
      </c>
      <c r="E1939" t="s">
        <v>27</v>
      </c>
      <c r="F1939">
        <v>199.6</v>
      </c>
      <c r="G1939">
        <v>63.8</v>
      </c>
      <c r="H1939">
        <v>93.21</v>
      </c>
      <c r="I1939">
        <v>95.12</v>
      </c>
      <c r="J1939">
        <v>84.12</v>
      </c>
      <c r="K1939" t="s">
        <v>34</v>
      </c>
      <c r="L1939">
        <v>6</v>
      </c>
      <c r="M1939">
        <v>4.2</v>
      </c>
      <c r="N1939" t="s">
        <v>39</v>
      </c>
      <c r="O1939">
        <v>15</v>
      </c>
      <c r="P1939" t="s">
        <v>43</v>
      </c>
      <c r="Q1939">
        <v>57.2</v>
      </c>
    </row>
    <row r="1940" spans="1:17" x14ac:dyDescent="0.35">
      <c r="A1940" s="1">
        <v>45829</v>
      </c>
      <c r="B1940" t="s">
        <v>31</v>
      </c>
      <c r="C1940" t="s">
        <v>18</v>
      </c>
      <c r="D1940" t="s">
        <v>32</v>
      </c>
      <c r="E1940" t="s">
        <v>27</v>
      </c>
      <c r="F1940">
        <v>109.69</v>
      </c>
      <c r="G1940">
        <v>57.1</v>
      </c>
      <c r="H1940">
        <v>96.73</v>
      </c>
      <c r="I1940">
        <v>93.14</v>
      </c>
      <c r="J1940">
        <v>77.349999999999994</v>
      </c>
      <c r="K1940" t="s">
        <v>34</v>
      </c>
      <c r="L1940">
        <v>7.3</v>
      </c>
      <c r="M1940">
        <v>3.1</v>
      </c>
      <c r="N1940" t="s">
        <v>29</v>
      </c>
      <c r="O1940">
        <v>15</v>
      </c>
      <c r="P1940" t="s">
        <v>23</v>
      </c>
      <c r="Q1940">
        <v>59.1</v>
      </c>
    </row>
    <row r="1941" spans="1:17" x14ac:dyDescent="0.35">
      <c r="A1941" s="1">
        <v>45829</v>
      </c>
      <c r="B1941" t="s">
        <v>97</v>
      </c>
      <c r="C1941" t="s">
        <v>72</v>
      </c>
      <c r="D1941" t="s">
        <v>98</v>
      </c>
      <c r="E1941" t="s">
        <v>27</v>
      </c>
      <c r="F1941">
        <v>166.87</v>
      </c>
      <c r="G1941">
        <v>51.5</v>
      </c>
      <c r="H1941">
        <v>97.66</v>
      </c>
      <c r="I1941">
        <v>94.31</v>
      </c>
      <c r="J1941">
        <v>81.099999999999994</v>
      </c>
      <c r="K1941" t="s">
        <v>28</v>
      </c>
      <c r="L1941">
        <v>6.1</v>
      </c>
      <c r="M1941">
        <v>4.4000000000000004</v>
      </c>
      <c r="N1941" t="s">
        <v>39</v>
      </c>
      <c r="O1941">
        <v>12</v>
      </c>
      <c r="P1941" t="s">
        <v>23</v>
      </c>
      <c r="Q1941">
        <v>57.1</v>
      </c>
    </row>
    <row r="1942" spans="1:17" x14ac:dyDescent="0.35">
      <c r="A1942" s="1">
        <v>45829</v>
      </c>
      <c r="B1942" t="s">
        <v>36</v>
      </c>
      <c r="C1942" t="s">
        <v>37</v>
      </c>
      <c r="D1942" t="s">
        <v>38</v>
      </c>
      <c r="E1942" t="s">
        <v>27</v>
      </c>
      <c r="F1942">
        <v>413.29</v>
      </c>
      <c r="G1942">
        <v>46.5</v>
      </c>
      <c r="H1942">
        <v>94.53</v>
      </c>
      <c r="I1942">
        <v>94.26</v>
      </c>
      <c r="J1942">
        <v>75.64</v>
      </c>
      <c r="K1942" t="s">
        <v>28</v>
      </c>
      <c r="L1942">
        <v>8.6</v>
      </c>
      <c r="M1942">
        <v>3.2</v>
      </c>
      <c r="N1942" t="s">
        <v>29</v>
      </c>
      <c r="O1942">
        <v>13</v>
      </c>
      <c r="P1942" t="s">
        <v>23</v>
      </c>
      <c r="Q1942">
        <v>60.5</v>
      </c>
    </row>
    <row r="1943" spans="1:17" x14ac:dyDescent="0.35">
      <c r="A1943" s="1">
        <v>45829</v>
      </c>
      <c r="B1943" t="s">
        <v>91</v>
      </c>
      <c r="C1943" t="s">
        <v>67</v>
      </c>
      <c r="D1943" t="s">
        <v>92</v>
      </c>
      <c r="E1943" t="s">
        <v>27</v>
      </c>
      <c r="F1943">
        <v>761.23</v>
      </c>
      <c r="G1943">
        <v>69.900000000000006</v>
      </c>
      <c r="H1943">
        <v>94.2</v>
      </c>
      <c r="I1943">
        <v>94.63</v>
      </c>
      <c r="J1943">
        <v>82.77</v>
      </c>
      <c r="K1943" t="s">
        <v>34</v>
      </c>
      <c r="L1943">
        <v>8.4</v>
      </c>
      <c r="M1943">
        <v>4</v>
      </c>
      <c r="N1943" t="s">
        <v>39</v>
      </c>
      <c r="O1943">
        <v>15</v>
      </c>
      <c r="P1943" t="s">
        <v>43</v>
      </c>
      <c r="Q1943">
        <v>61.3</v>
      </c>
    </row>
    <row r="1944" spans="1:17" x14ac:dyDescent="0.35">
      <c r="A1944" s="1">
        <v>45829</v>
      </c>
      <c r="B1944" t="s">
        <v>93</v>
      </c>
      <c r="C1944" t="s">
        <v>37</v>
      </c>
      <c r="D1944" t="s">
        <v>94</v>
      </c>
      <c r="E1944" t="s">
        <v>27</v>
      </c>
      <c r="F1944">
        <v>455.89</v>
      </c>
      <c r="G1944">
        <v>64.3</v>
      </c>
      <c r="H1944">
        <v>94.67</v>
      </c>
      <c r="I1944">
        <v>93.81</v>
      </c>
      <c r="J1944">
        <v>83.04</v>
      </c>
      <c r="K1944" t="s">
        <v>47</v>
      </c>
      <c r="L1944">
        <v>9.3000000000000007</v>
      </c>
      <c r="M1944">
        <v>1.7</v>
      </c>
      <c r="N1944" t="s">
        <v>39</v>
      </c>
      <c r="O1944">
        <v>14</v>
      </c>
      <c r="P1944" t="s">
        <v>23</v>
      </c>
      <c r="Q1944">
        <v>64.2</v>
      </c>
    </row>
    <row r="1945" spans="1:17" x14ac:dyDescent="0.35">
      <c r="A1945" s="1">
        <v>45829</v>
      </c>
      <c r="B1945" t="s">
        <v>76</v>
      </c>
      <c r="C1945" t="s">
        <v>45</v>
      </c>
      <c r="D1945" t="s">
        <v>77</v>
      </c>
      <c r="E1945" t="s">
        <v>27</v>
      </c>
      <c r="F1945">
        <v>581.15</v>
      </c>
      <c r="G1945">
        <v>531.29999999999995</v>
      </c>
      <c r="H1945">
        <v>97.31</v>
      </c>
      <c r="I1945">
        <v>98.36</v>
      </c>
      <c r="J1945">
        <v>80.52</v>
      </c>
      <c r="K1945" t="s">
        <v>34</v>
      </c>
      <c r="L1945">
        <v>8.8000000000000007</v>
      </c>
      <c r="M1945">
        <v>1.8</v>
      </c>
      <c r="N1945" t="s">
        <v>29</v>
      </c>
      <c r="O1945">
        <v>10</v>
      </c>
      <c r="P1945" t="s">
        <v>23</v>
      </c>
      <c r="Q1945">
        <v>66.2</v>
      </c>
    </row>
    <row r="1946" spans="1:17" x14ac:dyDescent="0.35">
      <c r="A1946" s="1">
        <v>45829</v>
      </c>
      <c r="B1946" t="s">
        <v>80</v>
      </c>
      <c r="C1946" t="s">
        <v>45</v>
      </c>
      <c r="D1946" t="s">
        <v>81</v>
      </c>
      <c r="E1946" t="s">
        <v>33</v>
      </c>
      <c r="F1946">
        <v>165.56</v>
      </c>
      <c r="G1946">
        <v>578.1</v>
      </c>
      <c r="H1946">
        <v>93.25</v>
      </c>
      <c r="I1946">
        <v>99.08</v>
      </c>
      <c r="J1946">
        <v>72.95</v>
      </c>
      <c r="K1946" t="s">
        <v>34</v>
      </c>
      <c r="L1946">
        <v>6</v>
      </c>
      <c r="M1946">
        <v>3</v>
      </c>
      <c r="N1946" t="s">
        <v>35</v>
      </c>
      <c r="O1946">
        <v>9</v>
      </c>
      <c r="P1946" t="s">
        <v>23</v>
      </c>
      <c r="Q1946">
        <v>58.9</v>
      </c>
    </row>
    <row r="1947" spans="1:17" x14ac:dyDescent="0.35">
      <c r="A1947" s="1">
        <v>45829</v>
      </c>
      <c r="B1947" t="s">
        <v>44</v>
      </c>
      <c r="C1947" t="s">
        <v>45</v>
      </c>
      <c r="D1947" t="s">
        <v>46</v>
      </c>
      <c r="E1947" t="s">
        <v>33</v>
      </c>
      <c r="F1947">
        <v>411.97</v>
      </c>
      <c r="G1947">
        <v>358.8</v>
      </c>
      <c r="H1947">
        <v>93.71</v>
      </c>
      <c r="I1947">
        <v>98.94</v>
      </c>
      <c r="J1947">
        <v>71.31</v>
      </c>
      <c r="K1947" t="s">
        <v>47</v>
      </c>
      <c r="L1947">
        <v>8</v>
      </c>
      <c r="M1947">
        <v>3.8</v>
      </c>
      <c r="N1947" t="s">
        <v>22</v>
      </c>
      <c r="O1947">
        <v>7</v>
      </c>
      <c r="P1947" t="s">
        <v>23</v>
      </c>
      <c r="Q1947">
        <v>61.5</v>
      </c>
    </row>
    <row r="1948" spans="1:17" x14ac:dyDescent="0.35">
      <c r="A1948" s="1">
        <v>45829</v>
      </c>
      <c r="B1948" t="s">
        <v>55</v>
      </c>
      <c r="C1948" t="s">
        <v>56</v>
      </c>
      <c r="D1948">
        <v>4</v>
      </c>
      <c r="E1948" t="s">
        <v>57</v>
      </c>
      <c r="F1948">
        <v>30</v>
      </c>
      <c r="G1948">
        <v>128.9</v>
      </c>
      <c r="H1948">
        <v>90.24</v>
      </c>
      <c r="I1948">
        <v>96.49</v>
      </c>
      <c r="J1948">
        <v>72.89</v>
      </c>
      <c r="K1948" t="s">
        <v>58</v>
      </c>
      <c r="L1948">
        <v>6</v>
      </c>
      <c r="N1948" t="s">
        <v>35</v>
      </c>
      <c r="O1948">
        <v>2</v>
      </c>
      <c r="P1948" t="s">
        <v>23</v>
      </c>
      <c r="Q1948">
        <v>67</v>
      </c>
    </row>
    <row r="1949" spans="1:17" x14ac:dyDescent="0.35">
      <c r="A1949" s="1">
        <v>45829</v>
      </c>
      <c r="B1949" t="s">
        <v>55</v>
      </c>
      <c r="C1949" t="s">
        <v>56</v>
      </c>
      <c r="D1949">
        <v>4</v>
      </c>
      <c r="E1949" t="s">
        <v>57</v>
      </c>
      <c r="F1949">
        <v>30</v>
      </c>
      <c r="G1949">
        <v>140.9</v>
      </c>
      <c r="H1949">
        <v>85.76</v>
      </c>
      <c r="I1949">
        <v>95.51</v>
      </c>
      <c r="J1949">
        <v>74.849999999999994</v>
      </c>
      <c r="K1949" t="s">
        <v>21</v>
      </c>
      <c r="L1949">
        <v>7.3</v>
      </c>
      <c r="N1949" t="s">
        <v>35</v>
      </c>
      <c r="O1949">
        <v>3</v>
      </c>
      <c r="P1949" t="s">
        <v>43</v>
      </c>
      <c r="Q1949">
        <v>69.2</v>
      </c>
    </row>
    <row r="1950" spans="1:17" x14ac:dyDescent="0.35">
      <c r="A1950" s="1">
        <v>45829</v>
      </c>
      <c r="B1950" t="s">
        <v>55</v>
      </c>
      <c r="C1950" t="s">
        <v>56</v>
      </c>
      <c r="D1950">
        <v>4</v>
      </c>
      <c r="E1950" t="s">
        <v>57</v>
      </c>
      <c r="F1950">
        <v>30</v>
      </c>
      <c r="G1950">
        <v>155.80000000000001</v>
      </c>
      <c r="H1950">
        <v>88.33</v>
      </c>
      <c r="I1950">
        <v>96.11</v>
      </c>
      <c r="J1950">
        <v>75.13</v>
      </c>
      <c r="K1950" t="s">
        <v>58</v>
      </c>
      <c r="L1950">
        <v>6.9</v>
      </c>
      <c r="N1950" t="s">
        <v>35</v>
      </c>
      <c r="O1950">
        <v>3</v>
      </c>
      <c r="P1950" t="s">
        <v>43</v>
      </c>
      <c r="Q1950">
        <v>69.400000000000006</v>
      </c>
    </row>
    <row r="1951" spans="1:17" x14ac:dyDescent="0.35">
      <c r="A1951" s="1">
        <v>45829</v>
      </c>
      <c r="B1951" t="s">
        <v>78</v>
      </c>
      <c r="C1951" t="s">
        <v>41</v>
      </c>
      <c r="D1951" t="s">
        <v>79</v>
      </c>
      <c r="E1951" t="s">
        <v>27</v>
      </c>
      <c r="F1951">
        <v>205.14</v>
      </c>
      <c r="G1951">
        <v>56.5</v>
      </c>
      <c r="H1951">
        <v>95.56</v>
      </c>
      <c r="I1951">
        <v>98.1</v>
      </c>
      <c r="J1951">
        <v>84.04</v>
      </c>
      <c r="K1951" t="s">
        <v>47</v>
      </c>
      <c r="L1951">
        <v>8</v>
      </c>
      <c r="M1951">
        <v>2.4</v>
      </c>
      <c r="N1951" t="s">
        <v>29</v>
      </c>
      <c r="O1951">
        <v>15</v>
      </c>
      <c r="P1951" t="s">
        <v>43</v>
      </c>
      <c r="Q1951">
        <v>62.5</v>
      </c>
    </row>
    <row r="1952" spans="1:17" x14ac:dyDescent="0.35">
      <c r="A1952" s="1">
        <v>45829</v>
      </c>
      <c r="B1952" t="s">
        <v>101</v>
      </c>
      <c r="C1952" t="s">
        <v>45</v>
      </c>
      <c r="D1952" t="s">
        <v>102</v>
      </c>
      <c r="E1952" t="s">
        <v>27</v>
      </c>
      <c r="F1952">
        <v>418.87</v>
      </c>
      <c r="G1952">
        <v>1522.6</v>
      </c>
      <c r="H1952">
        <v>97.69</v>
      </c>
      <c r="I1952">
        <v>98.18</v>
      </c>
      <c r="J1952">
        <v>78.180000000000007</v>
      </c>
      <c r="K1952" t="s">
        <v>88</v>
      </c>
      <c r="L1952">
        <v>9.1</v>
      </c>
      <c r="M1952">
        <v>4.2</v>
      </c>
      <c r="N1952" t="s">
        <v>39</v>
      </c>
      <c r="O1952">
        <v>14</v>
      </c>
      <c r="P1952" t="s">
        <v>23</v>
      </c>
      <c r="Q1952">
        <v>64.7</v>
      </c>
    </row>
    <row r="1953" spans="1:17" x14ac:dyDescent="0.35">
      <c r="A1953" s="1">
        <v>45829</v>
      </c>
      <c r="B1953" t="s">
        <v>55</v>
      </c>
      <c r="C1953" t="s">
        <v>56</v>
      </c>
      <c r="D1953">
        <v>4</v>
      </c>
      <c r="E1953" t="s">
        <v>57</v>
      </c>
      <c r="F1953">
        <v>30</v>
      </c>
      <c r="G1953">
        <v>132.9</v>
      </c>
      <c r="H1953">
        <v>89.2</v>
      </c>
      <c r="I1953">
        <v>93.36</v>
      </c>
      <c r="J1953">
        <v>74.23</v>
      </c>
      <c r="K1953" t="s">
        <v>63</v>
      </c>
      <c r="L1953">
        <v>7.2</v>
      </c>
      <c r="N1953" t="s">
        <v>35</v>
      </c>
      <c r="O1953">
        <v>5</v>
      </c>
      <c r="P1953" t="s">
        <v>23</v>
      </c>
      <c r="Q1953">
        <v>68.900000000000006</v>
      </c>
    </row>
    <row r="1954" spans="1:17" x14ac:dyDescent="0.35">
      <c r="A1954" s="1">
        <v>45829</v>
      </c>
      <c r="B1954" t="s">
        <v>31</v>
      </c>
      <c r="C1954" t="s">
        <v>18</v>
      </c>
      <c r="D1954" t="s">
        <v>32</v>
      </c>
      <c r="E1954" t="s">
        <v>27</v>
      </c>
      <c r="F1954">
        <v>91.21</v>
      </c>
      <c r="G1954">
        <v>69.2</v>
      </c>
      <c r="H1954">
        <v>96.84</v>
      </c>
      <c r="I1954">
        <v>96.58</v>
      </c>
      <c r="J1954">
        <v>83.13</v>
      </c>
      <c r="K1954" t="s">
        <v>47</v>
      </c>
      <c r="L1954">
        <v>6.7</v>
      </c>
      <c r="M1954">
        <v>3.6</v>
      </c>
      <c r="N1954" t="s">
        <v>39</v>
      </c>
      <c r="O1954">
        <v>9</v>
      </c>
      <c r="P1954" t="s">
        <v>23</v>
      </c>
      <c r="Q1954">
        <v>59.6</v>
      </c>
    </row>
    <row r="1955" spans="1:17" x14ac:dyDescent="0.35">
      <c r="A1955" s="1">
        <v>45829</v>
      </c>
      <c r="B1955" t="s">
        <v>53</v>
      </c>
      <c r="C1955" t="s">
        <v>41</v>
      </c>
      <c r="D1955" t="s">
        <v>54</v>
      </c>
      <c r="E1955" t="s">
        <v>27</v>
      </c>
      <c r="F1955">
        <v>245.79</v>
      </c>
      <c r="G1955">
        <v>64.900000000000006</v>
      </c>
      <c r="H1955">
        <v>93.08</v>
      </c>
      <c r="I1955">
        <v>96.42</v>
      </c>
      <c r="J1955">
        <v>80.09</v>
      </c>
      <c r="K1955" t="s">
        <v>34</v>
      </c>
      <c r="L1955">
        <v>7.8</v>
      </c>
      <c r="M1955">
        <v>3.8</v>
      </c>
      <c r="N1955" t="s">
        <v>29</v>
      </c>
      <c r="O1955">
        <v>8</v>
      </c>
      <c r="P1955" t="s">
        <v>43</v>
      </c>
      <c r="Q1955">
        <v>60</v>
      </c>
    </row>
    <row r="1956" spans="1:17" x14ac:dyDescent="0.35">
      <c r="A1956" s="1">
        <v>45829</v>
      </c>
      <c r="B1956" t="s">
        <v>91</v>
      </c>
      <c r="C1956" t="s">
        <v>67</v>
      </c>
      <c r="D1956" t="s">
        <v>92</v>
      </c>
      <c r="E1956" t="s">
        <v>27</v>
      </c>
      <c r="F1956">
        <v>591.29</v>
      </c>
      <c r="G1956">
        <v>21.7</v>
      </c>
      <c r="H1956">
        <v>97.23</v>
      </c>
      <c r="I1956">
        <v>96.87</v>
      </c>
      <c r="J1956">
        <v>75.75</v>
      </c>
      <c r="K1956" t="s">
        <v>28</v>
      </c>
      <c r="L1956">
        <v>8.4</v>
      </c>
      <c r="M1956">
        <v>3.3</v>
      </c>
      <c r="N1956" t="s">
        <v>39</v>
      </c>
      <c r="O1956">
        <v>12</v>
      </c>
      <c r="P1956" t="s">
        <v>23</v>
      </c>
      <c r="Q1956">
        <v>60.5</v>
      </c>
    </row>
    <row r="1957" spans="1:17" x14ac:dyDescent="0.35">
      <c r="A1957" s="1">
        <v>45829</v>
      </c>
      <c r="B1957" t="s">
        <v>95</v>
      </c>
      <c r="C1957" t="s">
        <v>49</v>
      </c>
      <c r="D1957" t="s">
        <v>96</v>
      </c>
      <c r="E1957" t="s">
        <v>27</v>
      </c>
      <c r="F1957">
        <v>414.41</v>
      </c>
      <c r="G1957">
        <v>19.3</v>
      </c>
      <c r="H1957">
        <v>97.22</v>
      </c>
      <c r="I1957">
        <v>95.54</v>
      </c>
      <c r="J1957">
        <v>84.72</v>
      </c>
      <c r="K1957" t="s">
        <v>28</v>
      </c>
      <c r="L1957">
        <v>8.8000000000000007</v>
      </c>
      <c r="M1957">
        <v>3</v>
      </c>
      <c r="N1957" t="s">
        <v>39</v>
      </c>
      <c r="O1957">
        <v>12</v>
      </c>
      <c r="P1957" t="s">
        <v>43</v>
      </c>
      <c r="Q1957">
        <v>62.6</v>
      </c>
    </row>
    <row r="1958" spans="1:17" x14ac:dyDescent="0.35">
      <c r="A1958" s="1">
        <v>45829</v>
      </c>
      <c r="B1958" t="s">
        <v>24</v>
      </c>
      <c r="C1958" t="s">
        <v>25</v>
      </c>
      <c r="D1958" t="s">
        <v>26</v>
      </c>
      <c r="E1958" t="s">
        <v>27</v>
      </c>
      <c r="F1958">
        <v>237.4</v>
      </c>
      <c r="G1958">
        <v>46.7</v>
      </c>
      <c r="H1958">
        <v>96.96</v>
      </c>
      <c r="I1958">
        <v>97.99</v>
      </c>
      <c r="J1958">
        <v>83.56</v>
      </c>
      <c r="K1958" t="s">
        <v>28</v>
      </c>
      <c r="L1958">
        <v>7.2</v>
      </c>
      <c r="M1958">
        <v>2.5</v>
      </c>
      <c r="N1958" t="s">
        <v>29</v>
      </c>
      <c r="O1958">
        <v>10</v>
      </c>
      <c r="P1958" t="s">
        <v>30</v>
      </c>
      <c r="Q1958">
        <v>61</v>
      </c>
    </row>
    <row r="1959" spans="1:17" x14ac:dyDescent="0.35">
      <c r="A1959" s="1">
        <v>45829</v>
      </c>
      <c r="B1959" t="s">
        <v>40</v>
      </c>
      <c r="C1959" t="s">
        <v>41</v>
      </c>
      <c r="D1959" t="s">
        <v>42</v>
      </c>
      <c r="E1959" t="s">
        <v>27</v>
      </c>
      <c r="F1959">
        <v>514.54999999999995</v>
      </c>
      <c r="G1959">
        <v>30.4</v>
      </c>
      <c r="H1959">
        <v>97.43</v>
      </c>
      <c r="I1959">
        <v>98.15</v>
      </c>
      <c r="J1959">
        <v>75.709999999999994</v>
      </c>
      <c r="K1959" t="s">
        <v>47</v>
      </c>
      <c r="L1959">
        <v>8.4</v>
      </c>
      <c r="M1959">
        <v>3.2</v>
      </c>
      <c r="N1959" t="s">
        <v>39</v>
      </c>
      <c r="O1959">
        <v>15</v>
      </c>
      <c r="P1959" t="s">
        <v>43</v>
      </c>
      <c r="Q1959">
        <v>61</v>
      </c>
    </row>
    <row r="1960" spans="1:17" x14ac:dyDescent="0.35">
      <c r="A1960" s="1">
        <v>45829</v>
      </c>
      <c r="B1960" t="s">
        <v>93</v>
      </c>
      <c r="C1960" t="s">
        <v>37</v>
      </c>
      <c r="D1960" t="s">
        <v>94</v>
      </c>
      <c r="E1960" t="s">
        <v>27</v>
      </c>
      <c r="F1960">
        <v>252.75</v>
      </c>
      <c r="G1960">
        <v>21.9</v>
      </c>
      <c r="H1960">
        <v>96.47</v>
      </c>
      <c r="I1960">
        <v>94.85</v>
      </c>
      <c r="J1960">
        <v>80.39</v>
      </c>
      <c r="K1960" t="s">
        <v>28</v>
      </c>
      <c r="L1960">
        <v>8.3000000000000007</v>
      </c>
      <c r="M1960">
        <v>4.5</v>
      </c>
      <c r="N1960" t="s">
        <v>39</v>
      </c>
      <c r="O1960">
        <v>10</v>
      </c>
      <c r="P1960" t="s">
        <v>23</v>
      </c>
      <c r="Q1960">
        <v>59.9</v>
      </c>
    </row>
    <row r="1961" spans="1:17" x14ac:dyDescent="0.35">
      <c r="A1961" s="1">
        <v>45829</v>
      </c>
      <c r="B1961" t="s">
        <v>40</v>
      </c>
      <c r="C1961" t="s">
        <v>41</v>
      </c>
      <c r="D1961" t="s">
        <v>42</v>
      </c>
      <c r="E1961" t="s">
        <v>27</v>
      </c>
      <c r="F1961">
        <v>238.07</v>
      </c>
      <c r="G1961">
        <v>60.2</v>
      </c>
      <c r="H1961">
        <v>93.79</v>
      </c>
      <c r="I1961">
        <v>96.29</v>
      </c>
      <c r="J1961">
        <v>77.31</v>
      </c>
      <c r="K1961" t="s">
        <v>28</v>
      </c>
      <c r="L1961">
        <v>7.8</v>
      </c>
      <c r="M1961">
        <v>1.6</v>
      </c>
      <c r="N1961" t="s">
        <v>39</v>
      </c>
      <c r="O1961">
        <v>12</v>
      </c>
      <c r="P1961" t="s">
        <v>43</v>
      </c>
      <c r="Q1961">
        <v>61</v>
      </c>
    </row>
    <row r="1962" spans="1:17" x14ac:dyDescent="0.35">
      <c r="A1962" s="1">
        <v>45829</v>
      </c>
      <c r="B1962" t="s">
        <v>69</v>
      </c>
      <c r="C1962" t="s">
        <v>18</v>
      </c>
      <c r="D1962" t="s">
        <v>70</v>
      </c>
      <c r="E1962" t="s">
        <v>20</v>
      </c>
      <c r="F1962">
        <v>112.5</v>
      </c>
      <c r="G1962">
        <v>187.6</v>
      </c>
      <c r="H1962">
        <v>90.03</v>
      </c>
      <c r="I1962">
        <v>95.33</v>
      </c>
      <c r="J1962">
        <v>72.849999999999994</v>
      </c>
      <c r="K1962" t="s">
        <v>63</v>
      </c>
      <c r="L1962">
        <v>7</v>
      </c>
      <c r="N1962" t="s">
        <v>35</v>
      </c>
      <c r="O1962">
        <v>5</v>
      </c>
      <c r="P1962" t="s">
        <v>23</v>
      </c>
      <c r="Q1962">
        <v>69.599999999999994</v>
      </c>
    </row>
    <row r="1963" spans="1:17" x14ac:dyDescent="0.35">
      <c r="A1963" s="1">
        <v>45829</v>
      </c>
      <c r="B1963" t="s">
        <v>78</v>
      </c>
      <c r="C1963" t="s">
        <v>41</v>
      </c>
      <c r="D1963" t="s">
        <v>79</v>
      </c>
      <c r="E1963" t="s">
        <v>27</v>
      </c>
      <c r="F1963">
        <v>447.87</v>
      </c>
      <c r="G1963">
        <v>50.9</v>
      </c>
      <c r="H1963">
        <v>96.67</v>
      </c>
      <c r="I1963">
        <v>98.08</v>
      </c>
      <c r="J1963">
        <v>84.73</v>
      </c>
      <c r="K1963" t="s">
        <v>34</v>
      </c>
      <c r="L1963">
        <v>9.1</v>
      </c>
      <c r="M1963">
        <v>2.5</v>
      </c>
      <c r="N1963" t="s">
        <v>29</v>
      </c>
      <c r="O1963">
        <v>15</v>
      </c>
      <c r="P1963" t="s">
        <v>43</v>
      </c>
      <c r="Q1963">
        <v>64.400000000000006</v>
      </c>
    </row>
    <row r="1964" spans="1:17" x14ac:dyDescent="0.35">
      <c r="A1964" s="1">
        <v>45829</v>
      </c>
      <c r="B1964" t="s">
        <v>24</v>
      </c>
      <c r="C1964" t="s">
        <v>25</v>
      </c>
      <c r="D1964" t="s">
        <v>26</v>
      </c>
      <c r="E1964" t="s">
        <v>27</v>
      </c>
      <c r="F1964">
        <v>766.94</v>
      </c>
      <c r="G1964">
        <v>27</v>
      </c>
      <c r="H1964">
        <v>96.33</v>
      </c>
      <c r="I1964">
        <v>97.96</v>
      </c>
      <c r="J1964">
        <v>79.81</v>
      </c>
      <c r="K1964" t="s">
        <v>47</v>
      </c>
      <c r="L1964">
        <v>9.3000000000000007</v>
      </c>
      <c r="M1964">
        <v>5</v>
      </c>
      <c r="N1964" t="s">
        <v>39</v>
      </c>
      <c r="O1964">
        <v>14</v>
      </c>
      <c r="P1964" t="s">
        <v>30</v>
      </c>
      <c r="Q1964">
        <v>61.7</v>
      </c>
    </row>
    <row r="1965" spans="1:17" x14ac:dyDescent="0.35">
      <c r="A1965" s="1">
        <v>45829</v>
      </c>
      <c r="B1965" t="s">
        <v>64</v>
      </c>
      <c r="C1965" t="s">
        <v>25</v>
      </c>
      <c r="D1965" t="s">
        <v>65</v>
      </c>
      <c r="E1965" t="s">
        <v>27</v>
      </c>
      <c r="F1965">
        <v>201.22</v>
      </c>
      <c r="G1965">
        <v>21.2</v>
      </c>
      <c r="H1965">
        <v>94.33</v>
      </c>
      <c r="I1965">
        <v>97.42</v>
      </c>
      <c r="J1965">
        <v>83.57</v>
      </c>
      <c r="K1965" t="s">
        <v>28</v>
      </c>
      <c r="L1965">
        <v>7.1</v>
      </c>
      <c r="M1965">
        <v>3.4</v>
      </c>
      <c r="N1965" t="s">
        <v>29</v>
      </c>
      <c r="O1965">
        <v>15</v>
      </c>
      <c r="P1965" t="s">
        <v>30</v>
      </c>
      <c r="Q1965">
        <v>59.2</v>
      </c>
    </row>
    <row r="1966" spans="1:17" x14ac:dyDescent="0.35">
      <c r="A1966" s="1">
        <v>45829</v>
      </c>
      <c r="B1966" t="s">
        <v>101</v>
      </c>
      <c r="C1966" t="s">
        <v>45</v>
      </c>
      <c r="D1966" t="s">
        <v>102</v>
      </c>
      <c r="E1966" t="s">
        <v>33</v>
      </c>
      <c r="F1966">
        <v>957.7</v>
      </c>
      <c r="G1966">
        <v>984.7</v>
      </c>
      <c r="H1966">
        <v>95.88</v>
      </c>
      <c r="I1966">
        <v>98.95</v>
      </c>
      <c r="J1966">
        <v>70.89</v>
      </c>
      <c r="K1966" t="s">
        <v>47</v>
      </c>
      <c r="L1966">
        <v>8.8000000000000007</v>
      </c>
      <c r="M1966">
        <v>3</v>
      </c>
      <c r="N1966" t="s">
        <v>35</v>
      </c>
      <c r="O1966">
        <v>5</v>
      </c>
      <c r="P1966" t="s">
        <v>23</v>
      </c>
      <c r="Q1966">
        <v>63.6</v>
      </c>
    </row>
    <row r="1967" spans="1:17" x14ac:dyDescent="0.35">
      <c r="A1967" s="1">
        <v>45829</v>
      </c>
      <c r="B1967" t="s">
        <v>99</v>
      </c>
      <c r="C1967" t="s">
        <v>72</v>
      </c>
      <c r="D1967" t="s">
        <v>100</v>
      </c>
      <c r="E1967" t="s">
        <v>33</v>
      </c>
      <c r="F1967">
        <v>253.21</v>
      </c>
      <c r="G1967">
        <v>230.1</v>
      </c>
      <c r="H1967">
        <v>95.99</v>
      </c>
      <c r="I1967">
        <v>94.51</v>
      </c>
      <c r="J1967">
        <v>70.569999999999993</v>
      </c>
      <c r="K1967" t="s">
        <v>34</v>
      </c>
      <c r="L1967">
        <v>8.3000000000000007</v>
      </c>
      <c r="M1967">
        <v>4.3</v>
      </c>
      <c r="N1967" t="s">
        <v>35</v>
      </c>
      <c r="O1967">
        <v>10</v>
      </c>
      <c r="P1967" t="s">
        <v>23</v>
      </c>
      <c r="Q1967">
        <v>61.1</v>
      </c>
    </row>
    <row r="1968" spans="1:17" x14ac:dyDescent="0.35">
      <c r="A1968" s="1">
        <v>45829</v>
      </c>
      <c r="B1968" t="s">
        <v>48</v>
      </c>
      <c r="C1968" t="s">
        <v>49</v>
      </c>
      <c r="D1968" t="s">
        <v>50</v>
      </c>
      <c r="E1968" t="s">
        <v>27</v>
      </c>
      <c r="F1968">
        <v>262.32</v>
      </c>
      <c r="G1968">
        <v>60.8</v>
      </c>
      <c r="H1968">
        <v>94.25</v>
      </c>
      <c r="I1968">
        <v>95.08</v>
      </c>
      <c r="J1968">
        <v>84.62</v>
      </c>
      <c r="K1968" t="s">
        <v>34</v>
      </c>
      <c r="L1968">
        <v>8.4</v>
      </c>
      <c r="M1968">
        <v>3.2</v>
      </c>
      <c r="N1968" t="s">
        <v>29</v>
      </c>
      <c r="O1968">
        <v>14</v>
      </c>
      <c r="P1968" t="s">
        <v>23</v>
      </c>
      <c r="Q1968">
        <v>62.1</v>
      </c>
    </row>
    <row r="1969" spans="1:17" x14ac:dyDescent="0.35">
      <c r="A1969" s="1">
        <v>45829</v>
      </c>
      <c r="B1969" t="s">
        <v>97</v>
      </c>
      <c r="C1969" t="s">
        <v>72</v>
      </c>
      <c r="D1969" t="s">
        <v>98</v>
      </c>
      <c r="E1969" t="s">
        <v>27</v>
      </c>
      <c r="F1969">
        <v>228.6</v>
      </c>
      <c r="G1969">
        <v>27.9</v>
      </c>
      <c r="H1969">
        <v>93.62</v>
      </c>
      <c r="I1969">
        <v>95.82</v>
      </c>
      <c r="J1969">
        <v>76.81</v>
      </c>
      <c r="K1969" t="s">
        <v>34</v>
      </c>
      <c r="L1969">
        <v>7.8</v>
      </c>
      <c r="M1969">
        <v>4.5999999999999996</v>
      </c>
      <c r="N1969" t="s">
        <v>29</v>
      </c>
      <c r="O1969">
        <v>15</v>
      </c>
      <c r="P1969" t="s">
        <v>43</v>
      </c>
      <c r="Q1969">
        <v>58.2</v>
      </c>
    </row>
    <row r="1970" spans="1:17" x14ac:dyDescent="0.35">
      <c r="A1970" s="1">
        <v>45829</v>
      </c>
      <c r="B1970" t="s">
        <v>64</v>
      </c>
      <c r="C1970" t="s">
        <v>25</v>
      </c>
      <c r="D1970" t="s">
        <v>65</v>
      </c>
      <c r="E1970" t="s">
        <v>27</v>
      </c>
      <c r="F1970">
        <v>797.76</v>
      </c>
      <c r="G1970">
        <v>64.599999999999994</v>
      </c>
      <c r="H1970">
        <v>95.45</v>
      </c>
      <c r="I1970">
        <v>97.43</v>
      </c>
      <c r="J1970">
        <v>82.09</v>
      </c>
      <c r="K1970" t="s">
        <v>34</v>
      </c>
      <c r="L1970">
        <v>8.4</v>
      </c>
      <c r="M1970">
        <v>2.9</v>
      </c>
      <c r="N1970" t="s">
        <v>39</v>
      </c>
      <c r="O1970">
        <v>10</v>
      </c>
      <c r="P1970" t="s">
        <v>30</v>
      </c>
      <c r="Q1970">
        <v>62.5</v>
      </c>
    </row>
    <row r="1971" spans="1:17" x14ac:dyDescent="0.35">
      <c r="A1971" s="1">
        <v>45829</v>
      </c>
      <c r="B1971" t="s">
        <v>24</v>
      </c>
      <c r="C1971" t="s">
        <v>25</v>
      </c>
      <c r="D1971" t="s">
        <v>26</v>
      </c>
      <c r="E1971" t="s">
        <v>27</v>
      </c>
      <c r="F1971">
        <v>670.91</v>
      </c>
      <c r="G1971">
        <v>49.6</v>
      </c>
      <c r="H1971">
        <v>96.24</v>
      </c>
      <c r="I1971">
        <v>96.47</v>
      </c>
      <c r="J1971">
        <v>80.58</v>
      </c>
      <c r="K1971" t="s">
        <v>47</v>
      </c>
      <c r="L1971">
        <v>8.6</v>
      </c>
      <c r="M1971">
        <v>3.1</v>
      </c>
      <c r="N1971" t="s">
        <v>29</v>
      </c>
      <c r="O1971">
        <v>14</v>
      </c>
      <c r="P1971" t="s">
        <v>30</v>
      </c>
      <c r="Q1971">
        <v>62.1</v>
      </c>
    </row>
    <row r="1972" spans="1:17" x14ac:dyDescent="0.35">
      <c r="A1972" s="1">
        <v>45829</v>
      </c>
      <c r="B1972" t="s">
        <v>97</v>
      </c>
      <c r="C1972" t="s">
        <v>72</v>
      </c>
      <c r="D1972" t="s">
        <v>98</v>
      </c>
      <c r="E1972" t="s">
        <v>27</v>
      </c>
      <c r="F1972">
        <v>286.14999999999998</v>
      </c>
      <c r="G1972">
        <v>36.4</v>
      </c>
      <c r="H1972">
        <v>97.7</v>
      </c>
      <c r="I1972">
        <v>96.69</v>
      </c>
      <c r="J1972">
        <v>78.5</v>
      </c>
      <c r="K1972" t="s">
        <v>47</v>
      </c>
      <c r="L1972">
        <v>8.4</v>
      </c>
      <c r="M1972">
        <v>1.7</v>
      </c>
      <c r="N1972" t="s">
        <v>29</v>
      </c>
      <c r="O1972">
        <v>12</v>
      </c>
      <c r="P1972" t="s">
        <v>43</v>
      </c>
      <c r="Q1972">
        <v>62.4</v>
      </c>
    </row>
    <row r="1973" spans="1:17" x14ac:dyDescent="0.35">
      <c r="A1973" s="1">
        <v>45829</v>
      </c>
      <c r="B1973" t="s">
        <v>89</v>
      </c>
      <c r="C1973" t="s">
        <v>67</v>
      </c>
      <c r="D1973" t="s">
        <v>90</v>
      </c>
      <c r="E1973" t="s">
        <v>27</v>
      </c>
      <c r="F1973">
        <v>286.45999999999998</v>
      </c>
      <c r="G1973">
        <v>66.8</v>
      </c>
      <c r="H1973">
        <v>96.99</v>
      </c>
      <c r="I1973">
        <v>95.59</v>
      </c>
      <c r="J1973">
        <v>80.92</v>
      </c>
      <c r="K1973" t="s">
        <v>47</v>
      </c>
      <c r="L1973">
        <v>7.8</v>
      </c>
      <c r="M1973">
        <v>2.2999999999999998</v>
      </c>
      <c r="N1973" t="s">
        <v>39</v>
      </c>
      <c r="O1973">
        <v>10</v>
      </c>
      <c r="P1973" t="s">
        <v>43</v>
      </c>
      <c r="Q1973">
        <v>61.7</v>
      </c>
    </row>
    <row r="1974" spans="1:17" x14ac:dyDescent="0.35">
      <c r="A1974" s="1">
        <v>45829</v>
      </c>
      <c r="B1974" t="s">
        <v>66</v>
      </c>
      <c r="C1974" t="s">
        <v>67</v>
      </c>
      <c r="D1974" t="s">
        <v>68</v>
      </c>
      <c r="E1974" t="s">
        <v>27</v>
      </c>
      <c r="F1974">
        <v>162.18</v>
      </c>
      <c r="G1974">
        <v>62.4</v>
      </c>
      <c r="H1974">
        <v>93.41</v>
      </c>
      <c r="I1974">
        <v>93.84</v>
      </c>
      <c r="J1974">
        <v>83.9</v>
      </c>
      <c r="K1974" t="s">
        <v>34</v>
      </c>
      <c r="L1974">
        <v>7.3</v>
      </c>
      <c r="M1974">
        <v>4.5999999999999996</v>
      </c>
      <c r="N1974" t="s">
        <v>39</v>
      </c>
      <c r="O1974">
        <v>14</v>
      </c>
      <c r="P1974" t="s">
        <v>43</v>
      </c>
      <c r="Q1974">
        <v>58.9</v>
      </c>
    </row>
    <row r="1975" spans="1:17" x14ac:dyDescent="0.35">
      <c r="A1975" s="1">
        <v>45829</v>
      </c>
      <c r="B1975" t="s">
        <v>24</v>
      </c>
      <c r="C1975" t="s">
        <v>25</v>
      </c>
      <c r="D1975" t="s">
        <v>26</v>
      </c>
      <c r="E1975" t="s">
        <v>27</v>
      </c>
      <c r="F1975">
        <v>692.31</v>
      </c>
      <c r="G1975">
        <v>24.7</v>
      </c>
      <c r="H1975">
        <v>93.42</v>
      </c>
      <c r="I1975">
        <v>97.07</v>
      </c>
      <c r="J1975">
        <v>77.44</v>
      </c>
      <c r="K1975" t="s">
        <v>47</v>
      </c>
      <c r="L1975">
        <v>8.1</v>
      </c>
      <c r="M1975">
        <v>2.8</v>
      </c>
      <c r="N1975" t="s">
        <v>29</v>
      </c>
      <c r="O1975">
        <v>10</v>
      </c>
      <c r="P1975" t="s">
        <v>30</v>
      </c>
      <c r="Q1975">
        <v>60.1</v>
      </c>
    </row>
    <row r="1976" spans="1:17" x14ac:dyDescent="0.35">
      <c r="A1976" s="1">
        <v>45829</v>
      </c>
      <c r="B1976" t="s">
        <v>53</v>
      </c>
      <c r="C1976" t="s">
        <v>41</v>
      </c>
      <c r="D1976" t="s">
        <v>54</v>
      </c>
      <c r="E1976" t="s">
        <v>27</v>
      </c>
      <c r="F1976">
        <v>515.42999999999995</v>
      </c>
      <c r="G1976">
        <v>33.799999999999997</v>
      </c>
      <c r="H1976">
        <v>95.99</v>
      </c>
      <c r="I1976">
        <v>96.21</v>
      </c>
      <c r="J1976">
        <v>78.34</v>
      </c>
      <c r="K1976" t="s">
        <v>34</v>
      </c>
      <c r="L1976">
        <v>9.1999999999999993</v>
      </c>
      <c r="M1976">
        <v>2.2999999999999998</v>
      </c>
      <c r="N1976" t="s">
        <v>29</v>
      </c>
      <c r="O1976">
        <v>10</v>
      </c>
      <c r="P1976" t="s">
        <v>43</v>
      </c>
      <c r="Q1976">
        <v>62.9</v>
      </c>
    </row>
    <row r="1977" spans="1:17" x14ac:dyDescent="0.35">
      <c r="A1977" s="1">
        <v>45829</v>
      </c>
      <c r="B1977" t="s">
        <v>69</v>
      </c>
      <c r="C1977" t="s">
        <v>18</v>
      </c>
      <c r="D1977" t="s">
        <v>70</v>
      </c>
      <c r="E1977" t="s">
        <v>20</v>
      </c>
      <c r="F1977">
        <v>238.76</v>
      </c>
      <c r="G1977">
        <v>151.4</v>
      </c>
      <c r="H1977">
        <v>89.65</v>
      </c>
      <c r="I1977">
        <v>93.91</v>
      </c>
      <c r="J1977">
        <v>71.77</v>
      </c>
      <c r="K1977" t="s">
        <v>21</v>
      </c>
      <c r="L1977">
        <v>8.1999999999999993</v>
      </c>
      <c r="N1977" t="s">
        <v>22</v>
      </c>
      <c r="O1977">
        <v>10</v>
      </c>
      <c r="P1977" t="s">
        <v>23</v>
      </c>
      <c r="Q1977">
        <v>71.099999999999994</v>
      </c>
    </row>
    <row r="1978" spans="1:17" x14ac:dyDescent="0.35">
      <c r="A1978" s="1">
        <v>45829</v>
      </c>
      <c r="B1978" t="s">
        <v>76</v>
      </c>
      <c r="C1978" t="s">
        <v>45</v>
      </c>
      <c r="D1978" t="s">
        <v>77</v>
      </c>
      <c r="E1978" t="s">
        <v>33</v>
      </c>
      <c r="F1978">
        <v>706.54</v>
      </c>
      <c r="G1978">
        <v>510.3</v>
      </c>
      <c r="H1978">
        <v>94.76</v>
      </c>
      <c r="I1978">
        <v>99.29</v>
      </c>
      <c r="J1978">
        <v>71.400000000000006</v>
      </c>
      <c r="K1978" t="s">
        <v>28</v>
      </c>
      <c r="L1978">
        <v>8.5</v>
      </c>
      <c r="M1978">
        <v>2.9</v>
      </c>
      <c r="N1978" t="s">
        <v>22</v>
      </c>
      <c r="O1978">
        <v>10</v>
      </c>
      <c r="P1978" t="s">
        <v>23</v>
      </c>
      <c r="Q1978">
        <v>63.1</v>
      </c>
    </row>
    <row r="1979" spans="1:17" x14ac:dyDescent="0.35">
      <c r="A1979" s="1">
        <v>45829</v>
      </c>
      <c r="B1979" t="s">
        <v>55</v>
      </c>
      <c r="C1979" t="s">
        <v>56</v>
      </c>
      <c r="D1979">
        <v>4</v>
      </c>
      <c r="E1979" t="s">
        <v>57</v>
      </c>
      <c r="F1979">
        <v>30</v>
      </c>
      <c r="G1979">
        <v>131.9</v>
      </c>
      <c r="H1979">
        <v>91.96</v>
      </c>
      <c r="I1979">
        <v>93.8</v>
      </c>
      <c r="J1979">
        <v>77.349999999999994</v>
      </c>
      <c r="K1979" t="s">
        <v>58</v>
      </c>
      <c r="L1979">
        <v>7</v>
      </c>
      <c r="N1979" t="s">
        <v>35</v>
      </c>
      <c r="O1979">
        <v>3</v>
      </c>
      <c r="P1979" t="s">
        <v>23</v>
      </c>
      <c r="Q1979">
        <v>69.8</v>
      </c>
    </row>
    <row r="1980" spans="1:17" x14ac:dyDescent="0.35">
      <c r="A1980" s="1">
        <v>45829</v>
      </c>
      <c r="B1980" t="s">
        <v>51</v>
      </c>
      <c r="C1980" t="s">
        <v>45</v>
      </c>
      <c r="D1980" t="s">
        <v>52</v>
      </c>
      <c r="E1980" t="s">
        <v>27</v>
      </c>
      <c r="F1980">
        <v>806.61</v>
      </c>
      <c r="G1980">
        <v>540.20000000000005</v>
      </c>
      <c r="H1980">
        <v>97.06</v>
      </c>
      <c r="I1980">
        <v>98.45</v>
      </c>
      <c r="J1980">
        <v>82.9</v>
      </c>
      <c r="K1980" t="s">
        <v>47</v>
      </c>
      <c r="L1980">
        <v>8.1</v>
      </c>
      <c r="M1980">
        <v>4</v>
      </c>
      <c r="N1980" t="s">
        <v>39</v>
      </c>
      <c r="O1980">
        <v>10</v>
      </c>
      <c r="P1980" t="s">
        <v>23</v>
      </c>
      <c r="Q1980">
        <v>63.9</v>
      </c>
    </row>
    <row r="1981" spans="1:17" x14ac:dyDescent="0.35">
      <c r="A1981" s="1">
        <v>45829</v>
      </c>
      <c r="B1981" t="s">
        <v>40</v>
      </c>
      <c r="C1981" t="s">
        <v>41</v>
      </c>
      <c r="D1981" t="s">
        <v>42</v>
      </c>
      <c r="E1981" t="s">
        <v>27</v>
      </c>
      <c r="F1981">
        <v>531.25</v>
      </c>
      <c r="G1981">
        <v>40.1</v>
      </c>
      <c r="H1981">
        <v>93.4</v>
      </c>
      <c r="I1981">
        <v>96.99</v>
      </c>
      <c r="J1981">
        <v>80.41</v>
      </c>
      <c r="K1981" t="s">
        <v>28</v>
      </c>
      <c r="L1981">
        <v>9.3000000000000007</v>
      </c>
      <c r="M1981">
        <v>4.0999999999999996</v>
      </c>
      <c r="N1981" t="s">
        <v>39</v>
      </c>
      <c r="O1981">
        <v>10</v>
      </c>
      <c r="P1981" t="s">
        <v>43</v>
      </c>
      <c r="Q1981">
        <v>62</v>
      </c>
    </row>
    <row r="1982" spans="1:17" x14ac:dyDescent="0.35">
      <c r="A1982" s="1">
        <v>45829</v>
      </c>
      <c r="B1982" t="s">
        <v>55</v>
      </c>
      <c r="C1982" t="s">
        <v>56</v>
      </c>
      <c r="D1982">
        <v>4</v>
      </c>
      <c r="E1982" t="s">
        <v>57</v>
      </c>
      <c r="F1982">
        <v>30</v>
      </c>
      <c r="G1982">
        <v>155.30000000000001</v>
      </c>
      <c r="H1982">
        <v>86.79</v>
      </c>
      <c r="I1982">
        <v>93.38</v>
      </c>
      <c r="J1982">
        <v>70.59</v>
      </c>
      <c r="K1982" t="s">
        <v>63</v>
      </c>
      <c r="L1982">
        <v>7.9</v>
      </c>
      <c r="N1982" t="s">
        <v>35</v>
      </c>
      <c r="O1982">
        <v>5</v>
      </c>
      <c r="P1982" t="s">
        <v>23</v>
      </c>
      <c r="Q1982">
        <v>69.599999999999994</v>
      </c>
    </row>
    <row r="1983" spans="1:17" x14ac:dyDescent="0.35">
      <c r="A1983" s="1">
        <v>45829</v>
      </c>
      <c r="B1983" t="s">
        <v>40</v>
      </c>
      <c r="C1983" t="s">
        <v>41</v>
      </c>
      <c r="D1983" t="s">
        <v>42</v>
      </c>
      <c r="E1983" t="s">
        <v>27</v>
      </c>
      <c r="F1983">
        <v>669.6</v>
      </c>
      <c r="G1983">
        <v>33.700000000000003</v>
      </c>
      <c r="H1983">
        <v>96.64</v>
      </c>
      <c r="I1983">
        <v>96.27</v>
      </c>
      <c r="J1983">
        <v>84.47</v>
      </c>
      <c r="K1983" t="s">
        <v>34</v>
      </c>
      <c r="L1983">
        <v>8.5</v>
      </c>
      <c r="M1983">
        <v>3.4</v>
      </c>
      <c r="N1983" t="s">
        <v>29</v>
      </c>
      <c r="O1983">
        <v>9</v>
      </c>
      <c r="P1983" t="s">
        <v>43</v>
      </c>
      <c r="Q1983">
        <v>62.1</v>
      </c>
    </row>
    <row r="1984" spans="1:17" x14ac:dyDescent="0.35">
      <c r="A1984" s="1">
        <v>45829</v>
      </c>
      <c r="B1984" t="s">
        <v>89</v>
      </c>
      <c r="C1984" t="s">
        <v>67</v>
      </c>
      <c r="D1984" t="s">
        <v>90</v>
      </c>
      <c r="E1984" t="s">
        <v>27</v>
      </c>
      <c r="F1984">
        <v>593.16999999999996</v>
      </c>
      <c r="G1984">
        <v>41.6</v>
      </c>
      <c r="H1984">
        <v>97.97</v>
      </c>
      <c r="I1984">
        <v>96.71</v>
      </c>
      <c r="J1984">
        <v>75.41</v>
      </c>
      <c r="K1984" t="s">
        <v>34</v>
      </c>
      <c r="L1984">
        <v>9.5</v>
      </c>
      <c r="M1984">
        <v>3.5</v>
      </c>
      <c r="N1984" t="s">
        <v>29</v>
      </c>
      <c r="O1984">
        <v>9</v>
      </c>
      <c r="P1984" t="s">
        <v>43</v>
      </c>
      <c r="Q1984">
        <v>62.7</v>
      </c>
    </row>
    <row r="1985" spans="1:17" x14ac:dyDescent="0.35">
      <c r="A1985" s="1">
        <v>45829</v>
      </c>
      <c r="B1985" t="s">
        <v>48</v>
      </c>
      <c r="C1985" t="s">
        <v>49</v>
      </c>
      <c r="D1985" t="s">
        <v>50</v>
      </c>
      <c r="E1985" t="s">
        <v>27</v>
      </c>
      <c r="F1985">
        <v>491.36</v>
      </c>
      <c r="G1985">
        <v>67.5</v>
      </c>
      <c r="H1985">
        <v>94.26</v>
      </c>
      <c r="I1985">
        <v>96.56</v>
      </c>
      <c r="J1985">
        <v>81.93</v>
      </c>
      <c r="K1985" t="s">
        <v>47</v>
      </c>
      <c r="L1985">
        <v>8.1</v>
      </c>
      <c r="M1985">
        <v>4.3</v>
      </c>
      <c r="N1985" t="s">
        <v>29</v>
      </c>
      <c r="O1985">
        <v>14</v>
      </c>
      <c r="P1985" t="s">
        <v>43</v>
      </c>
      <c r="Q1985">
        <v>60.8</v>
      </c>
    </row>
    <row r="1986" spans="1:17" x14ac:dyDescent="0.35">
      <c r="A1986" s="1">
        <v>45829</v>
      </c>
      <c r="B1986" t="s">
        <v>69</v>
      </c>
      <c r="C1986" t="s">
        <v>18</v>
      </c>
      <c r="D1986" t="s">
        <v>70</v>
      </c>
      <c r="E1986" t="s">
        <v>20</v>
      </c>
      <c r="F1986">
        <v>234.5</v>
      </c>
      <c r="G1986">
        <v>81.8</v>
      </c>
      <c r="H1986">
        <v>88.23</v>
      </c>
      <c r="I1986">
        <v>95.87</v>
      </c>
      <c r="J1986">
        <v>75.709999999999994</v>
      </c>
      <c r="K1986" t="s">
        <v>63</v>
      </c>
      <c r="L1986">
        <v>8.1</v>
      </c>
      <c r="N1986" t="s">
        <v>22</v>
      </c>
      <c r="O1986">
        <v>7</v>
      </c>
      <c r="P1986" t="s">
        <v>23</v>
      </c>
      <c r="Q1986">
        <v>70.099999999999994</v>
      </c>
    </row>
    <row r="1987" spans="1:17" x14ac:dyDescent="0.35">
      <c r="A1987" s="1">
        <v>45830</v>
      </c>
      <c r="B1987" t="s">
        <v>64</v>
      </c>
      <c r="C1987" t="s">
        <v>25</v>
      </c>
      <c r="D1987" t="s">
        <v>65</v>
      </c>
      <c r="E1987" t="s">
        <v>27</v>
      </c>
      <c r="F1987">
        <v>667.36</v>
      </c>
      <c r="G1987">
        <v>57.6</v>
      </c>
      <c r="H1987">
        <v>94.47</v>
      </c>
      <c r="I1987">
        <v>97.68</v>
      </c>
      <c r="J1987">
        <v>83.58</v>
      </c>
      <c r="K1987" t="s">
        <v>34</v>
      </c>
      <c r="L1987">
        <v>8.8000000000000007</v>
      </c>
      <c r="M1987">
        <v>2</v>
      </c>
      <c r="N1987" t="s">
        <v>39</v>
      </c>
      <c r="O1987">
        <v>13</v>
      </c>
      <c r="P1987" t="s">
        <v>30</v>
      </c>
      <c r="Q1987">
        <v>63.8</v>
      </c>
    </row>
    <row r="1988" spans="1:17" x14ac:dyDescent="0.35">
      <c r="A1988" s="1">
        <v>45830</v>
      </c>
      <c r="B1988" t="s">
        <v>24</v>
      </c>
      <c r="C1988" t="s">
        <v>25</v>
      </c>
      <c r="D1988" t="s">
        <v>26</v>
      </c>
      <c r="E1988" t="s">
        <v>27</v>
      </c>
      <c r="F1988">
        <v>251.07</v>
      </c>
      <c r="G1988">
        <v>28</v>
      </c>
      <c r="H1988">
        <v>95.57</v>
      </c>
      <c r="I1988">
        <v>97.69</v>
      </c>
      <c r="J1988">
        <v>77.349999999999994</v>
      </c>
      <c r="K1988" t="s">
        <v>47</v>
      </c>
      <c r="L1988">
        <v>8.4</v>
      </c>
      <c r="M1988">
        <v>3.5</v>
      </c>
      <c r="N1988" t="s">
        <v>39</v>
      </c>
      <c r="O1988">
        <v>8</v>
      </c>
      <c r="P1988" t="s">
        <v>30</v>
      </c>
      <c r="Q1988">
        <v>60.7</v>
      </c>
    </row>
    <row r="1989" spans="1:17" x14ac:dyDescent="0.35">
      <c r="A1989" s="1">
        <v>45830</v>
      </c>
      <c r="B1989" t="s">
        <v>99</v>
      </c>
      <c r="C1989" t="s">
        <v>72</v>
      </c>
      <c r="D1989" t="s">
        <v>100</v>
      </c>
      <c r="E1989" t="s">
        <v>27</v>
      </c>
      <c r="F1989">
        <v>120.07</v>
      </c>
      <c r="G1989">
        <v>57.3</v>
      </c>
      <c r="H1989">
        <v>93.06</v>
      </c>
      <c r="I1989">
        <v>96.78</v>
      </c>
      <c r="J1989">
        <v>84.45</v>
      </c>
      <c r="K1989" t="s">
        <v>28</v>
      </c>
      <c r="L1989">
        <v>6.7</v>
      </c>
      <c r="M1989">
        <v>1.6</v>
      </c>
      <c r="N1989" t="s">
        <v>29</v>
      </c>
      <c r="O1989">
        <v>13</v>
      </c>
      <c r="P1989" t="s">
        <v>43</v>
      </c>
      <c r="Q1989">
        <v>60.3</v>
      </c>
    </row>
    <row r="1990" spans="1:17" x14ac:dyDescent="0.35">
      <c r="A1990" s="1">
        <v>45830</v>
      </c>
      <c r="B1990" t="s">
        <v>95</v>
      </c>
      <c r="C1990" t="s">
        <v>49</v>
      </c>
      <c r="D1990" t="s">
        <v>96</v>
      </c>
      <c r="E1990" t="s">
        <v>33</v>
      </c>
      <c r="F1990">
        <v>330.99</v>
      </c>
      <c r="G1990">
        <v>145</v>
      </c>
      <c r="H1990">
        <v>94.28</v>
      </c>
      <c r="I1990">
        <v>94.28</v>
      </c>
      <c r="J1990">
        <v>78.98</v>
      </c>
      <c r="K1990" t="s">
        <v>34</v>
      </c>
      <c r="L1990">
        <v>7</v>
      </c>
      <c r="M1990">
        <v>2.6</v>
      </c>
      <c r="N1990" t="s">
        <v>22</v>
      </c>
      <c r="O1990">
        <v>7</v>
      </c>
      <c r="P1990" t="s">
        <v>43</v>
      </c>
      <c r="Q1990">
        <v>60.7</v>
      </c>
    </row>
    <row r="1991" spans="1:17" x14ac:dyDescent="0.35">
      <c r="A1991" s="1">
        <v>45830</v>
      </c>
      <c r="B1991" t="s">
        <v>59</v>
      </c>
      <c r="C1991" t="s">
        <v>60</v>
      </c>
      <c r="D1991" t="s">
        <v>61</v>
      </c>
      <c r="E1991" t="s">
        <v>62</v>
      </c>
      <c r="F1991">
        <v>392</v>
      </c>
      <c r="G1991">
        <v>186.3</v>
      </c>
      <c r="H1991">
        <v>89.02</v>
      </c>
      <c r="I1991">
        <v>95.12</v>
      </c>
      <c r="J1991">
        <v>87.79</v>
      </c>
      <c r="K1991" t="s">
        <v>34</v>
      </c>
      <c r="L1991">
        <v>7.4</v>
      </c>
      <c r="N1991" t="s">
        <v>35</v>
      </c>
      <c r="O1991">
        <v>3</v>
      </c>
      <c r="P1991" t="s">
        <v>43</v>
      </c>
      <c r="Q1991">
        <v>73.2</v>
      </c>
    </row>
    <row r="1992" spans="1:17" x14ac:dyDescent="0.35">
      <c r="A1992" s="1">
        <v>45830</v>
      </c>
      <c r="B1992" t="s">
        <v>84</v>
      </c>
      <c r="C1992" t="s">
        <v>18</v>
      </c>
      <c r="D1992" t="s">
        <v>85</v>
      </c>
      <c r="E1992" t="s">
        <v>27</v>
      </c>
      <c r="F1992">
        <v>247.39</v>
      </c>
      <c r="G1992">
        <v>42.5</v>
      </c>
      <c r="H1992">
        <v>97.25</v>
      </c>
      <c r="I1992">
        <v>95.2</v>
      </c>
      <c r="J1992">
        <v>75.89</v>
      </c>
      <c r="K1992" t="s">
        <v>47</v>
      </c>
      <c r="L1992">
        <v>7.6</v>
      </c>
      <c r="M1992">
        <v>3</v>
      </c>
      <c r="N1992" t="s">
        <v>29</v>
      </c>
      <c r="O1992">
        <v>13</v>
      </c>
      <c r="P1992" t="s">
        <v>23</v>
      </c>
      <c r="Q1992">
        <v>59.6</v>
      </c>
    </row>
    <row r="1993" spans="1:17" x14ac:dyDescent="0.35">
      <c r="A1993" s="1">
        <v>45830</v>
      </c>
      <c r="B1993" t="s">
        <v>89</v>
      </c>
      <c r="C1993" t="s">
        <v>67</v>
      </c>
      <c r="D1993" t="s">
        <v>90</v>
      </c>
      <c r="E1993" t="s">
        <v>27</v>
      </c>
      <c r="F1993">
        <v>659.04</v>
      </c>
      <c r="G1993">
        <v>24.7</v>
      </c>
      <c r="H1993">
        <v>95.21</v>
      </c>
      <c r="I1993">
        <v>94.67</v>
      </c>
      <c r="J1993">
        <v>80.03</v>
      </c>
      <c r="K1993" t="s">
        <v>47</v>
      </c>
      <c r="L1993">
        <v>8.1999999999999993</v>
      </c>
      <c r="M1993">
        <v>1.8</v>
      </c>
      <c r="N1993" t="s">
        <v>39</v>
      </c>
      <c r="O1993">
        <v>13</v>
      </c>
      <c r="P1993" t="s">
        <v>23</v>
      </c>
      <c r="Q1993">
        <v>61.3</v>
      </c>
    </row>
    <row r="1994" spans="1:17" x14ac:dyDescent="0.35">
      <c r="A1994" s="1">
        <v>45830</v>
      </c>
      <c r="B1994" t="s">
        <v>97</v>
      </c>
      <c r="C1994" t="s">
        <v>72</v>
      </c>
      <c r="D1994" t="s">
        <v>98</v>
      </c>
      <c r="E1994" t="s">
        <v>33</v>
      </c>
      <c r="F1994">
        <v>260.77999999999997</v>
      </c>
      <c r="G1994">
        <v>87.5</v>
      </c>
      <c r="H1994">
        <v>96.35</v>
      </c>
      <c r="I1994">
        <v>93.76</v>
      </c>
      <c r="J1994">
        <v>72.680000000000007</v>
      </c>
      <c r="K1994" t="s">
        <v>28</v>
      </c>
      <c r="L1994">
        <v>7.9</v>
      </c>
      <c r="M1994">
        <v>1.6</v>
      </c>
      <c r="N1994" t="s">
        <v>35</v>
      </c>
      <c r="O1994">
        <v>9</v>
      </c>
      <c r="P1994" t="s">
        <v>43</v>
      </c>
      <c r="Q1994">
        <v>61</v>
      </c>
    </row>
    <row r="1995" spans="1:17" x14ac:dyDescent="0.35">
      <c r="A1995" s="1">
        <v>45830</v>
      </c>
      <c r="B1995" t="s">
        <v>55</v>
      </c>
      <c r="C1995" t="s">
        <v>56</v>
      </c>
      <c r="D1995">
        <v>4</v>
      </c>
      <c r="E1995" t="s">
        <v>57</v>
      </c>
      <c r="F1995">
        <v>30</v>
      </c>
      <c r="G1995">
        <v>123.2</v>
      </c>
      <c r="H1995">
        <v>89.37</v>
      </c>
      <c r="I1995">
        <v>95.92</v>
      </c>
      <c r="J1995">
        <v>73.53</v>
      </c>
      <c r="K1995" t="s">
        <v>58</v>
      </c>
      <c r="L1995">
        <v>7.4</v>
      </c>
      <c r="N1995" t="s">
        <v>35</v>
      </c>
      <c r="O1995">
        <v>2</v>
      </c>
      <c r="P1995" t="s">
        <v>43</v>
      </c>
      <c r="Q1995">
        <v>69.5</v>
      </c>
    </row>
    <row r="1996" spans="1:17" x14ac:dyDescent="0.35">
      <c r="A1996" s="1">
        <v>45830</v>
      </c>
      <c r="B1996" t="s">
        <v>95</v>
      </c>
      <c r="C1996" t="s">
        <v>49</v>
      </c>
      <c r="D1996" t="s">
        <v>96</v>
      </c>
      <c r="E1996" t="s">
        <v>27</v>
      </c>
      <c r="F1996">
        <v>305.81</v>
      </c>
      <c r="G1996">
        <v>59.2</v>
      </c>
      <c r="H1996">
        <v>96.74</v>
      </c>
      <c r="I1996">
        <v>94.28</v>
      </c>
      <c r="J1996">
        <v>75.599999999999994</v>
      </c>
      <c r="K1996" t="s">
        <v>28</v>
      </c>
      <c r="L1996">
        <v>7</v>
      </c>
      <c r="M1996">
        <v>2.1</v>
      </c>
      <c r="N1996" t="s">
        <v>29</v>
      </c>
      <c r="O1996">
        <v>15</v>
      </c>
      <c r="P1996" t="s">
        <v>43</v>
      </c>
      <c r="Q1996">
        <v>59.2</v>
      </c>
    </row>
    <row r="1997" spans="1:17" x14ac:dyDescent="0.35">
      <c r="A1997" s="1">
        <v>45830</v>
      </c>
      <c r="B1997" t="s">
        <v>82</v>
      </c>
      <c r="C1997" t="s">
        <v>72</v>
      </c>
      <c r="D1997" t="s">
        <v>83</v>
      </c>
      <c r="E1997" t="s">
        <v>20</v>
      </c>
      <c r="F1997">
        <v>164.39</v>
      </c>
      <c r="G1997">
        <v>143.9</v>
      </c>
      <c r="H1997">
        <v>92.73</v>
      </c>
      <c r="I1997">
        <v>96.56</v>
      </c>
      <c r="J1997">
        <v>73.88</v>
      </c>
      <c r="K1997" t="s">
        <v>63</v>
      </c>
      <c r="L1997">
        <v>6.9</v>
      </c>
      <c r="N1997" t="s">
        <v>35</v>
      </c>
      <c r="O1997">
        <v>5</v>
      </c>
      <c r="P1997" t="s">
        <v>23</v>
      </c>
      <c r="Q1997">
        <v>69.900000000000006</v>
      </c>
    </row>
    <row r="1998" spans="1:17" x14ac:dyDescent="0.35">
      <c r="A1998" s="1">
        <v>45830</v>
      </c>
      <c r="B1998" t="s">
        <v>59</v>
      </c>
      <c r="C1998" t="s">
        <v>60</v>
      </c>
      <c r="D1998" t="s">
        <v>61</v>
      </c>
      <c r="E1998" t="s">
        <v>62</v>
      </c>
      <c r="F1998">
        <v>356.03</v>
      </c>
      <c r="G1998">
        <v>181.3</v>
      </c>
      <c r="H1998">
        <v>87.63</v>
      </c>
      <c r="I1998">
        <v>93.74</v>
      </c>
      <c r="J1998">
        <v>89.1</v>
      </c>
      <c r="K1998" t="s">
        <v>34</v>
      </c>
      <c r="L1998">
        <v>7.1</v>
      </c>
      <c r="N1998" t="s">
        <v>35</v>
      </c>
      <c r="O1998">
        <v>5</v>
      </c>
      <c r="P1998" t="s">
        <v>43</v>
      </c>
      <c r="Q1998">
        <v>72.3</v>
      </c>
    </row>
    <row r="1999" spans="1:17" x14ac:dyDescent="0.35">
      <c r="A1999" s="1">
        <v>45830</v>
      </c>
      <c r="B1999" t="s">
        <v>71</v>
      </c>
      <c r="C1999" t="s">
        <v>72</v>
      </c>
      <c r="D1999" t="s">
        <v>73</v>
      </c>
      <c r="E1999" t="s">
        <v>27</v>
      </c>
      <c r="F1999">
        <v>106.76</v>
      </c>
      <c r="G1999">
        <v>52.4</v>
      </c>
      <c r="H1999">
        <v>92.49</v>
      </c>
      <c r="I1999">
        <v>94.91</v>
      </c>
      <c r="J1999">
        <v>83.97</v>
      </c>
      <c r="K1999" t="s">
        <v>28</v>
      </c>
      <c r="L1999">
        <v>7.6</v>
      </c>
      <c r="M1999">
        <v>2.7</v>
      </c>
      <c r="N1999" t="s">
        <v>39</v>
      </c>
      <c r="O1999">
        <v>15</v>
      </c>
      <c r="P1999" t="s">
        <v>23</v>
      </c>
      <c r="Q1999">
        <v>60.5</v>
      </c>
    </row>
    <row r="2000" spans="1:17" x14ac:dyDescent="0.35">
      <c r="A2000" s="1">
        <v>45830</v>
      </c>
      <c r="B2000" t="s">
        <v>97</v>
      </c>
      <c r="C2000" t="s">
        <v>72</v>
      </c>
      <c r="D2000" t="s">
        <v>98</v>
      </c>
      <c r="E2000" t="s">
        <v>33</v>
      </c>
      <c r="F2000">
        <v>261.74</v>
      </c>
      <c r="G2000">
        <v>102.5</v>
      </c>
      <c r="H2000">
        <v>93.27</v>
      </c>
      <c r="I2000">
        <v>96.19</v>
      </c>
      <c r="J2000">
        <v>73.400000000000006</v>
      </c>
      <c r="K2000" t="s">
        <v>28</v>
      </c>
      <c r="L2000">
        <v>8.1</v>
      </c>
      <c r="M2000">
        <v>2.5</v>
      </c>
      <c r="N2000" t="s">
        <v>35</v>
      </c>
      <c r="O2000">
        <v>6</v>
      </c>
      <c r="P2000" t="s">
        <v>43</v>
      </c>
      <c r="Q2000">
        <v>61</v>
      </c>
    </row>
    <row r="2001" spans="1:17" x14ac:dyDescent="0.35">
      <c r="A2001" s="1">
        <v>45830</v>
      </c>
      <c r="B2001" t="s">
        <v>64</v>
      </c>
      <c r="C2001" t="s">
        <v>25</v>
      </c>
      <c r="D2001" t="s">
        <v>65</v>
      </c>
      <c r="E2001" t="s">
        <v>27</v>
      </c>
      <c r="F2001">
        <v>638.98</v>
      </c>
      <c r="G2001">
        <v>45.6</v>
      </c>
      <c r="H2001">
        <v>97.55</v>
      </c>
      <c r="I2001">
        <v>97.61</v>
      </c>
      <c r="J2001">
        <v>82.06</v>
      </c>
      <c r="K2001" t="s">
        <v>47</v>
      </c>
      <c r="L2001">
        <v>9.4</v>
      </c>
      <c r="M2001">
        <v>4.8</v>
      </c>
      <c r="N2001" t="s">
        <v>29</v>
      </c>
      <c r="O2001">
        <v>14</v>
      </c>
      <c r="P2001" t="s">
        <v>30</v>
      </c>
      <c r="Q2001">
        <v>62.9</v>
      </c>
    </row>
    <row r="2002" spans="1:17" x14ac:dyDescent="0.35">
      <c r="A2002" s="1">
        <v>45830</v>
      </c>
      <c r="B2002" t="s">
        <v>64</v>
      </c>
      <c r="C2002" t="s">
        <v>25</v>
      </c>
      <c r="D2002" t="s">
        <v>65</v>
      </c>
      <c r="E2002" t="s">
        <v>27</v>
      </c>
      <c r="F2002">
        <v>513.21</v>
      </c>
      <c r="G2002">
        <v>35.700000000000003</v>
      </c>
      <c r="H2002">
        <v>95.05</v>
      </c>
      <c r="I2002">
        <v>97.25</v>
      </c>
      <c r="J2002">
        <v>82.24</v>
      </c>
      <c r="K2002" t="s">
        <v>34</v>
      </c>
      <c r="L2002">
        <v>8.1</v>
      </c>
      <c r="M2002">
        <v>3.6</v>
      </c>
      <c r="N2002" t="s">
        <v>39</v>
      </c>
      <c r="O2002">
        <v>12</v>
      </c>
      <c r="P2002" t="s">
        <v>30</v>
      </c>
      <c r="Q2002">
        <v>60.9</v>
      </c>
    </row>
    <row r="2003" spans="1:17" x14ac:dyDescent="0.35">
      <c r="A2003" s="1">
        <v>45830</v>
      </c>
      <c r="B2003" t="s">
        <v>36</v>
      </c>
      <c r="C2003" t="s">
        <v>37</v>
      </c>
      <c r="D2003" t="s">
        <v>38</v>
      </c>
      <c r="E2003" t="s">
        <v>33</v>
      </c>
      <c r="F2003">
        <v>447.47</v>
      </c>
      <c r="G2003">
        <v>79.2</v>
      </c>
      <c r="H2003">
        <v>94.24</v>
      </c>
      <c r="I2003">
        <v>93.5</v>
      </c>
      <c r="J2003">
        <v>71.89</v>
      </c>
      <c r="K2003" t="s">
        <v>28</v>
      </c>
      <c r="L2003">
        <v>8.8000000000000007</v>
      </c>
      <c r="M2003">
        <v>2</v>
      </c>
      <c r="N2003" t="s">
        <v>22</v>
      </c>
      <c r="O2003">
        <v>5</v>
      </c>
      <c r="P2003" t="s">
        <v>23</v>
      </c>
      <c r="Q2003">
        <v>61.5</v>
      </c>
    </row>
    <row r="2004" spans="1:17" x14ac:dyDescent="0.35">
      <c r="A2004" s="1">
        <v>45830</v>
      </c>
      <c r="B2004" t="s">
        <v>51</v>
      </c>
      <c r="C2004" t="s">
        <v>45</v>
      </c>
      <c r="D2004" t="s">
        <v>52</v>
      </c>
      <c r="E2004" t="s">
        <v>27</v>
      </c>
      <c r="F2004">
        <v>553.79999999999995</v>
      </c>
      <c r="G2004">
        <v>494.8</v>
      </c>
      <c r="H2004">
        <v>94.11</v>
      </c>
      <c r="I2004">
        <v>98.18</v>
      </c>
      <c r="J2004">
        <v>80.5</v>
      </c>
      <c r="K2004" t="s">
        <v>47</v>
      </c>
      <c r="L2004">
        <v>8.6</v>
      </c>
      <c r="M2004">
        <v>2</v>
      </c>
      <c r="N2004" t="s">
        <v>39</v>
      </c>
      <c r="O2004">
        <v>13</v>
      </c>
      <c r="P2004" t="s">
        <v>23</v>
      </c>
      <c r="Q2004">
        <v>65.099999999999994</v>
      </c>
    </row>
    <row r="2005" spans="1:17" x14ac:dyDescent="0.35">
      <c r="A2005" s="1">
        <v>45830</v>
      </c>
      <c r="B2005" t="s">
        <v>86</v>
      </c>
      <c r="C2005" t="s">
        <v>25</v>
      </c>
      <c r="D2005" t="s">
        <v>87</v>
      </c>
      <c r="E2005" t="s">
        <v>27</v>
      </c>
      <c r="F2005">
        <v>771.63</v>
      </c>
      <c r="G2005">
        <v>51.3</v>
      </c>
      <c r="H2005">
        <v>95.68</v>
      </c>
      <c r="I2005">
        <v>98.47</v>
      </c>
      <c r="J2005">
        <v>78.25</v>
      </c>
      <c r="K2005" t="s">
        <v>28</v>
      </c>
      <c r="L2005">
        <v>8.9</v>
      </c>
      <c r="M2005">
        <v>4.0999999999999996</v>
      </c>
      <c r="N2005" t="s">
        <v>29</v>
      </c>
      <c r="O2005">
        <v>15</v>
      </c>
      <c r="P2005" t="s">
        <v>30</v>
      </c>
      <c r="Q2005">
        <v>61.9</v>
      </c>
    </row>
    <row r="2006" spans="1:17" x14ac:dyDescent="0.35">
      <c r="A2006" s="1">
        <v>45830</v>
      </c>
      <c r="B2006" t="s">
        <v>36</v>
      </c>
      <c r="C2006" t="s">
        <v>37</v>
      </c>
      <c r="D2006" t="s">
        <v>38</v>
      </c>
      <c r="E2006" t="s">
        <v>33</v>
      </c>
      <c r="F2006">
        <v>207.22</v>
      </c>
      <c r="G2006">
        <v>102.3</v>
      </c>
      <c r="H2006">
        <v>93.37</v>
      </c>
      <c r="I2006">
        <v>95.36</v>
      </c>
      <c r="J2006">
        <v>71.3</v>
      </c>
      <c r="K2006" t="s">
        <v>47</v>
      </c>
      <c r="L2006">
        <v>7.4</v>
      </c>
      <c r="M2006">
        <v>1.8</v>
      </c>
      <c r="N2006" t="s">
        <v>35</v>
      </c>
      <c r="O2006">
        <v>5</v>
      </c>
      <c r="P2006" t="s">
        <v>23</v>
      </c>
      <c r="Q2006">
        <v>59.8</v>
      </c>
    </row>
    <row r="2007" spans="1:17" x14ac:dyDescent="0.35">
      <c r="A2007" s="1">
        <v>45830</v>
      </c>
      <c r="B2007" t="s">
        <v>76</v>
      </c>
      <c r="C2007" t="s">
        <v>45</v>
      </c>
      <c r="D2007" t="s">
        <v>77</v>
      </c>
      <c r="E2007" t="s">
        <v>33</v>
      </c>
      <c r="F2007">
        <v>962.55</v>
      </c>
      <c r="G2007">
        <v>358.7</v>
      </c>
      <c r="H2007">
        <v>93.04</v>
      </c>
      <c r="I2007">
        <v>99.44</v>
      </c>
      <c r="J2007">
        <v>72.45</v>
      </c>
      <c r="K2007" t="s">
        <v>47</v>
      </c>
      <c r="L2007">
        <v>8.1</v>
      </c>
      <c r="M2007">
        <v>4.3</v>
      </c>
      <c r="N2007" t="s">
        <v>22</v>
      </c>
      <c r="O2007">
        <v>7</v>
      </c>
      <c r="P2007" t="s">
        <v>23</v>
      </c>
      <c r="Q2007">
        <v>61.5</v>
      </c>
    </row>
    <row r="2008" spans="1:17" x14ac:dyDescent="0.35">
      <c r="A2008" s="1">
        <v>45830</v>
      </c>
      <c r="B2008" t="s">
        <v>59</v>
      </c>
      <c r="C2008" t="s">
        <v>60</v>
      </c>
      <c r="D2008" t="s">
        <v>61</v>
      </c>
      <c r="E2008" t="s">
        <v>62</v>
      </c>
      <c r="F2008">
        <v>500.15</v>
      </c>
      <c r="G2008">
        <v>186.6</v>
      </c>
      <c r="H2008">
        <v>88.06</v>
      </c>
      <c r="I2008">
        <v>94.46</v>
      </c>
      <c r="J2008">
        <v>90.7</v>
      </c>
      <c r="K2008" t="s">
        <v>34</v>
      </c>
      <c r="L2008">
        <v>9.1999999999999993</v>
      </c>
      <c r="N2008" t="s">
        <v>35</v>
      </c>
      <c r="O2008">
        <v>4</v>
      </c>
      <c r="P2008" t="s">
        <v>23</v>
      </c>
      <c r="Q2008">
        <v>77</v>
      </c>
    </row>
    <row r="2009" spans="1:17" x14ac:dyDescent="0.35">
      <c r="A2009" s="1">
        <v>45830</v>
      </c>
      <c r="B2009" t="s">
        <v>86</v>
      </c>
      <c r="C2009" t="s">
        <v>25</v>
      </c>
      <c r="D2009" t="s">
        <v>87</v>
      </c>
      <c r="E2009" t="s">
        <v>27</v>
      </c>
      <c r="F2009">
        <v>419.54</v>
      </c>
      <c r="G2009">
        <v>36.200000000000003</v>
      </c>
      <c r="H2009">
        <v>96.33</v>
      </c>
      <c r="I2009">
        <v>97.01</v>
      </c>
      <c r="J2009">
        <v>77.12</v>
      </c>
      <c r="K2009" t="s">
        <v>28</v>
      </c>
      <c r="L2009">
        <v>9</v>
      </c>
      <c r="M2009">
        <v>3.1</v>
      </c>
      <c r="N2009" t="s">
        <v>39</v>
      </c>
      <c r="O2009">
        <v>10</v>
      </c>
      <c r="P2009" t="s">
        <v>30</v>
      </c>
      <c r="Q2009">
        <v>62.1</v>
      </c>
    </row>
    <row r="2010" spans="1:17" x14ac:dyDescent="0.35">
      <c r="A2010" s="1">
        <v>45830</v>
      </c>
      <c r="B2010" t="s">
        <v>84</v>
      </c>
      <c r="C2010" t="s">
        <v>18</v>
      </c>
      <c r="D2010" t="s">
        <v>85</v>
      </c>
      <c r="E2010" t="s">
        <v>27</v>
      </c>
      <c r="F2010">
        <v>119.08</v>
      </c>
      <c r="G2010">
        <v>63.2</v>
      </c>
      <c r="H2010">
        <v>92.56</v>
      </c>
      <c r="I2010">
        <v>96.8</v>
      </c>
      <c r="J2010">
        <v>77.22</v>
      </c>
      <c r="K2010" t="s">
        <v>47</v>
      </c>
      <c r="L2010">
        <v>7.4</v>
      </c>
      <c r="M2010">
        <v>3</v>
      </c>
      <c r="N2010" t="s">
        <v>29</v>
      </c>
      <c r="O2010">
        <v>10</v>
      </c>
      <c r="P2010" t="s">
        <v>23</v>
      </c>
      <c r="Q2010">
        <v>59.4</v>
      </c>
    </row>
    <row r="2011" spans="1:17" x14ac:dyDescent="0.35">
      <c r="A2011" s="1">
        <v>45830</v>
      </c>
      <c r="B2011" t="s">
        <v>69</v>
      </c>
      <c r="C2011" t="s">
        <v>18</v>
      </c>
      <c r="D2011" t="s">
        <v>70</v>
      </c>
      <c r="E2011" t="s">
        <v>20</v>
      </c>
      <c r="F2011">
        <v>176.27</v>
      </c>
      <c r="G2011">
        <v>118.4</v>
      </c>
      <c r="H2011">
        <v>93.72</v>
      </c>
      <c r="I2011">
        <v>93.47</v>
      </c>
      <c r="J2011">
        <v>77.489999999999995</v>
      </c>
      <c r="K2011" t="s">
        <v>63</v>
      </c>
      <c r="L2011">
        <v>6.4</v>
      </c>
      <c r="N2011" t="s">
        <v>35</v>
      </c>
      <c r="O2011">
        <v>8</v>
      </c>
      <c r="P2011" t="s">
        <v>23</v>
      </c>
      <c r="Q2011">
        <v>68.599999999999994</v>
      </c>
    </row>
    <row r="2012" spans="1:17" x14ac:dyDescent="0.35">
      <c r="A2012" s="1">
        <v>45830</v>
      </c>
      <c r="B2012" t="s">
        <v>64</v>
      </c>
      <c r="C2012" t="s">
        <v>25</v>
      </c>
      <c r="D2012" t="s">
        <v>65</v>
      </c>
      <c r="E2012" t="s">
        <v>27</v>
      </c>
      <c r="F2012">
        <v>514.58000000000004</v>
      </c>
      <c r="G2012">
        <v>20.7</v>
      </c>
      <c r="H2012">
        <v>95.56</v>
      </c>
      <c r="I2012">
        <v>97.63</v>
      </c>
      <c r="J2012">
        <v>78.010000000000005</v>
      </c>
      <c r="K2012" t="s">
        <v>47</v>
      </c>
      <c r="L2012">
        <v>8.4</v>
      </c>
      <c r="M2012">
        <v>4.9000000000000004</v>
      </c>
      <c r="N2012" t="s">
        <v>29</v>
      </c>
      <c r="O2012">
        <v>8</v>
      </c>
      <c r="P2012" t="s">
        <v>30</v>
      </c>
      <c r="Q2012">
        <v>59.7</v>
      </c>
    </row>
    <row r="2013" spans="1:17" x14ac:dyDescent="0.35">
      <c r="A2013" s="1">
        <v>45830</v>
      </c>
      <c r="B2013" t="s">
        <v>91</v>
      </c>
      <c r="C2013" t="s">
        <v>67</v>
      </c>
      <c r="D2013" t="s">
        <v>92</v>
      </c>
      <c r="E2013" t="s">
        <v>27</v>
      </c>
      <c r="F2013">
        <v>496.05</v>
      </c>
      <c r="G2013">
        <v>55.2</v>
      </c>
      <c r="H2013">
        <v>97.2</v>
      </c>
      <c r="I2013">
        <v>94.31</v>
      </c>
      <c r="J2013">
        <v>80.88</v>
      </c>
      <c r="K2013" t="s">
        <v>34</v>
      </c>
      <c r="L2013">
        <v>9.1999999999999993</v>
      </c>
      <c r="M2013">
        <v>1.7</v>
      </c>
      <c r="N2013" t="s">
        <v>29</v>
      </c>
      <c r="O2013">
        <v>10</v>
      </c>
      <c r="P2013" t="s">
        <v>43</v>
      </c>
      <c r="Q2013">
        <v>64</v>
      </c>
    </row>
    <row r="2014" spans="1:17" x14ac:dyDescent="0.35">
      <c r="A2014" s="1">
        <v>45830</v>
      </c>
      <c r="B2014" t="s">
        <v>59</v>
      </c>
      <c r="C2014" t="s">
        <v>60</v>
      </c>
      <c r="D2014" t="s">
        <v>61</v>
      </c>
      <c r="E2014" t="s">
        <v>62</v>
      </c>
      <c r="F2014">
        <v>470.12</v>
      </c>
      <c r="G2014">
        <v>185</v>
      </c>
      <c r="H2014">
        <v>88.26</v>
      </c>
      <c r="I2014">
        <v>93.93</v>
      </c>
      <c r="J2014">
        <v>86.57</v>
      </c>
      <c r="K2014" t="s">
        <v>34</v>
      </c>
      <c r="L2014">
        <v>9.4</v>
      </c>
      <c r="N2014" t="s">
        <v>35</v>
      </c>
      <c r="O2014">
        <v>6</v>
      </c>
      <c r="P2014" t="s">
        <v>43</v>
      </c>
      <c r="Q2014">
        <v>76.599999999999994</v>
      </c>
    </row>
    <row r="2015" spans="1:17" x14ac:dyDescent="0.35">
      <c r="A2015" s="1">
        <v>45830</v>
      </c>
      <c r="B2015" t="s">
        <v>99</v>
      </c>
      <c r="C2015" t="s">
        <v>72</v>
      </c>
      <c r="D2015" t="s">
        <v>100</v>
      </c>
      <c r="E2015" t="s">
        <v>27</v>
      </c>
      <c r="F2015">
        <v>288.64999999999998</v>
      </c>
      <c r="G2015">
        <v>32.700000000000003</v>
      </c>
      <c r="H2015">
        <v>95.37</v>
      </c>
      <c r="I2015">
        <v>95.05</v>
      </c>
      <c r="J2015">
        <v>82.76</v>
      </c>
      <c r="K2015" t="s">
        <v>28</v>
      </c>
      <c r="L2015">
        <v>8.1999999999999993</v>
      </c>
      <c r="M2015">
        <v>4.3</v>
      </c>
      <c r="N2015" t="s">
        <v>39</v>
      </c>
      <c r="O2015">
        <v>9</v>
      </c>
      <c r="P2015" t="s">
        <v>23</v>
      </c>
      <c r="Q2015">
        <v>60.3</v>
      </c>
    </row>
    <row r="2016" spans="1:17" x14ac:dyDescent="0.35">
      <c r="A2016" s="1">
        <v>45830</v>
      </c>
      <c r="B2016" t="s">
        <v>95</v>
      </c>
      <c r="C2016" t="s">
        <v>49</v>
      </c>
      <c r="D2016" t="s">
        <v>96</v>
      </c>
      <c r="E2016" t="s">
        <v>33</v>
      </c>
      <c r="F2016">
        <v>407.12</v>
      </c>
      <c r="G2016">
        <v>87.9</v>
      </c>
      <c r="H2016">
        <v>95.56</v>
      </c>
      <c r="I2016">
        <v>94.54</v>
      </c>
      <c r="J2016">
        <v>80</v>
      </c>
      <c r="K2016" t="s">
        <v>28</v>
      </c>
      <c r="L2016">
        <v>8.6999999999999993</v>
      </c>
      <c r="M2016">
        <v>3.5</v>
      </c>
      <c r="N2016" t="s">
        <v>35</v>
      </c>
      <c r="O2016">
        <v>5</v>
      </c>
      <c r="P2016" t="s">
        <v>43</v>
      </c>
      <c r="Q2016">
        <v>62.3</v>
      </c>
    </row>
    <row r="2017" spans="1:17" x14ac:dyDescent="0.35">
      <c r="A2017" s="1">
        <v>45830</v>
      </c>
      <c r="B2017" t="s">
        <v>101</v>
      </c>
      <c r="C2017" t="s">
        <v>45</v>
      </c>
      <c r="D2017" t="s">
        <v>102</v>
      </c>
      <c r="E2017" t="s">
        <v>33</v>
      </c>
      <c r="F2017">
        <v>616.73</v>
      </c>
      <c r="G2017">
        <v>1657.8</v>
      </c>
      <c r="H2017">
        <v>96.62</v>
      </c>
      <c r="I2017">
        <v>99.25</v>
      </c>
      <c r="J2017">
        <v>78.42</v>
      </c>
      <c r="K2017" t="s">
        <v>47</v>
      </c>
      <c r="L2017">
        <v>9.1</v>
      </c>
      <c r="M2017">
        <v>1.6</v>
      </c>
      <c r="N2017" t="s">
        <v>22</v>
      </c>
      <c r="O2017">
        <v>8</v>
      </c>
      <c r="P2017" t="s">
        <v>23</v>
      </c>
      <c r="Q2017">
        <v>66.5</v>
      </c>
    </row>
    <row r="2018" spans="1:17" x14ac:dyDescent="0.35">
      <c r="A2018" s="1">
        <v>45830</v>
      </c>
      <c r="B2018" t="s">
        <v>86</v>
      </c>
      <c r="C2018" t="s">
        <v>25</v>
      </c>
      <c r="D2018" t="s">
        <v>87</v>
      </c>
      <c r="E2018" t="s">
        <v>27</v>
      </c>
      <c r="F2018">
        <v>430.08</v>
      </c>
      <c r="G2018">
        <v>39.9</v>
      </c>
      <c r="H2018">
        <v>96.08</v>
      </c>
      <c r="I2018">
        <v>97.12</v>
      </c>
      <c r="J2018">
        <v>77.760000000000005</v>
      </c>
      <c r="K2018" t="s">
        <v>47</v>
      </c>
      <c r="L2018">
        <v>8.3000000000000007</v>
      </c>
      <c r="M2018">
        <v>4</v>
      </c>
      <c r="N2018" t="s">
        <v>29</v>
      </c>
      <c r="O2018">
        <v>13</v>
      </c>
      <c r="P2018" t="s">
        <v>30</v>
      </c>
      <c r="Q2018">
        <v>60.5</v>
      </c>
    </row>
    <row r="2019" spans="1:17" x14ac:dyDescent="0.35">
      <c r="A2019" s="1">
        <v>45830</v>
      </c>
      <c r="B2019" t="s">
        <v>74</v>
      </c>
      <c r="C2019" t="s">
        <v>67</v>
      </c>
      <c r="D2019" t="s">
        <v>75</v>
      </c>
      <c r="E2019" t="s">
        <v>27</v>
      </c>
      <c r="F2019">
        <v>798.16</v>
      </c>
      <c r="G2019">
        <v>59.7</v>
      </c>
      <c r="H2019">
        <v>93.77</v>
      </c>
      <c r="I2019">
        <v>95.28</v>
      </c>
      <c r="J2019">
        <v>75.39</v>
      </c>
      <c r="K2019" t="s">
        <v>34</v>
      </c>
      <c r="L2019">
        <v>8.5</v>
      </c>
      <c r="M2019">
        <v>3.8</v>
      </c>
      <c r="N2019" t="s">
        <v>39</v>
      </c>
      <c r="O2019">
        <v>8</v>
      </c>
      <c r="P2019" t="s">
        <v>43</v>
      </c>
      <c r="Q2019">
        <v>60.2</v>
      </c>
    </row>
    <row r="2020" spans="1:17" x14ac:dyDescent="0.35">
      <c r="A2020" s="1">
        <v>45830</v>
      </c>
      <c r="B2020" t="s">
        <v>59</v>
      </c>
      <c r="C2020" t="s">
        <v>60</v>
      </c>
      <c r="D2020" t="s">
        <v>61</v>
      </c>
      <c r="E2020" t="s">
        <v>62</v>
      </c>
      <c r="F2020">
        <v>405.76</v>
      </c>
      <c r="G2020">
        <v>188.3</v>
      </c>
      <c r="H2020">
        <v>86.82</v>
      </c>
      <c r="I2020">
        <v>95.3</v>
      </c>
      <c r="J2020">
        <v>89.36</v>
      </c>
      <c r="K2020" t="s">
        <v>63</v>
      </c>
      <c r="L2020">
        <v>8.9</v>
      </c>
      <c r="N2020" t="s">
        <v>35</v>
      </c>
      <c r="O2020">
        <v>6</v>
      </c>
      <c r="P2020" t="s">
        <v>23</v>
      </c>
      <c r="Q2020">
        <v>76.099999999999994</v>
      </c>
    </row>
    <row r="2021" spans="1:17" x14ac:dyDescent="0.35">
      <c r="A2021" s="1">
        <v>45830</v>
      </c>
      <c r="B2021" t="s">
        <v>76</v>
      </c>
      <c r="C2021" t="s">
        <v>45</v>
      </c>
      <c r="D2021" t="s">
        <v>77</v>
      </c>
      <c r="E2021" t="s">
        <v>33</v>
      </c>
      <c r="F2021">
        <v>157.37</v>
      </c>
      <c r="G2021">
        <v>242.1</v>
      </c>
      <c r="H2021">
        <v>92.4</v>
      </c>
      <c r="I2021">
        <v>98.45</v>
      </c>
      <c r="J2021">
        <v>76.52</v>
      </c>
      <c r="K2021" t="s">
        <v>28</v>
      </c>
      <c r="L2021">
        <v>7.4</v>
      </c>
      <c r="M2021">
        <v>4.8</v>
      </c>
      <c r="N2021" t="s">
        <v>35</v>
      </c>
      <c r="O2021">
        <v>9</v>
      </c>
      <c r="P2021" t="s">
        <v>23</v>
      </c>
      <c r="Q2021">
        <v>60.4</v>
      </c>
    </row>
    <row r="2022" spans="1:17" x14ac:dyDescent="0.35">
      <c r="A2022" s="1">
        <v>45830</v>
      </c>
      <c r="B2022" t="s">
        <v>59</v>
      </c>
      <c r="C2022" t="s">
        <v>60</v>
      </c>
      <c r="D2022" t="s">
        <v>61</v>
      </c>
      <c r="E2022" t="s">
        <v>62</v>
      </c>
      <c r="F2022">
        <v>405.89</v>
      </c>
      <c r="G2022">
        <v>186.6</v>
      </c>
      <c r="H2022">
        <v>89.26</v>
      </c>
      <c r="I2022">
        <v>96.3</v>
      </c>
      <c r="J2022">
        <v>90.04</v>
      </c>
      <c r="K2022" t="s">
        <v>34</v>
      </c>
      <c r="L2022">
        <v>8.9</v>
      </c>
      <c r="N2022" t="s">
        <v>35</v>
      </c>
      <c r="O2022">
        <v>3</v>
      </c>
      <c r="P2022" t="s">
        <v>43</v>
      </c>
      <c r="Q2022">
        <v>76.900000000000006</v>
      </c>
    </row>
    <row r="2023" spans="1:17" x14ac:dyDescent="0.35">
      <c r="A2023" s="1">
        <v>45830</v>
      </c>
      <c r="B2023" t="s">
        <v>86</v>
      </c>
      <c r="C2023" t="s">
        <v>25</v>
      </c>
      <c r="D2023" t="s">
        <v>87</v>
      </c>
      <c r="E2023" t="s">
        <v>27</v>
      </c>
      <c r="F2023">
        <v>207.53</v>
      </c>
      <c r="G2023">
        <v>29.7</v>
      </c>
      <c r="H2023">
        <v>96.91</v>
      </c>
      <c r="I2023">
        <v>96.47</v>
      </c>
      <c r="J2023">
        <v>76.05</v>
      </c>
      <c r="K2023" t="s">
        <v>47</v>
      </c>
      <c r="L2023">
        <v>8.1999999999999993</v>
      </c>
      <c r="M2023">
        <v>4.2</v>
      </c>
      <c r="N2023" t="s">
        <v>39</v>
      </c>
      <c r="O2023">
        <v>13</v>
      </c>
      <c r="P2023" t="s">
        <v>30</v>
      </c>
      <c r="Q2023">
        <v>59.7</v>
      </c>
    </row>
    <row r="2024" spans="1:17" x14ac:dyDescent="0.35">
      <c r="A2024" s="1">
        <v>45830</v>
      </c>
      <c r="B2024" t="s">
        <v>48</v>
      </c>
      <c r="C2024" t="s">
        <v>49</v>
      </c>
      <c r="D2024" t="s">
        <v>50</v>
      </c>
      <c r="E2024" t="s">
        <v>27</v>
      </c>
      <c r="F2024">
        <v>467.68</v>
      </c>
      <c r="G2024">
        <v>50.1</v>
      </c>
      <c r="H2024">
        <v>94.22</v>
      </c>
      <c r="I2024">
        <v>95.6</v>
      </c>
      <c r="J2024">
        <v>78.790000000000006</v>
      </c>
      <c r="K2024" t="s">
        <v>34</v>
      </c>
      <c r="L2024">
        <v>8.3000000000000007</v>
      </c>
      <c r="M2024">
        <v>4</v>
      </c>
      <c r="N2024" t="s">
        <v>29</v>
      </c>
      <c r="O2024">
        <v>9</v>
      </c>
      <c r="P2024" t="s">
        <v>43</v>
      </c>
      <c r="Q2024">
        <v>60.3</v>
      </c>
    </row>
    <row r="2025" spans="1:17" x14ac:dyDescent="0.35">
      <c r="A2025" s="1">
        <v>45830</v>
      </c>
      <c r="B2025" t="s">
        <v>31</v>
      </c>
      <c r="C2025" t="s">
        <v>18</v>
      </c>
      <c r="D2025" t="s">
        <v>32</v>
      </c>
      <c r="E2025" t="s">
        <v>33</v>
      </c>
      <c r="F2025">
        <v>326.10000000000002</v>
      </c>
      <c r="G2025">
        <v>160.30000000000001</v>
      </c>
      <c r="H2025">
        <v>94.01</v>
      </c>
      <c r="I2025">
        <v>96.73</v>
      </c>
      <c r="J2025">
        <v>75.91</v>
      </c>
      <c r="K2025" t="s">
        <v>34</v>
      </c>
      <c r="L2025">
        <v>7.1</v>
      </c>
      <c r="M2025">
        <v>2.9</v>
      </c>
      <c r="N2025" t="s">
        <v>22</v>
      </c>
      <c r="O2025">
        <v>8</v>
      </c>
      <c r="P2025" t="s">
        <v>23</v>
      </c>
      <c r="Q2025">
        <v>60.9</v>
      </c>
    </row>
    <row r="2026" spans="1:17" x14ac:dyDescent="0.35">
      <c r="A2026" s="1">
        <v>45830</v>
      </c>
      <c r="B2026" t="s">
        <v>53</v>
      </c>
      <c r="C2026" t="s">
        <v>41</v>
      </c>
      <c r="D2026" t="s">
        <v>54</v>
      </c>
      <c r="E2026" t="s">
        <v>27</v>
      </c>
      <c r="F2026">
        <v>654.79999999999995</v>
      </c>
      <c r="G2026">
        <v>38.4</v>
      </c>
      <c r="H2026">
        <v>96.32</v>
      </c>
      <c r="I2026">
        <v>97.91</v>
      </c>
      <c r="J2026">
        <v>82.14</v>
      </c>
      <c r="K2026" t="s">
        <v>34</v>
      </c>
      <c r="L2026">
        <v>9</v>
      </c>
      <c r="M2026">
        <v>2.9</v>
      </c>
      <c r="N2026" t="s">
        <v>39</v>
      </c>
      <c r="O2026">
        <v>11</v>
      </c>
      <c r="P2026" t="s">
        <v>43</v>
      </c>
      <c r="Q2026">
        <v>63.2</v>
      </c>
    </row>
    <row r="2027" spans="1:17" x14ac:dyDescent="0.35">
      <c r="A2027" s="1">
        <v>45830</v>
      </c>
      <c r="B2027" t="s">
        <v>91</v>
      </c>
      <c r="C2027" t="s">
        <v>67</v>
      </c>
      <c r="D2027" t="s">
        <v>92</v>
      </c>
      <c r="E2027" t="s">
        <v>27</v>
      </c>
      <c r="F2027">
        <v>671.53</v>
      </c>
      <c r="G2027">
        <v>53.9</v>
      </c>
      <c r="H2027">
        <v>92.95</v>
      </c>
      <c r="I2027">
        <v>95.3</v>
      </c>
      <c r="J2027">
        <v>78.099999999999994</v>
      </c>
      <c r="K2027" t="s">
        <v>47</v>
      </c>
      <c r="L2027">
        <v>8.8000000000000007</v>
      </c>
      <c r="M2027">
        <v>3.9</v>
      </c>
      <c r="N2027" t="s">
        <v>29</v>
      </c>
      <c r="O2027">
        <v>8</v>
      </c>
      <c r="P2027" t="s">
        <v>43</v>
      </c>
      <c r="Q2027">
        <v>60.9</v>
      </c>
    </row>
    <row r="2028" spans="1:17" x14ac:dyDescent="0.35">
      <c r="A2028" s="1">
        <v>45830</v>
      </c>
      <c r="B2028" t="s">
        <v>93</v>
      </c>
      <c r="C2028" t="s">
        <v>37</v>
      </c>
      <c r="D2028" t="s">
        <v>94</v>
      </c>
      <c r="E2028" t="s">
        <v>33</v>
      </c>
      <c r="F2028">
        <v>288.75</v>
      </c>
      <c r="G2028">
        <v>121.3</v>
      </c>
      <c r="H2028">
        <v>93.28</v>
      </c>
      <c r="I2028">
        <v>95.95</v>
      </c>
      <c r="J2028">
        <v>75.69</v>
      </c>
      <c r="K2028" t="s">
        <v>47</v>
      </c>
      <c r="L2028">
        <v>8.4</v>
      </c>
      <c r="M2028">
        <v>4.8</v>
      </c>
      <c r="N2028" t="s">
        <v>22</v>
      </c>
      <c r="O2028">
        <v>9</v>
      </c>
      <c r="P2028" t="s">
        <v>23</v>
      </c>
      <c r="Q2028">
        <v>60.7</v>
      </c>
    </row>
    <row r="2029" spans="1:17" x14ac:dyDescent="0.35">
      <c r="A2029" s="1">
        <v>45830</v>
      </c>
      <c r="B2029" t="s">
        <v>17</v>
      </c>
      <c r="C2029" t="s">
        <v>18</v>
      </c>
      <c r="D2029" t="s">
        <v>19</v>
      </c>
      <c r="E2029" t="s">
        <v>20</v>
      </c>
      <c r="F2029">
        <v>202.76</v>
      </c>
      <c r="G2029">
        <v>161.5</v>
      </c>
      <c r="H2029">
        <v>91.59</v>
      </c>
      <c r="I2029">
        <v>93.3</v>
      </c>
      <c r="J2029">
        <v>74.38</v>
      </c>
      <c r="K2029" t="s">
        <v>21</v>
      </c>
      <c r="L2029">
        <v>7.6</v>
      </c>
      <c r="N2029" t="s">
        <v>22</v>
      </c>
      <c r="O2029">
        <v>8</v>
      </c>
      <c r="P2029" t="s">
        <v>23</v>
      </c>
      <c r="Q2029">
        <v>70.900000000000006</v>
      </c>
    </row>
    <row r="2030" spans="1:17" x14ac:dyDescent="0.35">
      <c r="A2030" s="1">
        <v>45830</v>
      </c>
      <c r="B2030" t="s">
        <v>44</v>
      </c>
      <c r="C2030" t="s">
        <v>45</v>
      </c>
      <c r="D2030" t="s">
        <v>46</v>
      </c>
      <c r="E2030" t="s">
        <v>33</v>
      </c>
      <c r="F2030">
        <v>735.65</v>
      </c>
      <c r="G2030">
        <v>261.8</v>
      </c>
      <c r="H2030">
        <v>92.98</v>
      </c>
      <c r="I2030">
        <v>98.38</v>
      </c>
      <c r="J2030">
        <v>72.17</v>
      </c>
      <c r="K2030" t="s">
        <v>47</v>
      </c>
      <c r="L2030">
        <v>8.4</v>
      </c>
      <c r="M2030">
        <v>3.2</v>
      </c>
      <c r="N2030" t="s">
        <v>35</v>
      </c>
      <c r="O2030">
        <v>9</v>
      </c>
      <c r="P2030" t="s">
        <v>23</v>
      </c>
      <c r="Q2030">
        <v>62.5</v>
      </c>
    </row>
    <row r="2031" spans="1:17" x14ac:dyDescent="0.35">
      <c r="A2031" s="1">
        <v>45830</v>
      </c>
      <c r="B2031" t="s">
        <v>48</v>
      </c>
      <c r="C2031" t="s">
        <v>49</v>
      </c>
      <c r="D2031" t="s">
        <v>50</v>
      </c>
      <c r="E2031" t="s">
        <v>27</v>
      </c>
      <c r="F2031">
        <v>436.79</v>
      </c>
      <c r="G2031">
        <v>26.5</v>
      </c>
      <c r="H2031">
        <v>94.49</v>
      </c>
      <c r="I2031">
        <v>93.47</v>
      </c>
      <c r="J2031">
        <v>82.77</v>
      </c>
      <c r="K2031" t="s">
        <v>34</v>
      </c>
      <c r="L2031">
        <v>8.3000000000000007</v>
      </c>
      <c r="M2031">
        <v>4.3</v>
      </c>
      <c r="N2031" t="s">
        <v>29</v>
      </c>
      <c r="O2031">
        <v>14</v>
      </c>
      <c r="P2031" t="s">
        <v>43</v>
      </c>
      <c r="Q2031">
        <v>59.9</v>
      </c>
    </row>
    <row r="2032" spans="1:17" x14ac:dyDescent="0.35">
      <c r="A2032" s="1">
        <v>45830</v>
      </c>
      <c r="B2032" t="s">
        <v>76</v>
      </c>
      <c r="C2032" t="s">
        <v>45</v>
      </c>
      <c r="D2032" t="s">
        <v>77</v>
      </c>
      <c r="E2032" t="s">
        <v>33</v>
      </c>
      <c r="F2032">
        <v>809.38</v>
      </c>
      <c r="G2032">
        <v>522.5</v>
      </c>
      <c r="H2032">
        <v>92.71</v>
      </c>
      <c r="I2032">
        <v>98.27</v>
      </c>
      <c r="J2032">
        <v>71.23</v>
      </c>
      <c r="K2032" t="s">
        <v>34</v>
      </c>
      <c r="L2032">
        <v>8.1</v>
      </c>
      <c r="M2032">
        <v>3.8</v>
      </c>
      <c r="N2032" t="s">
        <v>35</v>
      </c>
      <c r="O2032">
        <v>9</v>
      </c>
      <c r="P2032" t="s">
        <v>23</v>
      </c>
      <c r="Q2032">
        <v>61.3</v>
      </c>
    </row>
    <row r="2033" spans="1:17" x14ac:dyDescent="0.35">
      <c r="A2033" s="1">
        <v>45830</v>
      </c>
      <c r="B2033" t="s">
        <v>24</v>
      </c>
      <c r="C2033" t="s">
        <v>25</v>
      </c>
      <c r="D2033" t="s">
        <v>26</v>
      </c>
      <c r="E2033" t="s">
        <v>27</v>
      </c>
      <c r="F2033">
        <v>201.5</v>
      </c>
      <c r="G2033">
        <v>60.2</v>
      </c>
      <c r="H2033">
        <v>94.74</v>
      </c>
      <c r="I2033">
        <v>97.72</v>
      </c>
      <c r="J2033">
        <v>79.98</v>
      </c>
      <c r="K2033" t="s">
        <v>28</v>
      </c>
      <c r="L2033">
        <v>7.5</v>
      </c>
      <c r="M2033">
        <v>3.7</v>
      </c>
      <c r="N2033" t="s">
        <v>39</v>
      </c>
      <c r="O2033">
        <v>14</v>
      </c>
      <c r="P2033" t="s">
        <v>30</v>
      </c>
      <c r="Q2033">
        <v>60</v>
      </c>
    </row>
    <row r="2034" spans="1:17" x14ac:dyDescent="0.35">
      <c r="A2034" s="1">
        <v>45830</v>
      </c>
      <c r="B2034" t="s">
        <v>86</v>
      </c>
      <c r="C2034" t="s">
        <v>25</v>
      </c>
      <c r="D2034" t="s">
        <v>87</v>
      </c>
      <c r="E2034" t="s">
        <v>27</v>
      </c>
      <c r="F2034">
        <v>431.63</v>
      </c>
      <c r="G2034">
        <v>48</v>
      </c>
      <c r="H2034">
        <v>92.85</v>
      </c>
      <c r="I2034">
        <v>97.1</v>
      </c>
      <c r="J2034">
        <v>81.31</v>
      </c>
      <c r="K2034" t="s">
        <v>34</v>
      </c>
      <c r="L2034">
        <v>8.1</v>
      </c>
      <c r="M2034">
        <v>1.6</v>
      </c>
      <c r="N2034" t="s">
        <v>29</v>
      </c>
      <c r="O2034">
        <v>10</v>
      </c>
      <c r="P2034" t="s">
        <v>30</v>
      </c>
      <c r="Q2034">
        <v>61.9</v>
      </c>
    </row>
    <row r="2035" spans="1:17" x14ac:dyDescent="0.35">
      <c r="A2035" s="1">
        <v>45830</v>
      </c>
      <c r="B2035" t="s">
        <v>86</v>
      </c>
      <c r="C2035" t="s">
        <v>25</v>
      </c>
      <c r="D2035" t="s">
        <v>87</v>
      </c>
      <c r="E2035" t="s">
        <v>27</v>
      </c>
      <c r="F2035">
        <v>805.78</v>
      </c>
      <c r="G2035">
        <v>44</v>
      </c>
      <c r="H2035">
        <v>95.59</v>
      </c>
      <c r="I2035">
        <v>98.1</v>
      </c>
      <c r="J2035">
        <v>78.8</v>
      </c>
      <c r="K2035" t="s">
        <v>34</v>
      </c>
      <c r="L2035">
        <v>9.3000000000000007</v>
      </c>
      <c r="M2035">
        <v>2.2000000000000002</v>
      </c>
      <c r="N2035" t="s">
        <v>39</v>
      </c>
      <c r="O2035">
        <v>12</v>
      </c>
      <c r="P2035" t="s">
        <v>30</v>
      </c>
      <c r="Q2035">
        <v>63.7</v>
      </c>
    </row>
    <row r="2036" spans="1:17" x14ac:dyDescent="0.35">
      <c r="A2036" s="1">
        <v>45830</v>
      </c>
      <c r="B2036" t="s">
        <v>55</v>
      </c>
      <c r="C2036" t="s">
        <v>56</v>
      </c>
      <c r="D2036">
        <v>4</v>
      </c>
      <c r="E2036" t="s">
        <v>57</v>
      </c>
      <c r="F2036">
        <v>30</v>
      </c>
      <c r="G2036">
        <v>161.30000000000001</v>
      </c>
      <c r="H2036">
        <v>86.11</v>
      </c>
      <c r="I2036">
        <v>96</v>
      </c>
      <c r="J2036">
        <v>75.31</v>
      </c>
      <c r="K2036" t="s">
        <v>58</v>
      </c>
      <c r="L2036">
        <v>7.9</v>
      </c>
      <c r="N2036" t="s">
        <v>35</v>
      </c>
      <c r="O2036">
        <v>2</v>
      </c>
      <c r="P2036" t="s">
        <v>23</v>
      </c>
      <c r="Q2036">
        <v>71.099999999999994</v>
      </c>
    </row>
    <row r="2037" spans="1:17" x14ac:dyDescent="0.35">
      <c r="A2037" s="1">
        <v>45830</v>
      </c>
      <c r="B2037" t="s">
        <v>66</v>
      </c>
      <c r="C2037" t="s">
        <v>67</v>
      </c>
      <c r="D2037" t="s">
        <v>68</v>
      </c>
      <c r="E2037" t="s">
        <v>27</v>
      </c>
      <c r="F2037">
        <v>565.85</v>
      </c>
      <c r="G2037">
        <v>62</v>
      </c>
      <c r="H2037">
        <v>95.44</v>
      </c>
      <c r="I2037">
        <v>93.56</v>
      </c>
      <c r="J2037">
        <v>78.78</v>
      </c>
      <c r="K2037" t="s">
        <v>28</v>
      </c>
      <c r="L2037">
        <v>8.4</v>
      </c>
      <c r="M2037">
        <v>2.6</v>
      </c>
      <c r="N2037" t="s">
        <v>39</v>
      </c>
      <c r="O2037">
        <v>13</v>
      </c>
      <c r="P2037" t="s">
        <v>23</v>
      </c>
      <c r="Q2037">
        <v>61.5</v>
      </c>
    </row>
    <row r="2038" spans="1:17" x14ac:dyDescent="0.35">
      <c r="A2038" s="1">
        <v>45830</v>
      </c>
      <c r="B2038" t="s">
        <v>36</v>
      </c>
      <c r="C2038" t="s">
        <v>37</v>
      </c>
      <c r="D2038" t="s">
        <v>38</v>
      </c>
      <c r="E2038" t="s">
        <v>33</v>
      </c>
      <c r="F2038">
        <v>404.41</v>
      </c>
      <c r="G2038">
        <v>141.80000000000001</v>
      </c>
      <c r="H2038">
        <v>97.04</v>
      </c>
      <c r="I2038">
        <v>94.95</v>
      </c>
      <c r="J2038">
        <v>70.83</v>
      </c>
      <c r="K2038" t="s">
        <v>47</v>
      </c>
      <c r="L2038">
        <v>9.1999999999999993</v>
      </c>
      <c r="M2038">
        <v>2.2999999999999998</v>
      </c>
      <c r="N2038" t="s">
        <v>35</v>
      </c>
      <c r="O2038">
        <v>6</v>
      </c>
      <c r="P2038" t="s">
        <v>23</v>
      </c>
      <c r="Q2038">
        <v>63.8</v>
      </c>
    </row>
    <row r="2039" spans="1:17" x14ac:dyDescent="0.35">
      <c r="A2039" s="1">
        <v>45830</v>
      </c>
      <c r="B2039" t="s">
        <v>24</v>
      </c>
      <c r="C2039" t="s">
        <v>25</v>
      </c>
      <c r="D2039" t="s">
        <v>26</v>
      </c>
      <c r="E2039" t="s">
        <v>27</v>
      </c>
      <c r="F2039">
        <v>702.21</v>
      </c>
      <c r="G2039">
        <v>38.9</v>
      </c>
      <c r="H2039">
        <v>93.25</v>
      </c>
      <c r="I2039">
        <v>97.53</v>
      </c>
      <c r="J2039">
        <v>75.75</v>
      </c>
      <c r="K2039" t="s">
        <v>47</v>
      </c>
      <c r="L2039">
        <v>8.9</v>
      </c>
      <c r="M2039">
        <v>5</v>
      </c>
      <c r="N2039" t="s">
        <v>29</v>
      </c>
      <c r="O2039">
        <v>8</v>
      </c>
      <c r="P2039" t="s">
        <v>30</v>
      </c>
      <c r="Q2039">
        <v>60</v>
      </c>
    </row>
    <row r="2040" spans="1:17" x14ac:dyDescent="0.35">
      <c r="A2040" s="1">
        <v>45830</v>
      </c>
      <c r="B2040" t="s">
        <v>55</v>
      </c>
      <c r="C2040" t="s">
        <v>56</v>
      </c>
      <c r="D2040">
        <v>4</v>
      </c>
      <c r="E2040" t="s">
        <v>57</v>
      </c>
      <c r="F2040">
        <v>30</v>
      </c>
      <c r="G2040">
        <v>160</v>
      </c>
      <c r="H2040">
        <v>90.5</v>
      </c>
      <c r="I2040">
        <v>96.92</v>
      </c>
      <c r="J2040">
        <v>72.790000000000006</v>
      </c>
      <c r="K2040" t="s">
        <v>63</v>
      </c>
      <c r="L2040">
        <v>7</v>
      </c>
      <c r="N2040" t="s">
        <v>35</v>
      </c>
      <c r="O2040">
        <v>4</v>
      </c>
      <c r="P2040" t="s">
        <v>23</v>
      </c>
      <c r="Q2040">
        <v>69.900000000000006</v>
      </c>
    </row>
    <row r="2041" spans="1:17" x14ac:dyDescent="0.35">
      <c r="A2041" s="1">
        <v>45830</v>
      </c>
      <c r="B2041" t="s">
        <v>91</v>
      </c>
      <c r="C2041" t="s">
        <v>67</v>
      </c>
      <c r="D2041" t="s">
        <v>92</v>
      </c>
      <c r="E2041" t="s">
        <v>27</v>
      </c>
      <c r="F2041">
        <v>247.31</v>
      </c>
      <c r="G2041">
        <v>60</v>
      </c>
      <c r="H2041">
        <v>95.31</v>
      </c>
      <c r="I2041">
        <v>93.46</v>
      </c>
      <c r="J2041">
        <v>83.56</v>
      </c>
      <c r="K2041" t="s">
        <v>47</v>
      </c>
      <c r="L2041">
        <v>7.5</v>
      </c>
      <c r="M2041">
        <v>4.3</v>
      </c>
      <c r="N2041" t="s">
        <v>29</v>
      </c>
      <c r="O2041">
        <v>14</v>
      </c>
      <c r="P2041" t="s">
        <v>43</v>
      </c>
      <c r="Q2041">
        <v>59.5</v>
      </c>
    </row>
    <row r="2042" spans="1:17" x14ac:dyDescent="0.35">
      <c r="A2042" s="1">
        <v>45830</v>
      </c>
      <c r="B2042" t="s">
        <v>91</v>
      </c>
      <c r="C2042" t="s">
        <v>67</v>
      </c>
      <c r="D2042" t="s">
        <v>92</v>
      </c>
      <c r="E2042" t="s">
        <v>27</v>
      </c>
      <c r="F2042">
        <v>734.56</v>
      </c>
      <c r="G2042">
        <v>20.5</v>
      </c>
      <c r="H2042">
        <v>95.44</v>
      </c>
      <c r="I2042">
        <v>96.97</v>
      </c>
      <c r="J2042">
        <v>81.61</v>
      </c>
      <c r="K2042" t="s">
        <v>34</v>
      </c>
      <c r="L2042">
        <v>8.6999999999999993</v>
      </c>
      <c r="M2042">
        <v>4.9000000000000004</v>
      </c>
      <c r="N2042" t="s">
        <v>29</v>
      </c>
      <c r="O2042">
        <v>15</v>
      </c>
      <c r="P2042" t="s">
        <v>23</v>
      </c>
      <c r="Q2042">
        <v>60.6</v>
      </c>
    </row>
    <row r="2043" spans="1:17" x14ac:dyDescent="0.35">
      <c r="A2043" s="1">
        <v>45830</v>
      </c>
      <c r="B2043" t="s">
        <v>101</v>
      </c>
      <c r="C2043" t="s">
        <v>45</v>
      </c>
      <c r="D2043" t="s">
        <v>102</v>
      </c>
      <c r="E2043" t="s">
        <v>27</v>
      </c>
      <c r="F2043">
        <v>481.68</v>
      </c>
      <c r="G2043">
        <v>1432.4</v>
      </c>
      <c r="H2043">
        <v>97.83</v>
      </c>
      <c r="I2043">
        <v>98.93</v>
      </c>
      <c r="J2043">
        <v>78.53</v>
      </c>
      <c r="K2043" t="s">
        <v>47</v>
      </c>
      <c r="L2043">
        <v>8.5</v>
      </c>
      <c r="M2043">
        <v>1.6</v>
      </c>
      <c r="N2043" t="s">
        <v>29</v>
      </c>
      <c r="O2043">
        <v>13</v>
      </c>
      <c r="P2043" t="s">
        <v>23</v>
      </c>
      <c r="Q2043">
        <v>65.599999999999994</v>
      </c>
    </row>
    <row r="2044" spans="1:17" x14ac:dyDescent="0.35">
      <c r="A2044" s="1">
        <v>45830</v>
      </c>
      <c r="B2044" t="s">
        <v>59</v>
      </c>
      <c r="C2044" t="s">
        <v>60</v>
      </c>
      <c r="D2044" t="s">
        <v>61</v>
      </c>
      <c r="E2044" t="s">
        <v>62</v>
      </c>
      <c r="F2044">
        <v>437.48</v>
      </c>
      <c r="G2044">
        <v>175</v>
      </c>
      <c r="H2044">
        <v>90.99</v>
      </c>
      <c r="I2044">
        <v>93.76</v>
      </c>
      <c r="J2044">
        <v>85.49</v>
      </c>
      <c r="K2044" t="s">
        <v>34</v>
      </c>
      <c r="L2044">
        <v>9.4</v>
      </c>
      <c r="N2044" t="s">
        <v>35</v>
      </c>
      <c r="O2044">
        <v>5</v>
      </c>
      <c r="P2044" t="s">
        <v>43</v>
      </c>
      <c r="Q2044">
        <v>76.8</v>
      </c>
    </row>
    <row r="2045" spans="1:17" x14ac:dyDescent="0.35">
      <c r="A2045" s="1">
        <v>45830</v>
      </c>
      <c r="B2045" t="s">
        <v>93</v>
      </c>
      <c r="C2045" t="s">
        <v>37</v>
      </c>
      <c r="D2045" t="s">
        <v>94</v>
      </c>
      <c r="E2045" t="s">
        <v>33</v>
      </c>
      <c r="F2045">
        <v>242.32</v>
      </c>
      <c r="G2045">
        <v>106.6</v>
      </c>
      <c r="H2045">
        <v>96.95</v>
      </c>
      <c r="I2045">
        <v>95.57</v>
      </c>
      <c r="J2045">
        <v>71</v>
      </c>
      <c r="K2045" t="s">
        <v>28</v>
      </c>
      <c r="L2045">
        <v>7.3</v>
      </c>
      <c r="M2045">
        <v>4.4000000000000004</v>
      </c>
      <c r="N2045" t="s">
        <v>22</v>
      </c>
      <c r="O2045">
        <v>9</v>
      </c>
      <c r="P2045" t="s">
        <v>23</v>
      </c>
      <c r="Q2045">
        <v>58.6</v>
      </c>
    </row>
    <row r="2046" spans="1:17" x14ac:dyDescent="0.35">
      <c r="A2046" s="1">
        <v>45830</v>
      </c>
      <c r="B2046" t="s">
        <v>59</v>
      </c>
      <c r="C2046" t="s">
        <v>60</v>
      </c>
      <c r="D2046" t="s">
        <v>61</v>
      </c>
      <c r="E2046" t="s">
        <v>62</v>
      </c>
      <c r="F2046">
        <v>308.17</v>
      </c>
      <c r="G2046">
        <v>169.6</v>
      </c>
      <c r="H2046">
        <v>85.71</v>
      </c>
      <c r="I2046">
        <v>94.84</v>
      </c>
      <c r="J2046">
        <v>85.43</v>
      </c>
      <c r="K2046" t="s">
        <v>34</v>
      </c>
      <c r="L2046">
        <v>7.2</v>
      </c>
      <c r="N2046" t="s">
        <v>35</v>
      </c>
      <c r="O2046">
        <v>6</v>
      </c>
      <c r="P2046" t="s">
        <v>23</v>
      </c>
      <c r="Q2046">
        <v>71.599999999999994</v>
      </c>
    </row>
    <row r="2047" spans="1:17" x14ac:dyDescent="0.35">
      <c r="A2047" s="1">
        <v>45830</v>
      </c>
      <c r="B2047" t="s">
        <v>86</v>
      </c>
      <c r="C2047" t="s">
        <v>25</v>
      </c>
      <c r="D2047" t="s">
        <v>87</v>
      </c>
      <c r="E2047" t="s">
        <v>27</v>
      </c>
      <c r="F2047">
        <v>664.19</v>
      </c>
      <c r="G2047">
        <v>48.7</v>
      </c>
      <c r="H2047">
        <v>94.07</v>
      </c>
      <c r="I2047">
        <v>97.95</v>
      </c>
      <c r="J2047">
        <v>80.83</v>
      </c>
      <c r="K2047" t="s">
        <v>47</v>
      </c>
      <c r="L2047">
        <v>9.1999999999999993</v>
      </c>
      <c r="M2047">
        <v>2.2999999999999998</v>
      </c>
      <c r="N2047" t="s">
        <v>29</v>
      </c>
      <c r="O2047">
        <v>10</v>
      </c>
      <c r="P2047" t="s">
        <v>30</v>
      </c>
      <c r="Q2047">
        <v>63.6</v>
      </c>
    </row>
    <row r="2048" spans="1:17" x14ac:dyDescent="0.35">
      <c r="A2048" s="1">
        <v>45830</v>
      </c>
      <c r="B2048" t="s">
        <v>86</v>
      </c>
      <c r="C2048" t="s">
        <v>25</v>
      </c>
      <c r="D2048" t="s">
        <v>87</v>
      </c>
      <c r="E2048" t="s">
        <v>27</v>
      </c>
      <c r="F2048">
        <v>236.43</v>
      </c>
      <c r="G2048">
        <v>32.4</v>
      </c>
      <c r="H2048">
        <v>94.49</v>
      </c>
      <c r="I2048">
        <v>96.25</v>
      </c>
      <c r="J2048">
        <v>84.65</v>
      </c>
      <c r="K2048" t="s">
        <v>28</v>
      </c>
      <c r="L2048">
        <v>7.9</v>
      </c>
      <c r="M2048">
        <v>4.0999999999999996</v>
      </c>
      <c r="N2048" t="s">
        <v>39</v>
      </c>
      <c r="O2048">
        <v>8</v>
      </c>
      <c r="P2048" t="s">
        <v>30</v>
      </c>
      <c r="Q2048">
        <v>60.3</v>
      </c>
    </row>
    <row r="2049" spans="1:17" x14ac:dyDescent="0.35">
      <c r="A2049" s="1">
        <v>45830</v>
      </c>
      <c r="B2049" t="s">
        <v>59</v>
      </c>
      <c r="C2049" t="s">
        <v>60</v>
      </c>
      <c r="D2049" t="s">
        <v>61</v>
      </c>
      <c r="E2049" t="s">
        <v>62</v>
      </c>
      <c r="F2049">
        <v>464.4</v>
      </c>
      <c r="G2049">
        <v>174.2</v>
      </c>
      <c r="H2049">
        <v>86.91</v>
      </c>
      <c r="I2049">
        <v>95.52</v>
      </c>
      <c r="J2049">
        <v>91.66</v>
      </c>
      <c r="K2049" t="s">
        <v>63</v>
      </c>
      <c r="L2049">
        <v>8.5</v>
      </c>
      <c r="N2049" t="s">
        <v>35</v>
      </c>
      <c r="O2049">
        <v>5</v>
      </c>
      <c r="P2049" t="s">
        <v>23</v>
      </c>
      <c r="Q2049">
        <v>75.8</v>
      </c>
    </row>
    <row r="2050" spans="1:17" x14ac:dyDescent="0.35">
      <c r="A2050" s="1">
        <v>45830</v>
      </c>
      <c r="B2050" t="s">
        <v>82</v>
      </c>
      <c r="C2050" t="s">
        <v>72</v>
      </c>
      <c r="D2050" t="s">
        <v>83</v>
      </c>
      <c r="E2050" t="s">
        <v>20</v>
      </c>
      <c r="F2050">
        <v>225.6</v>
      </c>
      <c r="G2050">
        <v>98.9</v>
      </c>
      <c r="H2050">
        <v>94.37</v>
      </c>
      <c r="I2050">
        <v>95.68</v>
      </c>
      <c r="J2050">
        <v>76.63</v>
      </c>
      <c r="K2050" t="s">
        <v>58</v>
      </c>
      <c r="L2050">
        <v>7.2</v>
      </c>
      <c r="N2050" t="s">
        <v>35</v>
      </c>
      <c r="O2050">
        <v>9</v>
      </c>
      <c r="P2050" t="s">
        <v>43</v>
      </c>
      <c r="Q2050">
        <v>70.099999999999994</v>
      </c>
    </row>
    <row r="2051" spans="1:17" x14ac:dyDescent="0.35">
      <c r="A2051" s="1">
        <v>45830</v>
      </c>
      <c r="B2051" t="s">
        <v>82</v>
      </c>
      <c r="C2051" t="s">
        <v>72</v>
      </c>
      <c r="D2051" t="s">
        <v>83</v>
      </c>
      <c r="E2051" t="s">
        <v>20</v>
      </c>
      <c r="F2051">
        <v>194.7</v>
      </c>
      <c r="G2051">
        <v>230.4</v>
      </c>
      <c r="H2051">
        <v>92.97</v>
      </c>
      <c r="I2051">
        <v>95.7</v>
      </c>
      <c r="J2051">
        <v>78.94</v>
      </c>
      <c r="K2051" t="s">
        <v>21</v>
      </c>
      <c r="L2051">
        <v>6.6</v>
      </c>
      <c r="N2051" t="s">
        <v>22</v>
      </c>
      <c r="O2051">
        <v>5</v>
      </c>
      <c r="P2051" t="s">
        <v>43</v>
      </c>
      <c r="Q2051">
        <v>70.7</v>
      </c>
    </row>
    <row r="2052" spans="1:17" x14ac:dyDescent="0.35">
      <c r="A2052" s="1">
        <v>45830</v>
      </c>
      <c r="B2052" t="s">
        <v>48</v>
      </c>
      <c r="C2052" t="s">
        <v>49</v>
      </c>
      <c r="D2052" t="s">
        <v>50</v>
      </c>
      <c r="E2052" t="s">
        <v>27</v>
      </c>
      <c r="F2052">
        <v>489.15</v>
      </c>
      <c r="G2052">
        <v>31.4</v>
      </c>
      <c r="H2052">
        <v>96.27</v>
      </c>
      <c r="I2052">
        <v>93.92</v>
      </c>
      <c r="J2052">
        <v>77.5</v>
      </c>
      <c r="K2052" t="s">
        <v>47</v>
      </c>
      <c r="L2052">
        <v>9.1</v>
      </c>
      <c r="M2052">
        <v>3.9</v>
      </c>
      <c r="N2052" t="s">
        <v>29</v>
      </c>
      <c r="O2052">
        <v>11</v>
      </c>
      <c r="P2052" t="s">
        <v>23</v>
      </c>
      <c r="Q2052">
        <v>61.1</v>
      </c>
    </row>
    <row r="2053" spans="1:17" x14ac:dyDescent="0.35">
      <c r="A2053" s="1">
        <v>45830</v>
      </c>
      <c r="B2053" t="s">
        <v>59</v>
      </c>
      <c r="C2053" t="s">
        <v>60</v>
      </c>
      <c r="D2053" t="s">
        <v>61</v>
      </c>
      <c r="E2053" t="s">
        <v>62</v>
      </c>
      <c r="F2053">
        <v>330.78</v>
      </c>
      <c r="G2053">
        <v>191.9</v>
      </c>
      <c r="H2053">
        <v>88.28</v>
      </c>
      <c r="I2053">
        <v>93.44</v>
      </c>
      <c r="J2053">
        <v>86.6</v>
      </c>
      <c r="K2053" t="s">
        <v>34</v>
      </c>
      <c r="L2053">
        <v>7.3</v>
      </c>
      <c r="N2053" t="s">
        <v>35</v>
      </c>
      <c r="O2053">
        <v>3</v>
      </c>
      <c r="P2053" t="s">
        <v>43</v>
      </c>
      <c r="Q2053">
        <v>72.3</v>
      </c>
    </row>
    <row r="2054" spans="1:17" x14ac:dyDescent="0.35">
      <c r="A2054" s="1">
        <v>45830</v>
      </c>
      <c r="B2054" t="s">
        <v>101</v>
      </c>
      <c r="C2054" t="s">
        <v>45</v>
      </c>
      <c r="D2054" t="s">
        <v>102</v>
      </c>
      <c r="E2054" t="s">
        <v>33</v>
      </c>
      <c r="F2054">
        <v>811.29</v>
      </c>
      <c r="G2054">
        <v>1600.4</v>
      </c>
      <c r="H2054">
        <v>97.18</v>
      </c>
      <c r="I2054">
        <v>99.32</v>
      </c>
      <c r="J2054">
        <v>77.27</v>
      </c>
      <c r="K2054" t="s">
        <v>88</v>
      </c>
      <c r="L2054">
        <v>8.6999999999999993</v>
      </c>
      <c r="M2054">
        <v>3.2</v>
      </c>
      <c r="N2054" t="s">
        <v>22</v>
      </c>
      <c r="O2054">
        <v>8</v>
      </c>
      <c r="P2054" t="s">
        <v>23</v>
      </c>
      <c r="Q2054">
        <v>64.7</v>
      </c>
    </row>
    <row r="2055" spans="1:17" x14ac:dyDescent="0.35">
      <c r="A2055" s="1">
        <v>45830</v>
      </c>
      <c r="B2055" t="s">
        <v>74</v>
      </c>
      <c r="C2055" t="s">
        <v>67</v>
      </c>
      <c r="D2055" t="s">
        <v>75</v>
      </c>
      <c r="E2055" t="s">
        <v>27</v>
      </c>
      <c r="F2055">
        <v>353.06</v>
      </c>
      <c r="G2055">
        <v>67.099999999999994</v>
      </c>
      <c r="H2055">
        <v>95.5</v>
      </c>
      <c r="I2055">
        <v>96.31</v>
      </c>
      <c r="J2055">
        <v>79.75</v>
      </c>
      <c r="K2055" t="s">
        <v>28</v>
      </c>
      <c r="L2055">
        <v>7.3</v>
      </c>
      <c r="M2055">
        <v>2.6</v>
      </c>
      <c r="N2055" t="s">
        <v>39</v>
      </c>
      <c r="O2055">
        <v>10</v>
      </c>
      <c r="P2055" t="s">
        <v>43</v>
      </c>
      <c r="Q2055">
        <v>60.4</v>
      </c>
    </row>
    <row r="2056" spans="1:17" x14ac:dyDescent="0.35">
      <c r="A2056" s="1">
        <v>45830</v>
      </c>
      <c r="B2056" t="s">
        <v>69</v>
      </c>
      <c r="C2056" t="s">
        <v>18</v>
      </c>
      <c r="D2056" t="s">
        <v>70</v>
      </c>
      <c r="E2056" t="s">
        <v>20</v>
      </c>
      <c r="F2056">
        <v>113.47</v>
      </c>
      <c r="G2056">
        <v>136.6</v>
      </c>
      <c r="H2056">
        <v>93.18</v>
      </c>
      <c r="I2056">
        <v>94.2</v>
      </c>
      <c r="J2056">
        <v>71.3</v>
      </c>
      <c r="K2056" t="s">
        <v>63</v>
      </c>
      <c r="L2056">
        <v>7.6</v>
      </c>
      <c r="N2056" t="s">
        <v>22</v>
      </c>
      <c r="O2056">
        <v>5</v>
      </c>
      <c r="P2056" t="s">
        <v>23</v>
      </c>
      <c r="Q2056">
        <v>70.2</v>
      </c>
    </row>
    <row r="2057" spans="1:17" x14ac:dyDescent="0.35">
      <c r="A2057" s="1">
        <v>45830</v>
      </c>
      <c r="B2057" t="s">
        <v>80</v>
      </c>
      <c r="C2057" t="s">
        <v>45</v>
      </c>
      <c r="D2057" t="s">
        <v>81</v>
      </c>
      <c r="E2057" t="s">
        <v>27</v>
      </c>
      <c r="F2057">
        <v>601.46</v>
      </c>
      <c r="G2057">
        <v>536.79999999999995</v>
      </c>
      <c r="H2057">
        <v>92.95</v>
      </c>
      <c r="I2057">
        <v>98.83</v>
      </c>
      <c r="J2057">
        <v>79.7</v>
      </c>
      <c r="K2057" t="s">
        <v>34</v>
      </c>
      <c r="L2057">
        <v>9</v>
      </c>
      <c r="M2057">
        <v>4.7</v>
      </c>
      <c r="N2057" t="s">
        <v>39</v>
      </c>
      <c r="O2057">
        <v>10</v>
      </c>
      <c r="P2057" t="s">
        <v>23</v>
      </c>
      <c r="Q2057">
        <v>63.8</v>
      </c>
    </row>
    <row r="2058" spans="1:17" x14ac:dyDescent="0.35">
      <c r="A2058" s="1">
        <v>45830</v>
      </c>
      <c r="B2058" t="s">
        <v>84</v>
      </c>
      <c r="C2058" t="s">
        <v>18</v>
      </c>
      <c r="D2058" t="s">
        <v>85</v>
      </c>
      <c r="E2058" t="s">
        <v>33</v>
      </c>
      <c r="F2058">
        <v>129.63999999999999</v>
      </c>
      <c r="G2058">
        <v>225</v>
      </c>
      <c r="H2058">
        <v>96.53</v>
      </c>
      <c r="I2058">
        <v>94.55</v>
      </c>
      <c r="J2058">
        <v>79.239999999999995</v>
      </c>
      <c r="K2058" t="s">
        <v>47</v>
      </c>
      <c r="L2058">
        <v>6.6</v>
      </c>
      <c r="M2058">
        <v>2.7</v>
      </c>
      <c r="N2058" t="s">
        <v>35</v>
      </c>
      <c r="O2058">
        <v>10</v>
      </c>
      <c r="P2058" t="s">
        <v>23</v>
      </c>
      <c r="Q2058">
        <v>60.9</v>
      </c>
    </row>
    <row r="2059" spans="1:17" x14ac:dyDescent="0.35">
      <c r="A2059" s="1">
        <v>45830</v>
      </c>
      <c r="B2059" t="s">
        <v>93</v>
      </c>
      <c r="C2059" t="s">
        <v>37</v>
      </c>
      <c r="D2059" t="s">
        <v>94</v>
      </c>
      <c r="E2059" t="s">
        <v>33</v>
      </c>
      <c r="F2059">
        <v>344.8</v>
      </c>
      <c r="G2059">
        <v>172.4</v>
      </c>
      <c r="H2059">
        <v>97</v>
      </c>
      <c r="I2059">
        <v>94.45</v>
      </c>
      <c r="J2059">
        <v>75.02</v>
      </c>
      <c r="K2059" t="s">
        <v>28</v>
      </c>
      <c r="L2059">
        <v>7.6</v>
      </c>
      <c r="M2059">
        <v>1.7</v>
      </c>
      <c r="N2059" t="s">
        <v>22</v>
      </c>
      <c r="O2059">
        <v>9</v>
      </c>
      <c r="P2059" t="s">
        <v>23</v>
      </c>
      <c r="Q2059">
        <v>62.6</v>
      </c>
    </row>
    <row r="2060" spans="1:17" x14ac:dyDescent="0.35">
      <c r="A2060" s="1">
        <v>45830</v>
      </c>
      <c r="B2060" t="s">
        <v>44</v>
      </c>
      <c r="C2060" t="s">
        <v>45</v>
      </c>
      <c r="D2060" t="s">
        <v>46</v>
      </c>
      <c r="E2060" t="s">
        <v>27</v>
      </c>
      <c r="F2060">
        <v>966.34</v>
      </c>
      <c r="G2060">
        <v>393.9</v>
      </c>
      <c r="H2060">
        <v>96.27</v>
      </c>
      <c r="I2060">
        <v>99.42</v>
      </c>
      <c r="J2060">
        <v>75.83</v>
      </c>
      <c r="K2060" t="s">
        <v>28</v>
      </c>
      <c r="L2060">
        <v>9.5</v>
      </c>
      <c r="M2060">
        <v>3.2</v>
      </c>
      <c r="N2060" t="s">
        <v>39</v>
      </c>
      <c r="O2060">
        <v>14</v>
      </c>
      <c r="P2060" t="s">
        <v>23</v>
      </c>
      <c r="Q2060">
        <v>65.599999999999994</v>
      </c>
    </row>
    <row r="2061" spans="1:17" x14ac:dyDescent="0.35">
      <c r="A2061" s="1">
        <v>45830</v>
      </c>
      <c r="B2061" t="s">
        <v>84</v>
      </c>
      <c r="C2061" t="s">
        <v>18</v>
      </c>
      <c r="D2061" t="s">
        <v>85</v>
      </c>
      <c r="E2061" t="s">
        <v>27</v>
      </c>
      <c r="F2061">
        <v>162.13</v>
      </c>
      <c r="G2061">
        <v>53.6</v>
      </c>
      <c r="H2061">
        <v>96.42</v>
      </c>
      <c r="I2061">
        <v>95.02</v>
      </c>
      <c r="J2061">
        <v>80.31</v>
      </c>
      <c r="K2061" t="s">
        <v>28</v>
      </c>
      <c r="L2061">
        <v>8</v>
      </c>
      <c r="M2061">
        <v>3.6</v>
      </c>
      <c r="N2061" t="s">
        <v>39</v>
      </c>
      <c r="O2061">
        <v>14</v>
      </c>
      <c r="P2061" t="s">
        <v>23</v>
      </c>
      <c r="Q2061">
        <v>60.6</v>
      </c>
    </row>
    <row r="2062" spans="1:17" x14ac:dyDescent="0.35">
      <c r="A2062" s="1">
        <v>45830</v>
      </c>
      <c r="B2062" t="s">
        <v>36</v>
      </c>
      <c r="C2062" t="s">
        <v>37</v>
      </c>
      <c r="D2062" t="s">
        <v>38</v>
      </c>
      <c r="E2062" t="s">
        <v>27</v>
      </c>
      <c r="F2062">
        <v>310.31</v>
      </c>
      <c r="G2062">
        <v>38.6</v>
      </c>
      <c r="H2062">
        <v>93.12</v>
      </c>
      <c r="I2062">
        <v>93.18</v>
      </c>
      <c r="J2062">
        <v>79.400000000000006</v>
      </c>
      <c r="K2062" t="s">
        <v>34</v>
      </c>
      <c r="L2062">
        <v>7.3</v>
      </c>
      <c r="M2062">
        <v>2.4</v>
      </c>
      <c r="N2062" t="s">
        <v>29</v>
      </c>
      <c r="O2062">
        <v>9</v>
      </c>
      <c r="P2062" t="s">
        <v>23</v>
      </c>
      <c r="Q2062">
        <v>58.9</v>
      </c>
    </row>
    <row r="2063" spans="1:17" x14ac:dyDescent="0.35">
      <c r="A2063" s="1">
        <v>45830</v>
      </c>
      <c r="B2063" t="s">
        <v>95</v>
      </c>
      <c r="C2063" t="s">
        <v>49</v>
      </c>
      <c r="D2063" t="s">
        <v>96</v>
      </c>
      <c r="E2063" t="s">
        <v>33</v>
      </c>
      <c r="F2063">
        <v>326.77999999999997</v>
      </c>
      <c r="G2063">
        <v>173.6</v>
      </c>
      <c r="H2063">
        <v>95.04</v>
      </c>
      <c r="I2063">
        <v>96.93</v>
      </c>
      <c r="J2063">
        <v>75.98</v>
      </c>
      <c r="K2063" t="s">
        <v>47</v>
      </c>
      <c r="L2063">
        <v>7</v>
      </c>
      <c r="M2063">
        <v>1.9</v>
      </c>
      <c r="N2063" t="s">
        <v>22</v>
      </c>
      <c r="O2063">
        <v>10</v>
      </c>
      <c r="P2063" t="s">
        <v>23</v>
      </c>
      <c r="Q2063">
        <v>61.7</v>
      </c>
    </row>
    <row r="2064" spans="1:17" x14ac:dyDescent="0.35">
      <c r="A2064" s="1">
        <v>45830</v>
      </c>
      <c r="B2064" t="s">
        <v>55</v>
      </c>
      <c r="C2064" t="s">
        <v>56</v>
      </c>
      <c r="D2064">
        <v>4</v>
      </c>
      <c r="E2064" t="s">
        <v>57</v>
      </c>
      <c r="F2064">
        <v>30</v>
      </c>
      <c r="G2064">
        <v>161.9</v>
      </c>
      <c r="H2064">
        <v>90.52</v>
      </c>
      <c r="I2064">
        <v>94.53</v>
      </c>
      <c r="J2064">
        <v>78.7</v>
      </c>
      <c r="K2064" t="s">
        <v>58</v>
      </c>
      <c r="L2064">
        <v>6.8</v>
      </c>
      <c r="N2064" t="s">
        <v>35</v>
      </c>
      <c r="O2064">
        <v>2</v>
      </c>
      <c r="P2064" t="s">
        <v>23</v>
      </c>
      <c r="Q2064">
        <v>70.2</v>
      </c>
    </row>
    <row r="2065" spans="1:17" x14ac:dyDescent="0.35">
      <c r="A2065" s="1">
        <v>45830</v>
      </c>
      <c r="B2065" t="s">
        <v>17</v>
      </c>
      <c r="C2065" t="s">
        <v>18</v>
      </c>
      <c r="D2065" t="s">
        <v>19</v>
      </c>
      <c r="E2065" t="s">
        <v>20</v>
      </c>
      <c r="F2065">
        <v>307.77999999999997</v>
      </c>
      <c r="G2065">
        <v>99.8</v>
      </c>
      <c r="H2065">
        <v>92.71</v>
      </c>
      <c r="I2065">
        <v>93.46</v>
      </c>
      <c r="J2065">
        <v>76.69</v>
      </c>
      <c r="K2065" t="s">
        <v>63</v>
      </c>
      <c r="L2065">
        <v>7.9</v>
      </c>
      <c r="N2065" t="s">
        <v>22</v>
      </c>
      <c r="O2065">
        <v>8</v>
      </c>
      <c r="P2065" t="s">
        <v>23</v>
      </c>
      <c r="Q2065">
        <v>70.7</v>
      </c>
    </row>
    <row r="2066" spans="1:17" x14ac:dyDescent="0.35">
      <c r="A2066" s="1">
        <v>45830</v>
      </c>
      <c r="B2066" t="s">
        <v>71</v>
      </c>
      <c r="C2066" t="s">
        <v>72</v>
      </c>
      <c r="D2066" t="s">
        <v>73</v>
      </c>
      <c r="E2066" t="s">
        <v>27</v>
      </c>
      <c r="F2066">
        <v>270.38</v>
      </c>
      <c r="G2066">
        <v>52.3</v>
      </c>
      <c r="H2066">
        <v>94.41</v>
      </c>
      <c r="I2066">
        <v>94.82</v>
      </c>
      <c r="J2066">
        <v>76.02</v>
      </c>
      <c r="K2066" t="s">
        <v>34</v>
      </c>
      <c r="L2066">
        <v>8.3000000000000007</v>
      </c>
      <c r="M2066">
        <v>2.2999999999999998</v>
      </c>
      <c r="N2066" t="s">
        <v>39</v>
      </c>
      <c r="O2066">
        <v>13</v>
      </c>
      <c r="P2066" t="s">
        <v>43</v>
      </c>
      <c r="Q2066">
        <v>60.9</v>
      </c>
    </row>
    <row r="2067" spans="1:17" x14ac:dyDescent="0.35">
      <c r="A2067" s="1">
        <v>45830</v>
      </c>
      <c r="B2067" t="s">
        <v>99</v>
      </c>
      <c r="C2067" t="s">
        <v>72</v>
      </c>
      <c r="D2067" t="s">
        <v>100</v>
      </c>
      <c r="E2067" t="s">
        <v>27</v>
      </c>
      <c r="F2067">
        <v>280.55</v>
      </c>
      <c r="G2067">
        <v>61.1</v>
      </c>
      <c r="H2067">
        <v>97.01</v>
      </c>
      <c r="I2067">
        <v>93.79</v>
      </c>
      <c r="J2067">
        <v>77.959999999999994</v>
      </c>
      <c r="K2067" t="s">
        <v>28</v>
      </c>
      <c r="L2067">
        <v>7.7</v>
      </c>
      <c r="M2067">
        <v>1.8</v>
      </c>
      <c r="N2067" t="s">
        <v>39</v>
      </c>
      <c r="O2067">
        <v>10</v>
      </c>
      <c r="P2067" t="s">
        <v>43</v>
      </c>
      <c r="Q2067">
        <v>61</v>
      </c>
    </row>
    <row r="2068" spans="1:17" x14ac:dyDescent="0.35">
      <c r="A2068" s="1">
        <v>45830</v>
      </c>
      <c r="B2068" t="s">
        <v>51</v>
      </c>
      <c r="C2068" t="s">
        <v>45</v>
      </c>
      <c r="D2068" t="s">
        <v>52</v>
      </c>
      <c r="E2068" t="s">
        <v>33</v>
      </c>
      <c r="F2068">
        <v>851.72</v>
      </c>
      <c r="G2068">
        <v>519.79999999999995</v>
      </c>
      <c r="H2068">
        <v>92.95</v>
      </c>
      <c r="I2068">
        <v>98.2</v>
      </c>
      <c r="J2068">
        <v>76.010000000000005</v>
      </c>
      <c r="K2068" t="s">
        <v>88</v>
      </c>
      <c r="L2068">
        <v>9</v>
      </c>
      <c r="M2068">
        <v>2.1</v>
      </c>
      <c r="N2068" t="s">
        <v>35</v>
      </c>
      <c r="O2068">
        <v>8</v>
      </c>
      <c r="P2068" t="s">
        <v>23</v>
      </c>
      <c r="Q2068">
        <v>64.8</v>
      </c>
    </row>
    <row r="2069" spans="1:17" x14ac:dyDescent="0.35">
      <c r="A2069" s="1">
        <v>45830</v>
      </c>
      <c r="B2069" t="s">
        <v>53</v>
      </c>
      <c r="C2069" t="s">
        <v>41</v>
      </c>
      <c r="D2069" t="s">
        <v>54</v>
      </c>
      <c r="E2069" t="s">
        <v>27</v>
      </c>
      <c r="F2069">
        <v>411.21</v>
      </c>
      <c r="G2069">
        <v>31.5</v>
      </c>
      <c r="H2069">
        <v>97.09</v>
      </c>
      <c r="I2069">
        <v>97.3</v>
      </c>
      <c r="J2069">
        <v>76.290000000000006</v>
      </c>
      <c r="K2069" t="s">
        <v>47</v>
      </c>
      <c r="L2069">
        <v>8.4</v>
      </c>
      <c r="M2069">
        <v>1.6</v>
      </c>
      <c r="N2069" t="s">
        <v>29</v>
      </c>
      <c r="O2069">
        <v>10</v>
      </c>
      <c r="P2069" t="s">
        <v>43</v>
      </c>
      <c r="Q2069">
        <v>62</v>
      </c>
    </row>
    <row r="2070" spans="1:17" x14ac:dyDescent="0.35">
      <c r="A2070" s="1">
        <v>45830</v>
      </c>
      <c r="B2070" t="s">
        <v>59</v>
      </c>
      <c r="C2070" t="s">
        <v>60</v>
      </c>
      <c r="D2070" t="s">
        <v>61</v>
      </c>
      <c r="E2070" t="s">
        <v>62</v>
      </c>
      <c r="F2070">
        <v>367.8</v>
      </c>
      <c r="G2070">
        <v>183.7</v>
      </c>
      <c r="H2070">
        <v>87.57</v>
      </c>
      <c r="I2070">
        <v>93.48</v>
      </c>
      <c r="J2070">
        <v>85.58</v>
      </c>
      <c r="K2070" t="s">
        <v>34</v>
      </c>
      <c r="L2070">
        <v>8</v>
      </c>
      <c r="N2070" t="s">
        <v>35</v>
      </c>
      <c r="O2070">
        <v>4</v>
      </c>
      <c r="P2070" t="s">
        <v>43</v>
      </c>
      <c r="Q2070">
        <v>73.3</v>
      </c>
    </row>
    <row r="2071" spans="1:17" x14ac:dyDescent="0.35">
      <c r="A2071" s="1">
        <v>45830</v>
      </c>
      <c r="B2071" t="s">
        <v>44</v>
      </c>
      <c r="C2071" t="s">
        <v>45</v>
      </c>
      <c r="D2071" t="s">
        <v>46</v>
      </c>
      <c r="E2071" t="s">
        <v>27</v>
      </c>
      <c r="F2071">
        <v>374.51</v>
      </c>
      <c r="G2071">
        <v>506</v>
      </c>
      <c r="H2071">
        <v>95.64</v>
      </c>
      <c r="I2071">
        <v>99.41</v>
      </c>
      <c r="J2071">
        <v>83.85</v>
      </c>
      <c r="K2071" t="s">
        <v>28</v>
      </c>
      <c r="L2071">
        <v>7.8</v>
      </c>
      <c r="M2071">
        <v>4.5</v>
      </c>
      <c r="N2071" t="s">
        <v>29</v>
      </c>
      <c r="O2071">
        <v>11</v>
      </c>
      <c r="P2071" t="s">
        <v>23</v>
      </c>
      <c r="Q2071">
        <v>63.1</v>
      </c>
    </row>
    <row r="2072" spans="1:17" x14ac:dyDescent="0.35">
      <c r="A2072" s="1">
        <v>45830</v>
      </c>
      <c r="B2072" t="s">
        <v>71</v>
      </c>
      <c r="C2072" t="s">
        <v>72</v>
      </c>
      <c r="D2072" t="s">
        <v>73</v>
      </c>
      <c r="E2072" t="s">
        <v>27</v>
      </c>
      <c r="F2072">
        <v>258.54000000000002</v>
      </c>
      <c r="G2072">
        <v>39.4</v>
      </c>
      <c r="H2072">
        <v>96.31</v>
      </c>
      <c r="I2072">
        <v>94.16</v>
      </c>
      <c r="J2072">
        <v>76.61</v>
      </c>
      <c r="K2072" t="s">
        <v>34</v>
      </c>
      <c r="L2072">
        <v>7.5</v>
      </c>
      <c r="M2072">
        <v>2.2999999999999998</v>
      </c>
      <c r="N2072" t="s">
        <v>39</v>
      </c>
      <c r="O2072">
        <v>8</v>
      </c>
      <c r="P2072" t="s">
        <v>43</v>
      </c>
      <c r="Q2072">
        <v>59.6</v>
      </c>
    </row>
    <row r="2073" spans="1:17" x14ac:dyDescent="0.35">
      <c r="A2073" s="1">
        <v>45830</v>
      </c>
      <c r="B2073" t="s">
        <v>59</v>
      </c>
      <c r="C2073" t="s">
        <v>60</v>
      </c>
      <c r="D2073" t="s">
        <v>61</v>
      </c>
      <c r="E2073" t="s">
        <v>62</v>
      </c>
      <c r="F2073">
        <v>542.75</v>
      </c>
      <c r="G2073">
        <v>181</v>
      </c>
      <c r="H2073">
        <v>86.91</v>
      </c>
      <c r="I2073">
        <v>94.78</v>
      </c>
      <c r="J2073">
        <v>91.79</v>
      </c>
      <c r="K2073" t="s">
        <v>63</v>
      </c>
      <c r="L2073">
        <v>8.9</v>
      </c>
      <c r="N2073" t="s">
        <v>35</v>
      </c>
      <c r="O2073">
        <v>6</v>
      </c>
      <c r="P2073" t="s">
        <v>23</v>
      </c>
      <c r="Q2073">
        <v>76.5</v>
      </c>
    </row>
    <row r="2074" spans="1:17" x14ac:dyDescent="0.35">
      <c r="A2074" s="1">
        <v>45830</v>
      </c>
      <c r="B2074" t="s">
        <v>36</v>
      </c>
      <c r="C2074" t="s">
        <v>37</v>
      </c>
      <c r="D2074" t="s">
        <v>38</v>
      </c>
      <c r="E2074" t="s">
        <v>33</v>
      </c>
      <c r="F2074">
        <v>199.22</v>
      </c>
      <c r="G2074">
        <v>179.2</v>
      </c>
      <c r="H2074">
        <v>94.27</v>
      </c>
      <c r="I2074">
        <v>93.74</v>
      </c>
      <c r="J2074">
        <v>70.19</v>
      </c>
      <c r="K2074" t="s">
        <v>34</v>
      </c>
      <c r="L2074">
        <v>7.6</v>
      </c>
      <c r="M2074">
        <v>2.2999999999999998</v>
      </c>
      <c r="N2074" t="s">
        <v>22</v>
      </c>
      <c r="O2074">
        <v>10</v>
      </c>
      <c r="P2074" t="s">
        <v>23</v>
      </c>
      <c r="Q2074">
        <v>60.8</v>
      </c>
    </row>
    <row r="2075" spans="1:17" x14ac:dyDescent="0.35">
      <c r="A2075" s="1">
        <v>45830</v>
      </c>
      <c r="B2075" t="s">
        <v>78</v>
      </c>
      <c r="C2075" t="s">
        <v>41</v>
      </c>
      <c r="D2075" t="s">
        <v>79</v>
      </c>
      <c r="E2075" t="s">
        <v>27</v>
      </c>
      <c r="F2075">
        <v>587.16999999999996</v>
      </c>
      <c r="G2075">
        <v>27.6</v>
      </c>
      <c r="H2075">
        <v>94.3</v>
      </c>
      <c r="I2075">
        <v>97.32</v>
      </c>
      <c r="J2075">
        <v>84.98</v>
      </c>
      <c r="K2075" t="s">
        <v>28</v>
      </c>
      <c r="L2075">
        <v>8.9</v>
      </c>
      <c r="M2075">
        <v>3.2</v>
      </c>
      <c r="N2075" t="s">
        <v>29</v>
      </c>
      <c r="O2075">
        <v>10</v>
      </c>
      <c r="P2075" t="s">
        <v>43</v>
      </c>
      <c r="Q2075">
        <v>62.7</v>
      </c>
    </row>
    <row r="2076" spans="1:17" x14ac:dyDescent="0.35">
      <c r="A2076" s="1">
        <v>45830</v>
      </c>
      <c r="B2076" t="s">
        <v>78</v>
      </c>
      <c r="C2076" t="s">
        <v>41</v>
      </c>
      <c r="D2076" t="s">
        <v>79</v>
      </c>
      <c r="E2076" t="s">
        <v>27</v>
      </c>
      <c r="F2076">
        <v>558.29999999999995</v>
      </c>
      <c r="G2076">
        <v>49.6</v>
      </c>
      <c r="H2076">
        <v>97.61</v>
      </c>
      <c r="I2076">
        <v>97.33</v>
      </c>
      <c r="J2076">
        <v>81.510000000000005</v>
      </c>
      <c r="K2076" t="s">
        <v>28</v>
      </c>
      <c r="L2076">
        <v>9.3000000000000007</v>
      </c>
      <c r="M2076">
        <v>1.9</v>
      </c>
      <c r="N2076" t="s">
        <v>39</v>
      </c>
      <c r="O2076">
        <v>13</v>
      </c>
      <c r="P2076" t="s">
        <v>43</v>
      </c>
      <c r="Q2076">
        <v>64.599999999999994</v>
      </c>
    </row>
    <row r="2077" spans="1:17" x14ac:dyDescent="0.35">
      <c r="A2077" s="1">
        <v>45830</v>
      </c>
      <c r="B2077" t="s">
        <v>76</v>
      </c>
      <c r="C2077" t="s">
        <v>45</v>
      </c>
      <c r="D2077" t="s">
        <v>77</v>
      </c>
      <c r="E2077" t="s">
        <v>33</v>
      </c>
      <c r="F2077">
        <v>468.24</v>
      </c>
      <c r="G2077">
        <v>248.2</v>
      </c>
      <c r="H2077">
        <v>96.94</v>
      </c>
      <c r="I2077">
        <v>98.29</v>
      </c>
      <c r="J2077">
        <v>78.47</v>
      </c>
      <c r="K2077" t="s">
        <v>34</v>
      </c>
      <c r="L2077">
        <v>9.1</v>
      </c>
      <c r="M2077">
        <v>4.4000000000000004</v>
      </c>
      <c r="N2077" t="s">
        <v>35</v>
      </c>
      <c r="O2077">
        <v>10</v>
      </c>
      <c r="P2077" t="s">
        <v>23</v>
      </c>
      <c r="Q2077">
        <v>64.5</v>
      </c>
    </row>
    <row r="2078" spans="1:17" x14ac:dyDescent="0.35">
      <c r="A2078" s="1">
        <v>45830</v>
      </c>
      <c r="B2078" t="s">
        <v>48</v>
      </c>
      <c r="C2078" t="s">
        <v>49</v>
      </c>
      <c r="D2078" t="s">
        <v>50</v>
      </c>
      <c r="E2078" t="s">
        <v>33</v>
      </c>
      <c r="F2078">
        <v>250.89</v>
      </c>
      <c r="G2078">
        <v>197.5</v>
      </c>
      <c r="H2078">
        <v>97.03</v>
      </c>
      <c r="I2078">
        <v>93.01</v>
      </c>
      <c r="J2078">
        <v>72.739999999999995</v>
      </c>
      <c r="K2078" t="s">
        <v>34</v>
      </c>
      <c r="L2078">
        <v>7.2</v>
      </c>
      <c r="M2078">
        <v>3.1</v>
      </c>
      <c r="N2078" t="s">
        <v>22</v>
      </c>
      <c r="O2078">
        <v>5</v>
      </c>
      <c r="P2078" t="s">
        <v>23</v>
      </c>
      <c r="Q2078">
        <v>60.4</v>
      </c>
    </row>
    <row r="2079" spans="1:17" x14ac:dyDescent="0.35">
      <c r="A2079" s="1">
        <v>45830</v>
      </c>
      <c r="B2079" t="s">
        <v>93</v>
      </c>
      <c r="C2079" t="s">
        <v>37</v>
      </c>
      <c r="D2079" t="s">
        <v>94</v>
      </c>
      <c r="E2079" t="s">
        <v>33</v>
      </c>
      <c r="F2079">
        <v>355.18</v>
      </c>
      <c r="G2079">
        <v>174.6</v>
      </c>
      <c r="H2079">
        <v>97.23</v>
      </c>
      <c r="I2079">
        <v>94.87</v>
      </c>
      <c r="J2079">
        <v>78.44</v>
      </c>
      <c r="K2079" t="s">
        <v>47</v>
      </c>
      <c r="L2079">
        <v>7.1</v>
      </c>
      <c r="M2079">
        <v>1.8</v>
      </c>
      <c r="N2079" t="s">
        <v>22</v>
      </c>
      <c r="O2079">
        <v>10</v>
      </c>
      <c r="P2079" t="s">
        <v>23</v>
      </c>
      <c r="Q2079">
        <v>62.4</v>
      </c>
    </row>
    <row r="2080" spans="1:17" x14ac:dyDescent="0.35">
      <c r="A2080" s="1">
        <v>45830</v>
      </c>
      <c r="B2080" t="s">
        <v>97</v>
      </c>
      <c r="C2080" t="s">
        <v>72</v>
      </c>
      <c r="D2080" t="s">
        <v>98</v>
      </c>
      <c r="E2080" t="s">
        <v>33</v>
      </c>
      <c r="F2080">
        <v>245.72</v>
      </c>
      <c r="G2080">
        <v>122.6</v>
      </c>
      <c r="H2080">
        <v>92.52</v>
      </c>
      <c r="I2080">
        <v>96.06</v>
      </c>
      <c r="J2080">
        <v>74.38</v>
      </c>
      <c r="K2080" t="s">
        <v>34</v>
      </c>
      <c r="L2080">
        <v>8.1999999999999993</v>
      </c>
      <c r="M2080">
        <v>1.6</v>
      </c>
      <c r="N2080" t="s">
        <v>35</v>
      </c>
      <c r="O2080">
        <v>6</v>
      </c>
      <c r="P2080" t="s">
        <v>43</v>
      </c>
      <c r="Q2080">
        <v>62.2</v>
      </c>
    </row>
    <row r="2081" spans="1:17" x14ac:dyDescent="0.35">
      <c r="A2081" s="1">
        <v>45830</v>
      </c>
      <c r="B2081" t="s">
        <v>78</v>
      </c>
      <c r="C2081" t="s">
        <v>41</v>
      </c>
      <c r="D2081" t="s">
        <v>79</v>
      </c>
      <c r="E2081" t="s">
        <v>27</v>
      </c>
      <c r="F2081">
        <v>423.6</v>
      </c>
      <c r="G2081">
        <v>71.599999999999994</v>
      </c>
      <c r="H2081">
        <v>97.2</v>
      </c>
      <c r="I2081">
        <v>96.43</v>
      </c>
      <c r="J2081">
        <v>83.3</v>
      </c>
      <c r="K2081" t="s">
        <v>28</v>
      </c>
      <c r="L2081">
        <v>8.1999999999999993</v>
      </c>
      <c r="M2081">
        <v>3.5</v>
      </c>
      <c r="N2081" t="s">
        <v>39</v>
      </c>
      <c r="O2081">
        <v>12</v>
      </c>
      <c r="P2081" t="s">
        <v>43</v>
      </c>
      <c r="Q2081">
        <v>62.2</v>
      </c>
    </row>
    <row r="2082" spans="1:17" x14ac:dyDescent="0.35">
      <c r="A2082" s="1">
        <v>45830</v>
      </c>
      <c r="B2082" t="s">
        <v>59</v>
      </c>
      <c r="C2082" t="s">
        <v>60</v>
      </c>
      <c r="D2082" t="s">
        <v>61</v>
      </c>
      <c r="E2082" t="s">
        <v>62</v>
      </c>
      <c r="F2082">
        <v>394.1</v>
      </c>
      <c r="G2082">
        <v>178.7</v>
      </c>
      <c r="H2082">
        <v>87.79</v>
      </c>
      <c r="I2082">
        <v>93.82</v>
      </c>
      <c r="J2082">
        <v>87.66</v>
      </c>
      <c r="K2082" t="s">
        <v>63</v>
      </c>
      <c r="L2082">
        <v>7.1</v>
      </c>
      <c r="N2082" t="s">
        <v>35</v>
      </c>
      <c r="O2082">
        <v>4</v>
      </c>
      <c r="P2082" t="s">
        <v>43</v>
      </c>
      <c r="Q2082">
        <v>72.099999999999994</v>
      </c>
    </row>
    <row r="2083" spans="1:17" x14ac:dyDescent="0.35">
      <c r="A2083" s="1">
        <v>45831</v>
      </c>
      <c r="B2083" t="s">
        <v>24</v>
      </c>
      <c r="C2083" t="s">
        <v>25</v>
      </c>
      <c r="D2083" t="s">
        <v>26</v>
      </c>
      <c r="E2083" t="s">
        <v>27</v>
      </c>
      <c r="F2083">
        <v>365.3</v>
      </c>
      <c r="G2083">
        <v>45.6</v>
      </c>
      <c r="H2083">
        <v>95.1</v>
      </c>
      <c r="I2083">
        <v>98.04</v>
      </c>
      <c r="J2083">
        <v>80.290000000000006</v>
      </c>
      <c r="K2083" t="s">
        <v>34</v>
      </c>
      <c r="L2083">
        <v>8.3000000000000007</v>
      </c>
      <c r="M2083">
        <v>2.7</v>
      </c>
      <c r="N2083" t="s">
        <v>39</v>
      </c>
      <c r="O2083">
        <v>10</v>
      </c>
      <c r="P2083" t="s">
        <v>30</v>
      </c>
      <c r="Q2083">
        <v>61.8</v>
      </c>
    </row>
    <row r="2084" spans="1:17" x14ac:dyDescent="0.35">
      <c r="A2084" s="1">
        <v>45831</v>
      </c>
      <c r="B2084" t="s">
        <v>44</v>
      </c>
      <c r="C2084" t="s">
        <v>45</v>
      </c>
      <c r="D2084" t="s">
        <v>46</v>
      </c>
      <c r="E2084" t="s">
        <v>27</v>
      </c>
      <c r="F2084">
        <v>290.02999999999997</v>
      </c>
      <c r="G2084">
        <v>387.7</v>
      </c>
      <c r="H2084">
        <v>96.49</v>
      </c>
      <c r="I2084">
        <v>98.85</v>
      </c>
      <c r="J2084">
        <v>77.89</v>
      </c>
      <c r="K2084" t="s">
        <v>47</v>
      </c>
      <c r="L2084">
        <v>7.7</v>
      </c>
      <c r="M2084">
        <v>2.6</v>
      </c>
      <c r="N2084" t="s">
        <v>29</v>
      </c>
      <c r="O2084">
        <v>12</v>
      </c>
      <c r="P2084" t="s">
        <v>23</v>
      </c>
      <c r="Q2084">
        <v>63.3</v>
      </c>
    </row>
    <row r="2085" spans="1:17" x14ac:dyDescent="0.35">
      <c r="A2085" s="1">
        <v>45831</v>
      </c>
      <c r="B2085" t="s">
        <v>95</v>
      </c>
      <c r="C2085" t="s">
        <v>49</v>
      </c>
      <c r="D2085" t="s">
        <v>96</v>
      </c>
      <c r="E2085" t="s">
        <v>33</v>
      </c>
      <c r="F2085">
        <v>284.01</v>
      </c>
      <c r="G2085">
        <v>107.2</v>
      </c>
      <c r="H2085">
        <v>95.61</v>
      </c>
      <c r="I2085">
        <v>96.36</v>
      </c>
      <c r="J2085">
        <v>74.7</v>
      </c>
      <c r="K2085" t="s">
        <v>34</v>
      </c>
      <c r="L2085">
        <v>7.1</v>
      </c>
      <c r="M2085">
        <v>3.1</v>
      </c>
      <c r="N2085" t="s">
        <v>22</v>
      </c>
      <c r="O2085">
        <v>9</v>
      </c>
      <c r="P2085" t="s">
        <v>43</v>
      </c>
      <c r="Q2085">
        <v>59.7</v>
      </c>
    </row>
    <row r="2086" spans="1:17" x14ac:dyDescent="0.35">
      <c r="A2086" s="1">
        <v>45831</v>
      </c>
      <c r="B2086" t="s">
        <v>95</v>
      </c>
      <c r="C2086" t="s">
        <v>49</v>
      </c>
      <c r="D2086" t="s">
        <v>96</v>
      </c>
      <c r="E2086" t="s">
        <v>33</v>
      </c>
      <c r="F2086">
        <v>204.84</v>
      </c>
      <c r="G2086">
        <v>228.1</v>
      </c>
      <c r="H2086">
        <v>97.27</v>
      </c>
      <c r="I2086">
        <v>96.33</v>
      </c>
      <c r="J2086">
        <v>73.08</v>
      </c>
      <c r="K2086" t="s">
        <v>47</v>
      </c>
      <c r="L2086">
        <v>7.4</v>
      </c>
      <c r="M2086">
        <v>3.5</v>
      </c>
      <c r="N2086" t="s">
        <v>35</v>
      </c>
      <c r="O2086">
        <v>10</v>
      </c>
      <c r="P2086" t="s">
        <v>23</v>
      </c>
      <c r="Q2086">
        <v>61.1</v>
      </c>
    </row>
    <row r="2087" spans="1:17" x14ac:dyDescent="0.35">
      <c r="A2087" s="1">
        <v>45831</v>
      </c>
      <c r="B2087" t="s">
        <v>24</v>
      </c>
      <c r="C2087" t="s">
        <v>25</v>
      </c>
      <c r="D2087" t="s">
        <v>26</v>
      </c>
      <c r="E2087" t="s">
        <v>27</v>
      </c>
      <c r="F2087">
        <v>263.82</v>
      </c>
      <c r="G2087">
        <v>38.700000000000003</v>
      </c>
      <c r="H2087">
        <v>92.66</v>
      </c>
      <c r="I2087">
        <v>96.03</v>
      </c>
      <c r="J2087">
        <v>83.31</v>
      </c>
      <c r="K2087" t="s">
        <v>47</v>
      </c>
      <c r="L2087">
        <v>7.2</v>
      </c>
      <c r="M2087">
        <v>4.2</v>
      </c>
      <c r="N2087" t="s">
        <v>29</v>
      </c>
      <c r="O2087">
        <v>8</v>
      </c>
      <c r="P2087" t="s">
        <v>30</v>
      </c>
      <c r="Q2087">
        <v>58.6</v>
      </c>
    </row>
    <row r="2088" spans="1:17" x14ac:dyDescent="0.35">
      <c r="A2088" s="1">
        <v>45831</v>
      </c>
      <c r="B2088" t="s">
        <v>17</v>
      </c>
      <c r="C2088" t="s">
        <v>18</v>
      </c>
      <c r="D2088" t="s">
        <v>19</v>
      </c>
      <c r="E2088" t="s">
        <v>20</v>
      </c>
      <c r="F2088">
        <v>208.78</v>
      </c>
      <c r="G2088">
        <v>168.6</v>
      </c>
      <c r="H2088">
        <v>92.31</v>
      </c>
      <c r="I2088">
        <v>93.4</v>
      </c>
      <c r="J2088">
        <v>72.849999999999994</v>
      </c>
      <c r="K2088" t="s">
        <v>58</v>
      </c>
      <c r="L2088">
        <v>7.4</v>
      </c>
      <c r="N2088" t="s">
        <v>35</v>
      </c>
      <c r="O2088">
        <v>6</v>
      </c>
      <c r="P2088" t="s">
        <v>23</v>
      </c>
      <c r="Q2088">
        <v>70.5</v>
      </c>
    </row>
    <row r="2089" spans="1:17" x14ac:dyDescent="0.35">
      <c r="A2089" s="1">
        <v>45831</v>
      </c>
      <c r="B2089" t="s">
        <v>71</v>
      </c>
      <c r="C2089" t="s">
        <v>72</v>
      </c>
      <c r="D2089" t="s">
        <v>73</v>
      </c>
      <c r="E2089" t="s">
        <v>27</v>
      </c>
      <c r="F2089">
        <v>273.31</v>
      </c>
      <c r="G2089">
        <v>43.2</v>
      </c>
      <c r="H2089">
        <v>93.92</v>
      </c>
      <c r="I2089">
        <v>96.32</v>
      </c>
      <c r="J2089">
        <v>76.34</v>
      </c>
      <c r="K2089" t="s">
        <v>34</v>
      </c>
      <c r="L2089">
        <v>8.5</v>
      </c>
      <c r="M2089">
        <v>3.9</v>
      </c>
      <c r="N2089" t="s">
        <v>39</v>
      </c>
      <c r="O2089">
        <v>10</v>
      </c>
      <c r="P2089" t="s">
        <v>23</v>
      </c>
      <c r="Q2089">
        <v>60.2</v>
      </c>
    </row>
    <row r="2090" spans="1:17" x14ac:dyDescent="0.35">
      <c r="A2090" s="1">
        <v>45831</v>
      </c>
      <c r="B2090" t="s">
        <v>66</v>
      </c>
      <c r="C2090" t="s">
        <v>67</v>
      </c>
      <c r="D2090" t="s">
        <v>68</v>
      </c>
      <c r="E2090" t="s">
        <v>27</v>
      </c>
      <c r="F2090">
        <v>541.07000000000005</v>
      </c>
      <c r="G2090">
        <v>35.6</v>
      </c>
      <c r="H2090">
        <v>92.93</v>
      </c>
      <c r="I2090">
        <v>95.73</v>
      </c>
      <c r="J2090">
        <v>82.17</v>
      </c>
      <c r="K2090" t="s">
        <v>28</v>
      </c>
      <c r="L2090">
        <v>9</v>
      </c>
      <c r="M2090">
        <v>4.3</v>
      </c>
      <c r="N2090" t="s">
        <v>39</v>
      </c>
      <c r="O2090">
        <v>11</v>
      </c>
      <c r="P2090" t="s">
        <v>43</v>
      </c>
      <c r="Q2090">
        <v>61.3</v>
      </c>
    </row>
    <row r="2091" spans="1:17" x14ac:dyDescent="0.35">
      <c r="A2091" s="1">
        <v>45831</v>
      </c>
      <c r="B2091" t="s">
        <v>74</v>
      </c>
      <c r="C2091" t="s">
        <v>67</v>
      </c>
      <c r="D2091" t="s">
        <v>75</v>
      </c>
      <c r="E2091" t="s">
        <v>27</v>
      </c>
      <c r="F2091">
        <v>471.03</v>
      </c>
      <c r="G2091">
        <v>54.9</v>
      </c>
      <c r="H2091">
        <v>94.44</v>
      </c>
      <c r="I2091">
        <v>94.32</v>
      </c>
      <c r="J2091">
        <v>75.89</v>
      </c>
      <c r="K2091" t="s">
        <v>34</v>
      </c>
      <c r="L2091">
        <v>9.1999999999999993</v>
      </c>
      <c r="M2091">
        <v>2</v>
      </c>
      <c r="N2091" t="s">
        <v>39</v>
      </c>
      <c r="O2091">
        <v>12</v>
      </c>
      <c r="P2091" t="s">
        <v>43</v>
      </c>
      <c r="Q2091">
        <v>62.5</v>
      </c>
    </row>
    <row r="2092" spans="1:17" x14ac:dyDescent="0.35">
      <c r="A2092" s="1">
        <v>45831</v>
      </c>
      <c r="B2092" t="s">
        <v>101</v>
      </c>
      <c r="C2092" t="s">
        <v>45</v>
      </c>
      <c r="D2092" t="s">
        <v>102</v>
      </c>
      <c r="E2092" t="s">
        <v>27</v>
      </c>
      <c r="F2092">
        <v>570.91999999999996</v>
      </c>
      <c r="G2092">
        <v>2027.9</v>
      </c>
      <c r="H2092">
        <v>97.13</v>
      </c>
      <c r="I2092">
        <v>98.47</v>
      </c>
      <c r="J2092">
        <v>83.38</v>
      </c>
      <c r="K2092" t="s">
        <v>88</v>
      </c>
      <c r="L2092">
        <v>8.9</v>
      </c>
      <c r="M2092">
        <v>3</v>
      </c>
      <c r="N2092" t="s">
        <v>39</v>
      </c>
      <c r="O2092">
        <v>9</v>
      </c>
      <c r="P2092" t="s">
        <v>23</v>
      </c>
      <c r="Q2092">
        <v>66</v>
      </c>
    </row>
    <row r="2093" spans="1:17" x14ac:dyDescent="0.35">
      <c r="A2093" s="1">
        <v>45831</v>
      </c>
      <c r="B2093" t="s">
        <v>40</v>
      </c>
      <c r="C2093" t="s">
        <v>41</v>
      </c>
      <c r="D2093" t="s">
        <v>42</v>
      </c>
      <c r="E2093" t="s">
        <v>27</v>
      </c>
      <c r="F2093">
        <v>390.94</v>
      </c>
      <c r="G2093">
        <v>39.299999999999997</v>
      </c>
      <c r="H2093">
        <v>92.25</v>
      </c>
      <c r="I2093">
        <v>96.76</v>
      </c>
      <c r="J2093">
        <v>84.54</v>
      </c>
      <c r="K2093" t="s">
        <v>47</v>
      </c>
      <c r="L2093">
        <v>7.6</v>
      </c>
      <c r="M2093">
        <v>2.2000000000000002</v>
      </c>
      <c r="N2093" t="s">
        <v>39</v>
      </c>
      <c r="O2093">
        <v>10</v>
      </c>
      <c r="P2093" t="s">
        <v>43</v>
      </c>
      <c r="Q2093">
        <v>60.9</v>
      </c>
    </row>
    <row r="2094" spans="1:17" x14ac:dyDescent="0.35">
      <c r="A2094" s="1">
        <v>45831</v>
      </c>
      <c r="B2094" t="s">
        <v>66</v>
      </c>
      <c r="C2094" t="s">
        <v>67</v>
      </c>
      <c r="D2094" t="s">
        <v>68</v>
      </c>
      <c r="E2094" t="s">
        <v>27</v>
      </c>
      <c r="F2094">
        <v>742.53</v>
      </c>
      <c r="G2094">
        <v>64.2</v>
      </c>
      <c r="H2094">
        <v>94.82</v>
      </c>
      <c r="I2094">
        <v>94.95</v>
      </c>
      <c r="J2094">
        <v>82.57</v>
      </c>
      <c r="K2094" t="s">
        <v>28</v>
      </c>
      <c r="L2094">
        <v>8.9</v>
      </c>
      <c r="M2094">
        <v>3.5</v>
      </c>
      <c r="N2094" t="s">
        <v>39</v>
      </c>
      <c r="O2094">
        <v>10</v>
      </c>
      <c r="P2094" t="s">
        <v>23</v>
      </c>
      <c r="Q2094">
        <v>62.5</v>
      </c>
    </row>
    <row r="2095" spans="1:17" x14ac:dyDescent="0.35">
      <c r="A2095" s="1">
        <v>45831</v>
      </c>
      <c r="B2095" t="s">
        <v>59</v>
      </c>
      <c r="C2095" t="s">
        <v>60</v>
      </c>
      <c r="D2095" t="s">
        <v>61</v>
      </c>
      <c r="E2095" t="s">
        <v>62</v>
      </c>
      <c r="F2095">
        <v>374.05</v>
      </c>
      <c r="G2095">
        <v>169</v>
      </c>
      <c r="H2095">
        <v>91.6</v>
      </c>
      <c r="I2095">
        <v>96.35</v>
      </c>
      <c r="J2095">
        <v>91.1</v>
      </c>
      <c r="K2095" t="s">
        <v>63</v>
      </c>
      <c r="L2095">
        <v>8</v>
      </c>
      <c r="N2095" t="s">
        <v>35</v>
      </c>
      <c r="O2095">
        <v>6</v>
      </c>
      <c r="P2095" t="s">
        <v>23</v>
      </c>
      <c r="Q2095">
        <v>75.8</v>
      </c>
    </row>
    <row r="2096" spans="1:17" x14ac:dyDescent="0.35">
      <c r="A2096" s="1">
        <v>45831</v>
      </c>
      <c r="B2096" t="s">
        <v>93</v>
      </c>
      <c r="C2096" t="s">
        <v>37</v>
      </c>
      <c r="D2096" t="s">
        <v>94</v>
      </c>
      <c r="E2096" t="s">
        <v>33</v>
      </c>
      <c r="F2096">
        <v>203.84</v>
      </c>
      <c r="G2096">
        <v>135.80000000000001</v>
      </c>
      <c r="H2096">
        <v>94.52</v>
      </c>
      <c r="I2096">
        <v>96.85</v>
      </c>
      <c r="J2096">
        <v>71</v>
      </c>
      <c r="K2096" t="s">
        <v>34</v>
      </c>
      <c r="L2096">
        <v>8.4</v>
      </c>
      <c r="M2096">
        <v>4.4000000000000004</v>
      </c>
      <c r="N2096" t="s">
        <v>35</v>
      </c>
      <c r="O2096">
        <v>10</v>
      </c>
      <c r="P2096" t="s">
        <v>23</v>
      </c>
      <c r="Q2096">
        <v>60.8</v>
      </c>
    </row>
    <row r="2097" spans="1:17" x14ac:dyDescent="0.35">
      <c r="A2097" s="1">
        <v>45831</v>
      </c>
      <c r="B2097" t="s">
        <v>53</v>
      </c>
      <c r="C2097" t="s">
        <v>41</v>
      </c>
      <c r="D2097" t="s">
        <v>54</v>
      </c>
      <c r="E2097" t="s">
        <v>27</v>
      </c>
      <c r="F2097">
        <v>444.87</v>
      </c>
      <c r="G2097">
        <v>49.2</v>
      </c>
      <c r="H2097">
        <v>96.12</v>
      </c>
      <c r="I2097">
        <v>96.38</v>
      </c>
      <c r="J2097">
        <v>83.11</v>
      </c>
      <c r="K2097" t="s">
        <v>34</v>
      </c>
      <c r="L2097">
        <v>8.1</v>
      </c>
      <c r="M2097">
        <v>2.4</v>
      </c>
      <c r="N2097" t="s">
        <v>39</v>
      </c>
      <c r="O2097">
        <v>14</v>
      </c>
      <c r="P2097" t="s">
        <v>43</v>
      </c>
      <c r="Q2097">
        <v>62.1</v>
      </c>
    </row>
    <row r="2098" spans="1:17" x14ac:dyDescent="0.35">
      <c r="A2098" s="1">
        <v>45831</v>
      </c>
      <c r="B2098" t="s">
        <v>48</v>
      </c>
      <c r="C2098" t="s">
        <v>49</v>
      </c>
      <c r="D2098" t="s">
        <v>50</v>
      </c>
      <c r="E2098" t="s">
        <v>33</v>
      </c>
      <c r="F2098">
        <v>245.5</v>
      </c>
      <c r="G2098">
        <v>179.6</v>
      </c>
      <c r="H2098">
        <v>94.74</v>
      </c>
      <c r="I2098">
        <v>94.67</v>
      </c>
      <c r="J2098">
        <v>78.92</v>
      </c>
      <c r="K2098" t="s">
        <v>28</v>
      </c>
      <c r="L2098">
        <v>7.7</v>
      </c>
      <c r="M2098">
        <v>4.0999999999999996</v>
      </c>
      <c r="N2098" t="s">
        <v>35</v>
      </c>
      <c r="O2098">
        <v>10</v>
      </c>
      <c r="P2098" t="s">
        <v>43</v>
      </c>
      <c r="Q2098">
        <v>61.5</v>
      </c>
    </row>
    <row r="2099" spans="1:17" x14ac:dyDescent="0.35">
      <c r="A2099" s="1">
        <v>45831</v>
      </c>
      <c r="B2099" t="s">
        <v>59</v>
      </c>
      <c r="C2099" t="s">
        <v>60</v>
      </c>
      <c r="D2099" t="s">
        <v>61</v>
      </c>
      <c r="E2099" t="s">
        <v>62</v>
      </c>
      <c r="F2099">
        <v>331.76</v>
      </c>
      <c r="G2099">
        <v>191.2</v>
      </c>
      <c r="H2099">
        <v>85.26</v>
      </c>
      <c r="I2099">
        <v>95.13</v>
      </c>
      <c r="J2099">
        <v>88.69</v>
      </c>
      <c r="K2099" t="s">
        <v>34</v>
      </c>
      <c r="L2099">
        <v>8</v>
      </c>
      <c r="N2099" t="s">
        <v>35</v>
      </c>
      <c r="O2099">
        <v>3</v>
      </c>
      <c r="P2099" t="s">
        <v>23</v>
      </c>
      <c r="Q2099">
        <v>73.8</v>
      </c>
    </row>
    <row r="2100" spans="1:17" x14ac:dyDescent="0.35">
      <c r="A2100" s="1">
        <v>45831</v>
      </c>
      <c r="B2100" t="s">
        <v>36</v>
      </c>
      <c r="C2100" t="s">
        <v>37</v>
      </c>
      <c r="D2100" t="s">
        <v>38</v>
      </c>
      <c r="E2100" t="s">
        <v>33</v>
      </c>
      <c r="F2100">
        <v>456.79</v>
      </c>
      <c r="G2100">
        <v>175.7</v>
      </c>
      <c r="H2100">
        <v>94.59</v>
      </c>
      <c r="I2100">
        <v>95.54</v>
      </c>
      <c r="J2100">
        <v>71.849999999999994</v>
      </c>
      <c r="K2100" t="s">
        <v>28</v>
      </c>
      <c r="L2100">
        <v>9</v>
      </c>
      <c r="M2100">
        <v>2.1</v>
      </c>
      <c r="N2100" t="s">
        <v>22</v>
      </c>
      <c r="O2100">
        <v>9</v>
      </c>
      <c r="P2100" t="s">
        <v>23</v>
      </c>
      <c r="Q2100">
        <v>63.9</v>
      </c>
    </row>
    <row r="2101" spans="1:17" x14ac:dyDescent="0.35">
      <c r="A2101" s="1">
        <v>45831</v>
      </c>
      <c r="B2101" t="s">
        <v>36</v>
      </c>
      <c r="C2101" t="s">
        <v>37</v>
      </c>
      <c r="D2101" t="s">
        <v>38</v>
      </c>
      <c r="E2101" t="s">
        <v>27</v>
      </c>
      <c r="F2101">
        <v>348.49</v>
      </c>
      <c r="G2101">
        <v>57.9</v>
      </c>
      <c r="H2101">
        <v>94.44</v>
      </c>
      <c r="I2101">
        <v>93.1</v>
      </c>
      <c r="J2101">
        <v>77.849999999999994</v>
      </c>
      <c r="K2101" t="s">
        <v>47</v>
      </c>
      <c r="L2101">
        <v>8.1</v>
      </c>
      <c r="M2101">
        <v>4.5</v>
      </c>
      <c r="N2101" t="s">
        <v>39</v>
      </c>
      <c r="O2101">
        <v>9</v>
      </c>
      <c r="P2101" t="s">
        <v>23</v>
      </c>
      <c r="Q2101">
        <v>59.2</v>
      </c>
    </row>
    <row r="2102" spans="1:17" x14ac:dyDescent="0.35">
      <c r="A2102" s="1">
        <v>45831</v>
      </c>
      <c r="B2102" t="s">
        <v>78</v>
      </c>
      <c r="C2102" t="s">
        <v>41</v>
      </c>
      <c r="D2102" t="s">
        <v>79</v>
      </c>
      <c r="E2102" t="s">
        <v>27</v>
      </c>
      <c r="F2102">
        <v>262.36</v>
      </c>
      <c r="G2102">
        <v>27.8</v>
      </c>
      <c r="H2102">
        <v>92.26</v>
      </c>
      <c r="I2102">
        <v>96.87</v>
      </c>
      <c r="J2102">
        <v>81.55</v>
      </c>
      <c r="K2102" t="s">
        <v>47</v>
      </c>
      <c r="L2102">
        <v>8.5</v>
      </c>
      <c r="M2102">
        <v>2</v>
      </c>
      <c r="N2102" t="s">
        <v>29</v>
      </c>
      <c r="O2102">
        <v>9</v>
      </c>
      <c r="P2102" t="s">
        <v>43</v>
      </c>
      <c r="Q2102">
        <v>61.8</v>
      </c>
    </row>
    <row r="2103" spans="1:17" x14ac:dyDescent="0.35">
      <c r="A2103" s="1">
        <v>45831</v>
      </c>
      <c r="B2103" t="s">
        <v>36</v>
      </c>
      <c r="C2103" t="s">
        <v>37</v>
      </c>
      <c r="D2103" t="s">
        <v>38</v>
      </c>
      <c r="E2103" t="s">
        <v>27</v>
      </c>
      <c r="F2103">
        <v>453.87</v>
      </c>
      <c r="G2103">
        <v>62.4</v>
      </c>
      <c r="H2103">
        <v>92.63</v>
      </c>
      <c r="I2103">
        <v>96.84</v>
      </c>
      <c r="J2103">
        <v>81.36</v>
      </c>
      <c r="K2103" t="s">
        <v>34</v>
      </c>
      <c r="L2103">
        <v>9.1</v>
      </c>
      <c r="M2103">
        <v>3</v>
      </c>
      <c r="N2103" t="s">
        <v>39</v>
      </c>
      <c r="O2103">
        <v>12</v>
      </c>
      <c r="P2103" t="s">
        <v>23</v>
      </c>
      <c r="Q2103">
        <v>62.9</v>
      </c>
    </row>
    <row r="2104" spans="1:17" x14ac:dyDescent="0.35">
      <c r="A2104" s="1">
        <v>45831</v>
      </c>
      <c r="B2104" t="s">
        <v>80</v>
      </c>
      <c r="C2104" t="s">
        <v>45</v>
      </c>
      <c r="D2104" t="s">
        <v>81</v>
      </c>
      <c r="E2104" t="s">
        <v>33</v>
      </c>
      <c r="F2104">
        <v>719.68</v>
      </c>
      <c r="G2104">
        <v>526.20000000000005</v>
      </c>
      <c r="H2104">
        <v>94.07</v>
      </c>
      <c r="I2104">
        <v>98.83</v>
      </c>
      <c r="J2104">
        <v>70.92</v>
      </c>
      <c r="K2104" t="s">
        <v>34</v>
      </c>
      <c r="L2104">
        <v>9.1</v>
      </c>
      <c r="M2104">
        <v>4.4000000000000004</v>
      </c>
      <c r="N2104" t="s">
        <v>22</v>
      </c>
      <c r="O2104">
        <v>5</v>
      </c>
      <c r="P2104" t="s">
        <v>23</v>
      </c>
      <c r="Q2104">
        <v>62.9</v>
      </c>
    </row>
    <row r="2105" spans="1:17" x14ac:dyDescent="0.35">
      <c r="A2105" s="1">
        <v>45831</v>
      </c>
      <c r="B2105" t="s">
        <v>24</v>
      </c>
      <c r="C2105" t="s">
        <v>25</v>
      </c>
      <c r="D2105" t="s">
        <v>26</v>
      </c>
      <c r="E2105" t="s">
        <v>27</v>
      </c>
      <c r="F2105">
        <v>221.11</v>
      </c>
      <c r="G2105">
        <v>68.599999999999994</v>
      </c>
      <c r="H2105">
        <v>97.41</v>
      </c>
      <c r="I2105">
        <v>96.81</v>
      </c>
      <c r="J2105">
        <v>75.430000000000007</v>
      </c>
      <c r="K2105" t="s">
        <v>28</v>
      </c>
      <c r="L2105">
        <v>8</v>
      </c>
      <c r="M2105">
        <v>4.0999999999999996</v>
      </c>
      <c r="N2105" t="s">
        <v>39</v>
      </c>
      <c r="O2105">
        <v>9</v>
      </c>
      <c r="P2105" t="s">
        <v>30</v>
      </c>
      <c r="Q2105">
        <v>60.2</v>
      </c>
    </row>
    <row r="2106" spans="1:17" x14ac:dyDescent="0.35">
      <c r="A2106" s="1">
        <v>45831</v>
      </c>
      <c r="B2106" t="s">
        <v>44</v>
      </c>
      <c r="C2106" t="s">
        <v>45</v>
      </c>
      <c r="D2106" t="s">
        <v>46</v>
      </c>
      <c r="E2106" t="s">
        <v>27</v>
      </c>
      <c r="F2106">
        <v>715.83</v>
      </c>
      <c r="G2106">
        <v>327.5</v>
      </c>
      <c r="H2106">
        <v>97.41</v>
      </c>
      <c r="I2106">
        <v>99.18</v>
      </c>
      <c r="J2106">
        <v>84</v>
      </c>
      <c r="K2106" t="s">
        <v>34</v>
      </c>
      <c r="L2106">
        <v>9.3000000000000007</v>
      </c>
      <c r="M2106">
        <v>1.7</v>
      </c>
      <c r="N2106" t="s">
        <v>29</v>
      </c>
      <c r="O2106">
        <v>14</v>
      </c>
      <c r="P2106" t="s">
        <v>23</v>
      </c>
      <c r="Q2106">
        <v>67.8</v>
      </c>
    </row>
    <row r="2107" spans="1:17" x14ac:dyDescent="0.35">
      <c r="A2107" s="1">
        <v>45831</v>
      </c>
      <c r="B2107" t="s">
        <v>31</v>
      </c>
      <c r="C2107" t="s">
        <v>18</v>
      </c>
      <c r="D2107" t="s">
        <v>32</v>
      </c>
      <c r="E2107" t="s">
        <v>27</v>
      </c>
      <c r="F2107">
        <v>318.95999999999998</v>
      </c>
      <c r="G2107">
        <v>37.4</v>
      </c>
      <c r="H2107">
        <v>96.56</v>
      </c>
      <c r="I2107">
        <v>93.97</v>
      </c>
      <c r="J2107">
        <v>78.739999999999995</v>
      </c>
      <c r="K2107" t="s">
        <v>28</v>
      </c>
      <c r="L2107">
        <v>7.5</v>
      </c>
      <c r="M2107">
        <v>1.7</v>
      </c>
      <c r="N2107" t="s">
        <v>29</v>
      </c>
      <c r="O2107">
        <v>8</v>
      </c>
      <c r="P2107" t="s">
        <v>23</v>
      </c>
      <c r="Q2107">
        <v>60.3</v>
      </c>
    </row>
    <row r="2108" spans="1:17" x14ac:dyDescent="0.35">
      <c r="A2108" s="1">
        <v>45831</v>
      </c>
      <c r="B2108" t="s">
        <v>82</v>
      </c>
      <c r="C2108" t="s">
        <v>72</v>
      </c>
      <c r="D2108" t="s">
        <v>83</v>
      </c>
      <c r="E2108" t="s">
        <v>20</v>
      </c>
      <c r="F2108">
        <v>254.75</v>
      </c>
      <c r="G2108">
        <v>166.2</v>
      </c>
      <c r="H2108">
        <v>94.26</v>
      </c>
      <c r="I2108">
        <v>93.79</v>
      </c>
      <c r="J2108">
        <v>77.23</v>
      </c>
      <c r="K2108" t="s">
        <v>21</v>
      </c>
      <c r="L2108">
        <v>7.9</v>
      </c>
      <c r="N2108" t="s">
        <v>35</v>
      </c>
      <c r="O2108">
        <v>10</v>
      </c>
      <c r="P2108" t="s">
        <v>23</v>
      </c>
      <c r="Q2108">
        <v>72.8</v>
      </c>
    </row>
    <row r="2109" spans="1:17" x14ac:dyDescent="0.35">
      <c r="A2109" s="1">
        <v>45831</v>
      </c>
      <c r="B2109" t="s">
        <v>55</v>
      </c>
      <c r="C2109" t="s">
        <v>56</v>
      </c>
      <c r="D2109">
        <v>4</v>
      </c>
      <c r="E2109" t="s">
        <v>57</v>
      </c>
      <c r="F2109">
        <v>30</v>
      </c>
      <c r="G2109">
        <v>121.9</v>
      </c>
      <c r="H2109">
        <v>90.25</v>
      </c>
      <c r="I2109">
        <v>96.04</v>
      </c>
      <c r="J2109">
        <v>74.58</v>
      </c>
      <c r="K2109" t="s">
        <v>58</v>
      </c>
      <c r="L2109">
        <v>6.7</v>
      </c>
      <c r="N2109" t="s">
        <v>35</v>
      </c>
      <c r="O2109">
        <v>2</v>
      </c>
      <c r="P2109" t="s">
        <v>43</v>
      </c>
      <c r="Q2109">
        <v>68.5</v>
      </c>
    </row>
    <row r="2110" spans="1:17" x14ac:dyDescent="0.35">
      <c r="A2110" s="1">
        <v>45831</v>
      </c>
      <c r="B2110" t="s">
        <v>31</v>
      </c>
      <c r="C2110" t="s">
        <v>18</v>
      </c>
      <c r="D2110" t="s">
        <v>32</v>
      </c>
      <c r="E2110" t="s">
        <v>27</v>
      </c>
      <c r="F2110">
        <v>264.72000000000003</v>
      </c>
      <c r="G2110">
        <v>69.3</v>
      </c>
      <c r="H2110">
        <v>96.14</v>
      </c>
      <c r="I2110">
        <v>93.77</v>
      </c>
      <c r="J2110">
        <v>82.39</v>
      </c>
      <c r="K2110" t="s">
        <v>34</v>
      </c>
      <c r="L2110">
        <v>8.1</v>
      </c>
      <c r="M2110">
        <v>4.9000000000000004</v>
      </c>
      <c r="N2110" t="s">
        <v>39</v>
      </c>
      <c r="O2110">
        <v>12</v>
      </c>
      <c r="P2110" t="s">
        <v>23</v>
      </c>
      <c r="Q2110">
        <v>60.3</v>
      </c>
    </row>
    <row r="2111" spans="1:17" x14ac:dyDescent="0.35">
      <c r="A2111" s="1">
        <v>45831</v>
      </c>
      <c r="B2111" t="s">
        <v>93</v>
      </c>
      <c r="C2111" t="s">
        <v>37</v>
      </c>
      <c r="D2111" t="s">
        <v>94</v>
      </c>
      <c r="E2111" t="s">
        <v>33</v>
      </c>
      <c r="F2111">
        <v>302.60000000000002</v>
      </c>
      <c r="G2111">
        <v>100.9</v>
      </c>
      <c r="H2111">
        <v>93.52</v>
      </c>
      <c r="I2111">
        <v>96.67</v>
      </c>
      <c r="J2111">
        <v>79.56</v>
      </c>
      <c r="K2111" t="s">
        <v>34</v>
      </c>
      <c r="L2111">
        <v>7.4</v>
      </c>
      <c r="M2111">
        <v>1.7</v>
      </c>
      <c r="N2111" t="s">
        <v>35</v>
      </c>
      <c r="O2111">
        <v>9</v>
      </c>
      <c r="P2111" t="s">
        <v>23</v>
      </c>
      <c r="Q2111">
        <v>61.5</v>
      </c>
    </row>
    <row r="2112" spans="1:17" x14ac:dyDescent="0.35">
      <c r="A2112" s="1">
        <v>45831</v>
      </c>
      <c r="B2112" t="s">
        <v>53</v>
      </c>
      <c r="C2112" t="s">
        <v>41</v>
      </c>
      <c r="D2112" t="s">
        <v>54</v>
      </c>
      <c r="E2112" t="s">
        <v>27</v>
      </c>
      <c r="F2112">
        <v>500.6</v>
      </c>
      <c r="G2112">
        <v>63.7</v>
      </c>
      <c r="H2112">
        <v>92.17</v>
      </c>
      <c r="I2112">
        <v>96.71</v>
      </c>
      <c r="J2112">
        <v>80.42</v>
      </c>
      <c r="K2112" t="s">
        <v>47</v>
      </c>
      <c r="L2112">
        <v>8.3000000000000007</v>
      </c>
      <c r="M2112">
        <v>1.5</v>
      </c>
      <c r="N2112" t="s">
        <v>39</v>
      </c>
      <c r="O2112">
        <v>11</v>
      </c>
      <c r="P2112" t="s">
        <v>43</v>
      </c>
      <c r="Q2112">
        <v>62.3</v>
      </c>
    </row>
    <row r="2113" spans="1:17" x14ac:dyDescent="0.35">
      <c r="A2113" s="1">
        <v>45831</v>
      </c>
      <c r="B2113" t="s">
        <v>86</v>
      </c>
      <c r="C2113" t="s">
        <v>25</v>
      </c>
      <c r="D2113" t="s">
        <v>87</v>
      </c>
      <c r="E2113" t="s">
        <v>27</v>
      </c>
      <c r="F2113">
        <v>505.29</v>
      </c>
      <c r="G2113">
        <v>19.8</v>
      </c>
      <c r="H2113">
        <v>93.75</v>
      </c>
      <c r="I2113">
        <v>98.11</v>
      </c>
      <c r="J2113">
        <v>81.790000000000006</v>
      </c>
      <c r="K2113" t="s">
        <v>28</v>
      </c>
      <c r="L2113">
        <v>8.5</v>
      </c>
      <c r="M2113">
        <v>3.5</v>
      </c>
      <c r="N2113" t="s">
        <v>29</v>
      </c>
      <c r="O2113">
        <v>12</v>
      </c>
      <c r="P2113" t="s">
        <v>30</v>
      </c>
      <c r="Q2113">
        <v>61.2</v>
      </c>
    </row>
    <row r="2114" spans="1:17" x14ac:dyDescent="0.35">
      <c r="A2114" s="1">
        <v>45831</v>
      </c>
      <c r="B2114" t="s">
        <v>59</v>
      </c>
      <c r="C2114" t="s">
        <v>60</v>
      </c>
      <c r="D2114" t="s">
        <v>61</v>
      </c>
      <c r="E2114" t="s">
        <v>62</v>
      </c>
      <c r="F2114">
        <v>517.17999999999995</v>
      </c>
      <c r="G2114">
        <v>181.8</v>
      </c>
      <c r="H2114">
        <v>88.29</v>
      </c>
      <c r="I2114">
        <v>94.76</v>
      </c>
      <c r="J2114">
        <v>86.29</v>
      </c>
      <c r="K2114" t="s">
        <v>63</v>
      </c>
      <c r="L2114">
        <v>8.4</v>
      </c>
      <c r="N2114" t="s">
        <v>35</v>
      </c>
      <c r="O2114">
        <v>6</v>
      </c>
      <c r="P2114" t="s">
        <v>43</v>
      </c>
      <c r="Q2114">
        <v>74.7</v>
      </c>
    </row>
    <row r="2115" spans="1:17" x14ac:dyDescent="0.35">
      <c r="A2115" s="1">
        <v>45831</v>
      </c>
      <c r="B2115" t="s">
        <v>44</v>
      </c>
      <c r="C2115" t="s">
        <v>45</v>
      </c>
      <c r="D2115" t="s">
        <v>46</v>
      </c>
      <c r="E2115" t="s">
        <v>33</v>
      </c>
      <c r="F2115">
        <v>418.16</v>
      </c>
      <c r="G2115">
        <v>584.5</v>
      </c>
      <c r="H2115">
        <v>94.37</v>
      </c>
      <c r="I2115">
        <v>98.6</v>
      </c>
      <c r="J2115">
        <v>77.3</v>
      </c>
      <c r="K2115" t="s">
        <v>47</v>
      </c>
      <c r="L2115">
        <v>8.6</v>
      </c>
      <c r="M2115">
        <v>2.9</v>
      </c>
      <c r="N2115" t="s">
        <v>35</v>
      </c>
      <c r="O2115">
        <v>6</v>
      </c>
      <c r="P2115" t="s">
        <v>23</v>
      </c>
      <c r="Q2115">
        <v>64.099999999999994</v>
      </c>
    </row>
    <row r="2116" spans="1:17" x14ac:dyDescent="0.35">
      <c r="A2116" s="1">
        <v>45831</v>
      </c>
      <c r="B2116" t="s">
        <v>55</v>
      </c>
      <c r="C2116" t="s">
        <v>56</v>
      </c>
      <c r="D2116">
        <v>4</v>
      </c>
      <c r="E2116" t="s">
        <v>57</v>
      </c>
      <c r="F2116">
        <v>30</v>
      </c>
      <c r="G2116">
        <v>145.30000000000001</v>
      </c>
      <c r="H2116">
        <v>86.98</v>
      </c>
      <c r="I2116">
        <v>95.79</v>
      </c>
      <c r="J2116">
        <v>71.95</v>
      </c>
      <c r="K2116" t="s">
        <v>21</v>
      </c>
      <c r="L2116">
        <v>6.8</v>
      </c>
      <c r="N2116" t="s">
        <v>35</v>
      </c>
      <c r="O2116">
        <v>3</v>
      </c>
      <c r="P2116" t="s">
        <v>23</v>
      </c>
      <c r="Q2116">
        <v>68</v>
      </c>
    </row>
    <row r="2117" spans="1:17" x14ac:dyDescent="0.35">
      <c r="A2117" s="1">
        <v>45831</v>
      </c>
      <c r="B2117" t="s">
        <v>59</v>
      </c>
      <c r="C2117" t="s">
        <v>60</v>
      </c>
      <c r="D2117" t="s">
        <v>61</v>
      </c>
      <c r="E2117" t="s">
        <v>62</v>
      </c>
      <c r="F2117">
        <v>336.89</v>
      </c>
      <c r="G2117">
        <v>175.7</v>
      </c>
      <c r="H2117">
        <v>89.26</v>
      </c>
      <c r="I2117">
        <v>94.35</v>
      </c>
      <c r="J2117">
        <v>91.8</v>
      </c>
      <c r="K2117" t="s">
        <v>34</v>
      </c>
      <c r="L2117">
        <v>7.4</v>
      </c>
      <c r="N2117" t="s">
        <v>35</v>
      </c>
      <c r="O2117">
        <v>6</v>
      </c>
      <c r="P2117" t="s">
        <v>43</v>
      </c>
      <c r="Q2117">
        <v>73.900000000000006</v>
      </c>
    </row>
    <row r="2118" spans="1:17" x14ac:dyDescent="0.35">
      <c r="A2118" s="1">
        <v>45831</v>
      </c>
      <c r="B2118" t="s">
        <v>64</v>
      </c>
      <c r="C2118" t="s">
        <v>25</v>
      </c>
      <c r="D2118" t="s">
        <v>65</v>
      </c>
      <c r="E2118" t="s">
        <v>27</v>
      </c>
      <c r="F2118">
        <v>402.9</v>
      </c>
      <c r="G2118">
        <v>26.2</v>
      </c>
      <c r="H2118">
        <v>96.14</v>
      </c>
      <c r="I2118">
        <v>97.03</v>
      </c>
      <c r="J2118">
        <v>82.75</v>
      </c>
      <c r="K2118" t="s">
        <v>34</v>
      </c>
      <c r="L2118">
        <v>9.3000000000000007</v>
      </c>
      <c r="M2118">
        <v>4.0999999999999996</v>
      </c>
      <c r="N2118" t="s">
        <v>29</v>
      </c>
      <c r="O2118">
        <v>10</v>
      </c>
      <c r="P2118" t="s">
        <v>30</v>
      </c>
      <c r="Q2118">
        <v>62.6</v>
      </c>
    </row>
    <row r="2119" spans="1:17" x14ac:dyDescent="0.35">
      <c r="A2119" s="1">
        <v>45831</v>
      </c>
      <c r="B2119" t="s">
        <v>76</v>
      </c>
      <c r="C2119" t="s">
        <v>45</v>
      </c>
      <c r="D2119" t="s">
        <v>77</v>
      </c>
      <c r="E2119" t="s">
        <v>27</v>
      </c>
      <c r="F2119">
        <v>415.51</v>
      </c>
      <c r="G2119">
        <v>528.29999999999995</v>
      </c>
      <c r="H2119">
        <v>94.82</v>
      </c>
      <c r="I2119">
        <v>98.01</v>
      </c>
      <c r="J2119">
        <v>79.77</v>
      </c>
      <c r="K2119" t="s">
        <v>34</v>
      </c>
      <c r="L2119">
        <v>8.5</v>
      </c>
      <c r="M2119">
        <v>2.5</v>
      </c>
      <c r="N2119" t="s">
        <v>29</v>
      </c>
      <c r="O2119">
        <v>8</v>
      </c>
      <c r="P2119" t="s">
        <v>23</v>
      </c>
      <c r="Q2119">
        <v>64.599999999999994</v>
      </c>
    </row>
    <row r="2120" spans="1:17" x14ac:dyDescent="0.35">
      <c r="A2120" s="1">
        <v>45831</v>
      </c>
      <c r="B2120" t="s">
        <v>55</v>
      </c>
      <c r="C2120" t="s">
        <v>56</v>
      </c>
      <c r="D2120">
        <v>4</v>
      </c>
      <c r="E2120" t="s">
        <v>57</v>
      </c>
      <c r="F2120">
        <v>30</v>
      </c>
      <c r="G2120">
        <v>127.5</v>
      </c>
      <c r="H2120">
        <v>86.18</v>
      </c>
      <c r="I2120">
        <v>96.18</v>
      </c>
      <c r="J2120">
        <v>73.709999999999994</v>
      </c>
      <c r="K2120" t="s">
        <v>58</v>
      </c>
      <c r="L2120">
        <v>7</v>
      </c>
      <c r="N2120" t="s">
        <v>35</v>
      </c>
      <c r="O2120">
        <v>5</v>
      </c>
      <c r="P2120" t="s">
        <v>43</v>
      </c>
      <c r="Q2120">
        <v>68.2</v>
      </c>
    </row>
    <row r="2121" spans="1:17" x14ac:dyDescent="0.35">
      <c r="A2121" s="1">
        <v>45831</v>
      </c>
      <c r="B2121" t="s">
        <v>40</v>
      </c>
      <c r="C2121" t="s">
        <v>41</v>
      </c>
      <c r="D2121" t="s">
        <v>42</v>
      </c>
      <c r="E2121" t="s">
        <v>27</v>
      </c>
      <c r="F2121">
        <v>486.07</v>
      </c>
      <c r="G2121">
        <v>46.9</v>
      </c>
      <c r="H2121">
        <v>96.34</v>
      </c>
      <c r="I2121">
        <v>98.34</v>
      </c>
      <c r="J2121">
        <v>84.13</v>
      </c>
      <c r="K2121" t="s">
        <v>47</v>
      </c>
      <c r="L2121">
        <v>8.6</v>
      </c>
      <c r="M2121">
        <v>4.4000000000000004</v>
      </c>
      <c r="N2121" t="s">
        <v>39</v>
      </c>
      <c r="O2121">
        <v>8</v>
      </c>
      <c r="P2121" t="s">
        <v>43</v>
      </c>
      <c r="Q2121">
        <v>62.1</v>
      </c>
    </row>
    <row r="2122" spans="1:17" x14ac:dyDescent="0.35">
      <c r="A2122" s="1">
        <v>45831</v>
      </c>
      <c r="B2122" t="s">
        <v>84</v>
      </c>
      <c r="C2122" t="s">
        <v>18</v>
      </c>
      <c r="D2122" t="s">
        <v>85</v>
      </c>
      <c r="E2122" t="s">
        <v>33</v>
      </c>
      <c r="F2122">
        <v>152.33000000000001</v>
      </c>
      <c r="G2122">
        <v>107.7</v>
      </c>
      <c r="H2122">
        <v>93.78</v>
      </c>
      <c r="I2122">
        <v>95.64</v>
      </c>
      <c r="J2122">
        <v>76.05</v>
      </c>
      <c r="K2122" t="s">
        <v>28</v>
      </c>
      <c r="L2122">
        <v>6.3</v>
      </c>
      <c r="M2122">
        <v>3.6</v>
      </c>
      <c r="N2122" t="s">
        <v>22</v>
      </c>
      <c r="O2122">
        <v>8</v>
      </c>
      <c r="P2122" t="s">
        <v>23</v>
      </c>
      <c r="Q2122">
        <v>57.8</v>
      </c>
    </row>
    <row r="2123" spans="1:17" x14ac:dyDescent="0.35">
      <c r="A2123" s="1">
        <v>45831</v>
      </c>
      <c r="B2123" t="s">
        <v>31</v>
      </c>
      <c r="C2123" t="s">
        <v>18</v>
      </c>
      <c r="D2123" t="s">
        <v>32</v>
      </c>
      <c r="E2123" t="s">
        <v>27</v>
      </c>
      <c r="F2123">
        <v>80.02</v>
      </c>
      <c r="G2123">
        <v>22</v>
      </c>
      <c r="H2123">
        <v>96.11</v>
      </c>
      <c r="I2123">
        <v>94.75</v>
      </c>
      <c r="J2123">
        <v>81.99</v>
      </c>
      <c r="K2123" t="s">
        <v>47</v>
      </c>
      <c r="L2123">
        <v>6.3</v>
      </c>
      <c r="M2123">
        <v>2.2000000000000002</v>
      </c>
      <c r="N2123" t="s">
        <v>39</v>
      </c>
      <c r="O2123">
        <v>12</v>
      </c>
      <c r="P2123" t="s">
        <v>23</v>
      </c>
      <c r="Q2123">
        <v>58.3</v>
      </c>
    </row>
    <row r="2124" spans="1:17" x14ac:dyDescent="0.35">
      <c r="A2124" s="1">
        <v>45831</v>
      </c>
      <c r="B2124" t="s">
        <v>69</v>
      </c>
      <c r="C2124" t="s">
        <v>18</v>
      </c>
      <c r="D2124" t="s">
        <v>70</v>
      </c>
      <c r="E2124" t="s">
        <v>20</v>
      </c>
      <c r="F2124">
        <v>186.36</v>
      </c>
      <c r="G2124">
        <v>118.3</v>
      </c>
      <c r="H2124">
        <v>91.79</v>
      </c>
      <c r="I2124">
        <v>95.08</v>
      </c>
      <c r="J2124">
        <v>76.73</v>
      </c>
      <c r="K2124" t="s">
        <v>58</v>
      </c>
      <c r="L2124">
        <v>7</v>
      </c>
      <c r="N2124" t="s">
        <v>35</v>
      </c>
      <c r="O2124">
        <v>10</v>
      </c>
      <c r="P2124" t="s">
        <v>23</v>
      </c>
      <c r="Q2124">
        <v>69.5</v>
      </c>
    </row>
    <row r="2125" spans="1:17" x14ac:dyDescent="0.35">
      <c r="A2125" s="1">
        <v>45831</v>
      </c>
      <c r="B2125" t="s">
        <v>55</v>
      </c>
      <c r="C2125" t="s">
        <v>56</v>
      </c>
      <c r="D2125">
        <v>4</v>
      </c>
      <c r="E2125" t="s">
        <v>57</v>
      </c>
      <c r="F2125">
        <v>30</v>
      </c>
      <c r="G2125">
        <v>128.1</v>
      </c>
      <c r="H2125">
        <v>89.32</v>
      </c>
      <c r="I2125">
        <v>94.08</v>
      </c>
      <c r="J2125">
        <v>76.510000000000005</v>
      </c>
      <c r="K2125" t="s">
        <v>58</v>
      </c>
      <c r="L2125">
        <v>7.6</v>
      </c>
      <c r="N2125" t="s">
        <v>35</v>
      </c>
      <c r="O2125">
        <v>2</v>
      </c>
      <c r="P2125" t="s">
        <v>23</v>
      </c>
      <c r="Q2125">
        <v>70.2</v>
      </c>
    </row>
    <row r="2126" spans="1:17" x14ac:dyDescent="0.35">
      <c r="A2126" s="1">
        <v>45831</v>
      </c>
      <c r="B2126" t="s">
        <v>91</v>
      </c>
      <c r="C2126" t="s">
        <v>67</v>
      </c>
      <c r="D2126" t="s">
        <v>92</v>
      </c>
      <c r="E2126" t="s">
        <v>27</v>
      </c>
      <c r="F2126">
        <v>791.37</v>
      </c>
      <c r="G2126">
        <v>47.3</v>
      </c>
      <c r="H2126">
        <v>94.96</v>
      </c>
      <c r="I2126">
        <v>96.75</v>
      </c>
      <c r="J2126">
        <v>83.51</v>
      </c>
      <c r="K2126" t="s">
        <v>34</v>
      </c>
      <c r="L2126">
        <v>8.4</v>
      </c>
      <c r="M2126">
        <v>4.3</v>
      </c>
      <c r="N2126" t="s">
        <v>29</v>
      </c>
      <c r="O2126">
        <v>15</v>
      </c>
      <c r="P2126" t="s">
        <v>23</v>
      </c>
      <c r="Q2126">
        <v>61.3</v>
      </c>
    </row>
    <row r="2127" spans="1:17" x14ac:dyDescent="0.35">
      <c r="A2127" s="1">
        <v>45831</v>
      </c>
      <c r="B2127" t="s">
        <v>80</v>
      </c>
      <c r="C2127" t="s">
        <v>45</v>
      </c>
      <c r="D2127" t="s">
        <v>81</v>
      </c>
      <c r="E2127" t="s">
        <v>33</v>
      </c>
      <c r="F2127">
        <v>861.85</v>
      </c>
      <c r="G2127">
        <v>380.4</v>
      </c>
      <c r="H2127">
        <v>95.1</v>
      </c>
      <c r="I2127">
        <v>98.15</v>
      </c>
      <c r="J2127">
        <v>79.819999999999993</v>
      </c>
      <c r="K2127" t="s">
        <v>47</v>
      </c>
      <c r="L2127">
        <v>9</v>
      </c>
      <c r="M2127">
        <v>2.8</v>
      </c>
      <c r="N2127" t="s">
        <v>35</v>
      </c>
      <c r="O2127">
        <v>9</v>
      </c>
      <c r="P2127" t="s">
        <v>23</v>
      </c>
      <c r="Q2127">
        <v>65.3</v>
      </c>
    </row>
    <row r="2128" spans="1:17" x14ac:dyDescent="0.35">
      <c r="A2128" s="1">
        <v>45831</v>
      </c>
      <c r="B2128" t="s">
        <v>78</v>
      </c>
      <c r="C2128" t="s">
        <v>41</v>
      </c>
      <c r="D2128" t="s">
        <v>79</v>
      </c>
      <c r="E2128" t="s">
        <v>27</v>
      </c>
      <c r="F2128">
        <v>357.89</v>
      </c>
      <c r="G2128">
        <v>42.3</v>
      </c>
      <c r="H2128">
        <v>95.7</v>
      </c>
      <c r="I2128">
        <v>96.76</v>
      </c>
      <c r="J2128">
        <v>80.84</v>
      </c>
      <c r="K2128" t="s">
        <v>28</v>
      </c>
      <c r="L2128">
        <v>7.9</v>
      </c>
      <c r="M2128">
        <v>4.3</v>
      </c>
      <c r="N2128" t="s">
        <v>39</v>
      </c>
      <c r="O2128">
        <v>10</v>
      </c>
      <c r="P2128" t="s">
        <v>43</v>
      </c>
      <c r="Q2128">
        <v>60</v>
      </c>
    </row>
    <row r="2129" spans="1:17" x14ac:dyDescent="0.35">
      <c r="A2129" s="1">
        <v>45831</v>
      </c>
      <c r="B2129" t="s">
        <v>59</v>
      </c>
      <c r="C2129" t="s">
        <v>60</v>
      </c>
      <c r="D2129" t="s">
        <v>61</v>
      </c>
      <c r="E2129" t="s">
        <v>62</v>
      </c>
      <c r="F2129">
        <v>407.26</v>
      </c>
      <c r="G2129">
        <v>168.4</v>
      </c>
      <c r="H2129">
        <v>89.71</v>
      </c>
      <c r="I2129">
        <v>95.14</v>
      </c>
      <c r="J2129">
        <v>89.49</v>
      </c>
      <c r="K2129" t="s">
        <v>63</v>
      </c>
      <c r="L2129">
        <v>9.1</v>
      </c>
      <c r="N2129" t="s">
        <v>35</v>
      </c>
      <c r="O2129">
        <v>3</v>
      </c>
      <c r="P2129" t="s">
        <v>43</v>
      </c>
      <c r="Q2129">
        <v>77.099999999999994</v>
      </c>
    </row>
    <row r="2130" spans="1:17" x14ac:dyDescent="0.35">
      <c r="A2130" s="1">
        <v>45831</v>
      </c>
      <c r="B2130" t="s">
        <v>93</v>
      </c>
      <c r="C2130" t="s">
        <v>37</v>
      </c>
      <c r="D2130" t="s">
        <v>94</v>
      </c>
      <c r="E2130" t="s">
        <v>33</v>
      </c>
      <c r="F2130">
        <v>318.38</v>
      </c>
      <c r="G2130">
        <v>113.9</v>
      </c>
      <c r="H2130">
        <v>96.46</v>
      </c>
      <c r="I2130">
        <v>95.03</v>
      </c>
      <c r="J2130">
        <v>71.459999999999994</v>
      </c>
      <c r="K2130" t="s">
        <v>47</v>
      </c>
      <c r="L2130">
        <v>7.9</v>
      </c>
      <c r="M2130">
        <v>5</v>
      </c>
      <c r="N2130" t="s">
        <v>35</v>
      </c>
      <c r="O2130">
        <v>9</v>
      </c>
      <c r="P2130" t="s">
        <v>23</v>
      </c>
      <c r="Q2130">
        <v>59.3</v>
      </c>
    </row>
    <row r="2131" spans="1:17" x14ac:dyDescent="0.35">
      <c r="A2131" s="1">
        <v>45831</v>
      </c>
      <c r="B2131" t="s">
        <v>82</v>
      </c>
      <c r="C2131" t="s">
        <v>72</v>
      </c>
      <c r="D2131" t="s">
        <v>83</v>
      </c>
      <c r="E2131" t="s">
        <v>20</v>
      </c>
      <c r="F2131">
        <v>221.66</v>
      </c>
      <c r="G2131">
        <v>77.7</v>
      </c>
      <c r="H2131">
        <v>94.01</v>
      </c>
      <c r="I2131">
        <v>93.13</v>
      </c>
      <c r="J2131">
        <v>74.069999999999993</v>
      </c>
      <c r="K2131" t="s">
        <v>63</v>
      </c>
      <c r="L2131">
        <v>7.5</v>
      </c>
      <c r="N2131" t="s">
        <v>35</v>
      </c>
      <c r="O2131">
        <v>6</v>
      </c>
      <c r="P2131" t="s">
        <v>43</v>
      </c>
      <c r="Q2131">
        <v>69.099999999999994</v>
      </c>
    </row>
    <row r="2132" spans="1:17" x14ac:dyDescent="0.35">
      <c r="A2132" s="1">
        <v>45831</v>
      </c>
      <c r="B2132" t="s">
        <v>55</v>
      </c>
      <c r="C2132" t="s">
        <v>56</v>
      </c>
      <c r="D2132">
        <v>4</v>
      </c>
      <c r="E2132" t="s">
        <v>57</v>
      </c>
      <c r="F2132">
        <v>30</v>
      </c>
      <c r="G2132">
        <v>145.9</v>
      </c>
      <c r="H2132">
        <v>86.98</v>
      </c>
      <c r="I2132">
        <v>96.65</v>
      </c>
      <c r="J2132">
        <v>78.22</v>
      </c>
      <c r="K2132" t="s">
        <v>63</v>
      </c>
      <c r="L2132">
        <v>7</v>
      </c>
      <c r="N2132" t="s">
        <v>35</v>
      </c>
      <c r="O2132">
        <v>5</v>
      </c>
      <c r="P2132" t="s">
        <v>23</v>
      </c>
      <c r="Q2132">
        <v>69.8</v>
      </c>
    </row>
    <row r="2133" spans="1:17" x14ac:dyDescent="0.35">
      <c r="A2133" s="1">
        <v>45831</v>
      </c>
      <c r="B2133" t="s">
        <v>93</v>
      </c>
      <c r="C2133" t="s">
        <v>37</v>
      </c>
      <c r="D2133" t="s">
        <v>94</v>
      </c>
      <c r="E2133" t="s">
        <v>27</v>
      </c>
      <c r="F2133">
        <v>436.53</v>
      </c>
      <c r="G2133">
        <v>70</v>
      </c>
      <c r="H2133">
        <v>95.83</v>
      </c>
      <c r="I2133">
        <v>96.56</v>
      </c>
      <c r="J2133">
        <v>80.62</v>
      </c>
      <c r="K2133" t="s">
        <v>28</v>
      </c>
      <c r="L2133">
        <v>9</v>
      </c>
      <c r="M2133">
        <v>4.8</v>
      </c>
      <c r="N2133" t="s">
        <v>29</v>
      </c>
      <c r="O2133">
        <v>8</v>
      </c>
      <c r="P2133" t="s">
        <v>23</v>
      </c>
      <c r="Q2133">
        <v>62</v>
      </c>
    </row>
    <row r="2134" spans="1:17" x14ac:dyDescent="0.35">
      <c r="A2134" s="1">
        <v>45831</v>
      </c>
      <c r="B2134" t="s">
        <v>55</v>
      </c>
      <c r="C2134" t="s">
        <v>56</v>
      </c>
      <c r="D2134">
        <v>4</v>
      </c>
      <c r="E2134" t="s">
        <v>57</v>
      </c>
      <c r="F2134">
        <v>30</v>
      </c>
      <c r="G2134">
        <v>125.4</v>
      </c>
      <c r="H2134">
        <v>89.87</v>
      </c>
      <c r="I2134">
        <v>93.23</v>
      </c>
      <c r="J2134">
        <v>79.42</v>
      </c>
      <c r="K2134" t="s">
        <v>58</v>
      </c>
      <c r="L2134">
        <v>6.2</v>
      </c>
      <c r="N2134" t="s">
        <v>35</v>
      </c>
      <c r="O2134">
        <v>5</v>
      </c>
      <c r="P2134" t="s">
        <v>23</v>
      </c>
      <c r="Q2134">
        <v>67.900000000000006</v>
      </c>
    </row>
    <row r="2135" spans="1:17" x14ac:dyDescent="0.35">
      <c r="A2135" s="1">
        <v>45831</v>
      </c>
      <c r="B2135" t="s">
        <v>55</v>
      </c>
      <c r="C2135" t="s">
        <v>56</v>
      </c>
      <c r="D2135">
        <v>4</v>
      </c>
      <c r="E2135" t="s">
        <v>57</v>
      </c>
      <c r="F2135">
        <v>30</v>
      </c>
      <c r="G2135">
        <v>126.7</v>
      </c>
      <c r="H2135">
        <v>90.66</v>
      </c>
      <c r="I2135">
        <v>96.25</v>
      </c>
      <c r="J2135">
        <v>71.099999999999994</v>
      </c>
      <c r="K2135" t="s">
        <v>63</v>
      </c>
      <c r="L2135">
        <v>6.5</v>
      </c>
      <c r="N2135" t="s">
        <v>35</v>
      </c>
      <c r="O2135">
        <v>3</v>
      </c>
      <c r="P2135" t="s">
        <v>23</v>
      </c>
      <c r="Q2135">
        <v>67.599999999999994</v>
      </c>
    </row>
    <row r="2136" spans="1:17" x14ac:dyDescent="0.35">
      <c r="A2136" s="1">
        <v>45831</v>
      </c>
      <c r="B2136" t="s">
        <v>91</v>
      </c>
      <c r="C2136" t="s">
        <v>67</v>
      </c>
      <c r="D2136" t="s">
        <v>92</v>
      </c>
      <c r="E2136" t="s">
        <v>27</v>
      </c>
      <c r="F2136">
        <v>646.92999999999995</v>
      </c>
      <c r="G2136">
        <v>38</v>
      </c>
      <c r="H2136">
        <v>93.5</v>
      </c>
      <c r="I2136">
        <v>96.4</v>
      </c>
      <c r="J2136">
        <v>81.98</v>
      </c>
      <c r="K2136" t="s">
        <v>47</v>
      </c>
      <c r="L2136">
        <v>8.4</v>
      </c>
      <c r="M2136">
        <v>3</v>
      </c>
      <c r="N2136" t="s">
        <v>39</v>
      </c>
      <c r="O2136">
        <v>12</v>
      </c>
      <c r="P2136" t="s">
        <v>23</v>
      </c>
      <c r="Q2136">
        <v>61.4</v>
      </c>
    </row>
    <row r="2137" spans="1:17" x14ac:dyDescent="0.35">
      <c r="A2137" s="1">
        <v>45831</v>
      </c>
      <c r="B2137" t="s">
        <v>55</v>
      </c>
      <c r="C2137" t="s">
        <v>56</v>
      </c>
      <c r="D2137">
        <v>4</v>
      </c>
      <c r="E2137" t="s">
        <v>57</v>
      </c>
      <c r="F2137">
        <v>30</v>
      </c>
      <c r="G2137">
        <v>164</v>
      </c>
      <c r="H2137">
        <v>86.34</v>
      </c>
      <c r="I2137">
        <v>93.44</v>
      </c>
      <c r="J2137">
        <v>71.39</v>
      </c>
      <c r="K2137" t="s">
        <v>21</v>
      </c>
      <c r="L2137">
        <v>7.7</v>
      </c>
      <c r="N2137" t="s">
        <v>35</v>
      </c>
      <c r="O2137">
        <v>4</v>
      </c>
      <c r="P2137" t="s">
        <v>43</v>
      </c>
      <c r="Q2137">
        <v>69.5</v>
      </c>
    </row>
    <row r="2138" spans="1:17" x14ac:dyDescent="0.35">
      <c r="A2138" s="1">
        <v>45831</v>
      </c>
      <c r="B2138" t="s">
        <v>84</v>
      </c>
      <c r="C2138" t="s">
        <v>18</v>
      </c>
      <c r="D2138" t="s">
        <v>85</v>
      </c>
      <c r="E2138" t="s">
        <v>33</v>
      </c>
      <c r="F2138">
        <v>241.9</v>
      </c>
      <c r="G2138">
        <v>158.19999999999999</v>
      </c>
      <c r="H2138">
        <v>97.19</v>
      </c>
      <c r="I2138">
        <v>96.87</v>
      </c>
      <c r="J2138">
        <v>76.819999999999993</v>
      </c>
      <c r="K2138" t="s">
        <v>34</v>
      </c>
      <c r="L2138">
        <v>8.4</v>
      </c>
      <c r="M2138">
        <v>3.8</v>
      </c>
      <c r="N2138" t="s">
        <v>35</v>
      </c>
      <c r="O2138">
        <v>5</v>
      </c>
      <c r="P2138" t="s">
        <v>23</v>
      </c>
      <c r="Q2138">
        <v>63.1</v>
      </c>
    </row>
    <row r="2139" spans="1:17" x14ac:dyDescent="0.35">
      <c r="A2139" s="1">
        <v>45831</v>
      </c>
      <c r="B2139" t="s">
        <v>31</v>
      </c>
      <c r="C2139" t="s">
        <v>18</v>
      </c>
      <c r="D2139" t="s">
        <v>32</v>
      </c>
      <c r="E2139" t="s">
        <v>27</v>
      </c>
      <c r="F2139">
        <v>109.5</v>
      </c>
      <c r="G2139">
        <v>63.7</v>
      </c>
      <c r="H2139">
        <v>93.2</v>
      </c>
      <c r="I2139">
        <v>95.01</v>
      </c>
      <c r="J2139">
        <v>82.43</v>
      </c>
      <c r="K2139" t="s">
        <v>34</v>
      </c>
      <c r="L2139">
        <v>6.6</v>
      </c>
      <c r="M2139">
        <v>2.4</v>
      </c>
      <c r="N2139" t="s">
        <v>29</v>
      </c>
      <c r="O2139">
        <v>8</v>
      </c>
      <c r="P2139" t="s">
        <v>23</v>
      </c>
      <c r="Q2139">
        <v>59.1</v>
      </c>
    </row>
    <row r="2140" spans="1:17" x14ac:dyDescent="0.35">
      <c r="A2140" s="1">
        <v>45831</v>
      </c>
      <c r="B2140" t="s">
        <v>76</v>
      </c>
      <c r="C2140" t="s">
        <v>45</v>
      </c>
      <c r="D2140" t="s">
        <v>77</v>
      </c>
      <c r="E2140" t="s">
        <v>27</v>
      </c>
      <c r="F2140">
        <v>836.19</v>
      </c>
      <c r="G2140">
        <v>300.60000000000002</v>
      </c>
      <c r="H2140">
        <v>94.54</v>
      </c>
      <c r="I2140">
        <v>99.48</v>
      </c>
      <c r="J2140">
        <v>79.349999999999994</v>
      </c>
      <c r="K2140" t="s">
        <v>28</v>
      </c>
      <c r="L2140">
        <v>8.1999999999999993</v>
      </c>
      <c r="M2140">
        <v>3.6</v>
      </c>
      <c r="N2140" t="s">
        <v>29</v>
      </c>
      <c r="O2140">
        <v>9</v>
      </c>
      <c r="P2140" t="s">
        <v>23</v>
      </c>
      <c r="Q2140">
        <v>63.5</v>
      </c>
    </row>
    <row r="2141" spans="1:17" x14ac:dyDescent="0.35">
      <c r="A2141" s="1">
        <v>45831</v>
      </c>
      <c r="B2141" t="s">
        <v>48</v>
      </c>
      <c r="C2141" t="s">
        <v>49</v>
      </c>
      <c r="D2141" t="s">
        <v>50</v>
      </c>
      <c r="E2141" t="s">
        <v>33</v>
      </c>
      <c r="F2141">
        <v>288.66000000000003</v>
      </c>
      <c r="G2141">
        <v>138.30000000000001</v>
      </c>
      <c r="H2141">
        <v>97.12</v>
      </c>
      <c r="I2141">
        <v>93.14</v>
      </c>
      <c r="J2141">
        <v>75.709999999999994</v>
      </c>
      <c r="K2141" t="s">
        <v>28</v>
      </c>
      <c r="L2141">
        <v>8.1999999999999993</v>
      </c>
      <c r="M2141">
        <v>3.9</v>
      </c>
      <c r="N2141" t="s">
        <v>35</v>
      </c>
      <c r="O2141">
        <v>5</v>
      </c>
      <c r="P2141" t="s">
        <v>23</v>
      </c>
      <c r="Q2141">
        <v>61.5</v>
      </c>
    </row>
    <row r="2142" spans="1:17" x14ac:dyDescent="0.35">
      <c r="A2142" s="1">
        <v>45831</v>
      </c>
      <c r="B2142" t="s">
        <v>66</v>
      </c>
      <c r="C2142" t="s">
        <v>67</v>
      </c>
      <c r="D2142" t="s">
        <v>68</v>
      </c>
      <c r="E2142" t="s">
        <v>27</v>
      </c>
      <c r="F2142">
        <v>417.73</v>
      </c>
      <c r="G2142">
        <v>29.2</v>
      </c>
      <c r="H2142">
        <v>94.9</v>
      </c>
      <c r="I2142">
        <v>94.9</v>
      </c>
      <c r="J2142">
        <v>79.38</v>
      </c>
      <c r="K2142" t="s">
        <v>28</v>
      </c>
      <c r="L2142">
        <v>8.6999999999999993</v>
      </c>
      <c r="M2142">
        <v>1.7</v>
      </c>
      <c r="N2142" t="s">
        <v>29</v>
      </c>
      <c r="O2142">
        <v>9</v>
      </c>
      <c r="P2142" t="s">
        <v>43</v>
      </c>
      <c r="Q2142">
        <v>62.1</v>
      </c>
    </row>
    <row r="2143" spans="1:17" x14ac:dyDescent="0.35">
      <c r="A2143" s="1">
        <v>45831</v>
      </c>
      <c r="B2143" t="s">
        <v>84</v>
      </c>
      <c r="C2143" t="s">
        <v>18</v>
      </c>
      <c r="D2143" t="s">
        <v>85</v>
      </c>
      <c r="E2143" t="s">
        <v>33</v>
      </c>
      <c r="F2143">
        <v>155.71</v>
      </c>
      <c r="G2143">
        <v>187.7</v>
      </c>
      <c r="H2143">
        <v>92.76</v>
      </c>
      <c r="I2143">
        <v>95.92</v>
      </c>
      <c r="J2143">
        <v>79.489999999999995</v>
      </c>
      <c r="K2143" t="s">
        <v>28</v>
      </c>
      <c r="L2143">
        <v>6.8</v>
      </c>
      <c r="M2143">
        <v>5</v>
      </c>
      <c r="N2143" t="s">
        <v>22</v>
      </c>
      <c r="O2143">
        <v>5</v>
      </c>
      <c r="P2143" t="s">
        <v>23</v>
      </c>
      <c r="Q2143">
        <v>59.4</v>
      </c>
    </row>
    <row r="2144" spans="1:17" x14ac:dyDescent="0.35">
      <c r="A2144" s="1">
        <v>45831</v>
      </c>
      <c r="B2144" t="s">
        <v>51</v>
      </c>
      <c r="C2144" t="s">
        <v>45</v>
      </c>
      <c r="D2144" t="s">
        <v>52</v>
      </c>
      <c r="E2144" t="s">
        <v>27</v>
      </c>
      <c r="F2144">
        <v>818.34</v>
      </c>
      <c r="G2144">
        <v>485.7</v>
      </c>
      <c r="H2144">
        <v>96.67</v>
      </c>
      <c r="I2144">
        <v>98.15</v>
      </c>
      <c r="J2144">
        <v>75.05</v>
      </c>
      <c r="K2144" t="s">
        <v>47</v>
      </c>
      <c r="L2144">
        <v>8.6</v>
      </c>
      <c r="M2144">
        <v>3.6</v>
      </c>
      <c r="N2144" t="s">
        <v>39</v>
      </c>
      <c r="O2144">
        <v>9</v>
      </c>
      <c r="P2144" t="s">
        <v>23</v>
      </c>
      <c r="Q2144">
        <v>63.6</v>
      </c>
    </row>
    <row r="2145" spans="1:17" x14ac:dyDescent="0.35">
      <c r="A2145" s="1">
        <v>45831</v>
      </c>
      <c r="B2145" t="s">
        <v>71</v>
      </c>
      <c r="C2145" t="s">
        <v>72</v>
      </c>
      <c r="D2145" t="s">
        <v>73</v>
      </c>
      <c r="E2145" t="s">
        <v>27</v>
      </c>
      <c r="F2145">
        <v>273.95999999999998</v>
      </c>
      <c r="G2145">
        <v>38.700000000000003</v>
      </c>
      <c r="H2145">
        <v>93.26</v>
      </c>
      <c r="I2145">
        <v>96.43</v>
      </c>
      <c r="J2145">
        <v>83.34</v>
      </c>
      <c r="K2145" t="s">
        <v>34</v>
      </c>
      <c r="L2145">
        <v>7.3</v>
      </c>
      <c r="M2145">
        <v>1.9</v>
      </c>
      <c r="N2145" t="s">
        <v>29</v>
      </c>
      <c r="O2145">
        <v>8</v>
      </c>
      <c r="P2145" t="s">
        <v>43</v>
      </c>
      <c r="Q2145">
        <v>60.5</v>
      </c>
    </row>
    <row r="2146" spans="1:17" x14ac:dyDescent="0.35">
      <c r="A2146" s="1">
        <v>45831</v>
      </c>
      <c r="B2146" t="s">
        <v>44</v>
      </c>
      <c r="C2146" t="s">
        <v>45</v>
      </c>
      <c r="D2146" t="s">
        <v>46</v>
      </c>
      <c r="E2146" t="s">
        <v>33</v>
      </c>
      <c r="F2146">
        <v>447.81</v>
      </c>
      <c r="G2146">
        <v>446.1</v>
      </c>
      <c r="H2146">
        <v>96.75</v>
      </c>
      <c r="I2146">
        <v>98.37</v>
      </c>
      <c r="J2146">
        <v>76.45</v>
      </c>
      <c r="K2146" t="s">
        <v>47</v>
      </c>
      <c r="L2146">
        <v>8.8000000000000007</v>
      </c>
      <c r="M2146">
        <v>3.6</v>
      </c>
      <c r="N2146" t="s">
        <v>35</v>
      </c>
      <c r="O2146">
        <v>10</v>
      </c>
      <c r="P2146" t="s">
        <v>23</v>
      </c>
      <c r="Q2146">
        <v>64.2</v>
      </c>
    </row>
    <row r="2147" spans="1:17" x14ac:dyDescent="0.35">
      <c r="A2147" s="1">
        <v>45831</v>
      </c>
      <c r="B2147" t="s">
        <v>84</v>
      </c>
      <c r="C2147" t="s">
        <v>18</v>
      </c>
      <c r="D2147" t="s">
        <v>85</v>
      </c>
      <c r="E2147" t="s">
        <v>27</v>
      </c>
      <c r="F2147">
        <v>298.14999999999998</v>
      </c>
      <c r="G2147">
        <v>22.9</v>
      </c>
      <c r="H2147">
        <v>97.97</v>
      </c>
      <c r="I2147">
        <v>94.98</v>
      </c>
      <c r="J2147">
        <v>76.39</v>
      </c>
      <c r="K2147" t="s">
        <v>28</v>
      </c>
      <c r="L2147">
        <v>7.6</v>
      </c>
      <c r="M2147">
        <v>2.8</v>
      </c>
      <c r="N2147" t="s">
        <v>39</v>
      </c>
      <c r="O2147">
        <v>10</v>
      </c>
      <c r="P2147" t="s">
        <v>23</v>
      </c>
      <c r="Q2147">
        <v>59.5</v>
      </c>
    </row>
    <row r="2148" spans="1:17" x14ac:dyDescent="0.35">
      <c r="A2148" s="1">
        <v>45831</v>
      </c>
      <c r="B2148" t="s">
        <v>86</v>
      </c>
      <c r="C2148" t="s">
        <v>25</v>
      </c>
      <c r="D2148" t="s">
        <v>87</v>
      </c>
      <c r="E2148" t="s">
        <v>27</v>
      </c>
      <c r="F2148">
        <v>644.79</v>
      </c>
      <c r="G2148">
        <v>36.4</v>
      </c>
      <c r="H2148">
        <v>96.35</v>
      </c>
      <c r="I2148">
        <v>97.54</v>
      </c>
      <c r="J2148">
        <v>75.290000000000006</v>
      </c>
      <c r="K2148" t="s">
        <v>47</v>
      </c>
      <c r="L2148">
        <v>8.3000000000000007</v>
      </c>
      <c r="M2148">
        <v>4.4000000000000004</v>
      </c>
      <c r="N2148" t="s">
        <v>39</v>
      </c>
      <c r="O2148">
        <v>15</v>
      </c>
      <c r="P2148" t="s">
        <v>30</v>
      </c>
      <c r="Q2148">
        <v>59.8</v>
      </c>
    </row>
    <row r="2149" spans="1:17" x14ac:dyDescent="0.35">
      <c r="A2149" s="1">
        <v>45831</v>
      </c>
      <c r="B2149" t="s">
        <v>59</v>
      </c>
      <c r="C2149" t="s">
        <v>60</v>
      </c>
      <c r="D2149" t="s">
        <v>61</v>
      </c>
      <c r="E2149" t="s">
        <v>62</v>
      </c>
      <c r="F2149">
        <v>519.91999999999996</v>
      </c>
      <c r="G2149">
        <v>173.6</v>
      </c>
      <c r="H2149">
        <v>87.03</v>
      </c>
      <c r="I2149">
        <v>93.77</v>
      </c>
      <c r="J2149">
        <v>85.83</v>
      </c>
      <c r="K2149" t="s">
        <v>34</v>
      </c>
      <c r="L2149">
        <v>8.9</v>
      </c>
      <c r="N2149" t="s">
        <v>35</v>
      </c>
      <c r="O2149">
        <v>3</v>
      </c>
      <c r="P2149" t="s">
        <v>43</v>
      </c>
      <c r="Q2149">
        <v>75.099999999999994</v>
      </c>
    </row>
    <row r="2150" spans="1:17" x14ac:dyDescent="0.35">
      <c r="A2150" s="1">
        <v>45831</v>
      </c>
      <c r="B2150" t="s">
        <v>53</v>
      </c>
      <c r="C2150" t="s">
        <v>41</v>
      </c>
      <c r="D2150" t="s">
        <v>54</v>
      </c>
      <c r="E2150" t="s">
        <v>27</v>
      </c>
      <c r="F2150">
        <v>303.12</v>
      </c>
      <c r="G2150">
        <v>55.5</v>
      </c>
      <c r="H2150">
        <v>94.59</v>
      </c>
      <c r="I2150">
        <v>98.45</v>
      </c>
      <c r="J2150">
        <v>80.67</v>
      </c>
      <c r="K2150" t="s">
        <v>34</v>
      </c>
      <c r="L2150">
        <v>7.8</v>
      </c>
      <c r="M2150">
        <v>2.2999999999999998</v>
      </c>
      <c r="N2150" t="s">
        <v>39</v>
      </c>
      <c r="O2150">
        <v>9</v>
      </c>
      <c r="P2150" t="s">
        <v>43</v>
      </c>
      <c r="Q2150">
        <v>61.5</v>
      </c>
    </row>
    <row r="2151" spans="1:17" x14ac:dyDescent="0.35">
      <c r="A2151" s="1">
        <v>45831</v>
      </c>
      <c r="B2151" t="s">
        <v>24</v>
      </c>
      <c r="C2151" t="s">
        <v>25</v>
      </c>
      <c r="D2151" t="s">
        <v>26</v>
      </c>
      <c r="E2151" t="s">
        <v>27</v>
      </c>
      <c r="F2151">
        <v>805.15</v>
      </c>
      <c r="G2151">
        <v>50.3</v>
      </c>
      <c r="H2151">
        <v>94.12</v>
      </c>
      <c r="I2151">
        <v>97.47</v>
      </c>
      <c r="J2151">
        <v>81.19</v>
      </c>
      <c r="K2151" t="s">
        <v>34</v>
      </c>
      <c r="L2151">
        <v>9</v>
      </c>
      <c r="M2151">
        <v>2.1</v>
      </c>
      <c r="N2151" t="s">
        <v>29</v>
      </c>
      <c r="O2151">
        <v>9</v>
      </c>
      <c r="P2151" t="s">
        <v>30</v>
      </c>
      <c r="Q2151">
        <v>63.4</v>
      </c>
    </row>
    <row r="2152" spans="1:17" x14ac:dyDescent="0.35">
      <c r="A2152" s="1">
        <v>45831</v>
      </c>
      <c r="B2152" t="s">
        <v>24</v>
      </c>
      <c r="C2152" t="s">
        <v>25</v>
      </c>
      <c r="D2152" t="s">
        <v>26</v>
      </c>
      <c r="E2152" t="s">
        <v>27</v>
      </c>
      <c r="F2152">
        <v>456.27</v>
      </c>
      <c r="G2152">
        <v>18.399999999999999</v>
      </c>
      <c r="H2152">
        <v>97.19</v>
      </c>
      <c r="I2152">
        <v>97.95</v>
      </c>
      <c r="J2152">
        <v>84.74</v>
      </c>
      <c r="K2152" t="s">
        <v>28</v>
      </c>
      <c r="L2152">
        <v>9.1</v>
      </c>
      <c r="M2152">
        <v>4.4000000000000004</v>
      </c>
      <c r="N2152" t="s">
        <v>39</v>
      </c>
      <c r="O2152">
        <v>11</v>
      </c>
      <c r="P2152" t="s">
        <v>30</v>
      </c>
      <c r="Q2152">
        <v>62.6</v>
      </c>
    </row>
    <row r="2153" spans="1:17" x14ac:dyDescent="0.35">
      <c r="A2153" s="1">
        <v>45831</v>
      </c>
      <c r="B2153" t="s">
        <v>51</v>
      </c>
      <c r="C2153" t="s">
        <v>45</v>
      </c>
      <c r="D2153" t="s">
        <v>52</v>
      </c>
      <c r="E2153" t="s">
        <v>33</v>
      </c>
      <c r="F2153">
        <v>971.28</v>
      </c>
      <c r="G2153">
        <v>381.7</v>
      </c>
      <c r="H2153">
        <v>97.22</v>
      </c>
      <c r="I2153">
        <v>99.21</v>
      </c>
      <c r="J2153">
        <v>74.680000000000007</v>
      </c>
      <c r="K2153" t="s">
        <v>88</v>
      </c>
      <c r="L2153">
        <v>8.1999999999999993</v>
      </c>
      <c r="M2153">
        <v>4.9000000000000004</v>
      </c>
      <c r="N2153" t="s">
        <v>22</v>
      </c>
      <c r="O2153">
        <v>10</v>
      </c>
      <c r="P2153" t="s">
        <v>23</v>
      </c>
      <c r="Q2153">
        <v>62.3</v>
      </c>
    </row>
    <row r="2154" spans="1:17" x14ac:dyDescent="0.35">
      <c r="A2154" s="1">
        <v>45831</v>
      </c>
      <c r="B2154" t="s">
        <v>36</v>
      </c>
      <c r="C2154" t="s">
        <v>37</v>
      </c>
      <c r="D2154" t="s">
        <v>38</v>
      </c>
      <c r="E2154" t="s">
        <v>27</v>
      </c>
      <c r="F2154">
        <v>370.43</v>
      </c>
      <c r="G2154">
        <v>32.1</v>
      </c>
      <c r="H2154">
        <v>93.55</v>
      </c>
      <c r="I2154">
        <v>96.3</v>
      </c>
      <c r="J2154">
        <v>82.23</v>
      </c>
      <c r="K2154" t="s">
        <v>28</v>
      </c>
      <c r="L2154">
        <v>7.4</v>
      </c>
      <c r="M2154">
        <v>2.2999999999999998</v>
      </c>
      <c r="N2154" t="s">
        <v>29</v>
      </c>
      <c r="O2154">
        <v>11</v>
      </c>
      <c r="P2154" t="s">
        <v>23</v>
      </c>
      <c r="Q2154">
        <v>60.1</v>
      </c>
    </row>
    <row r="2155" spans="1:17" x14ac:dyDescent="0.35">
      <c r="A2155" s="1">
        <v>45831</v>
      </c>
      <c r="B2155" t="s">
        <v>71</v>
      </c>
      <c r="C2155" t="s">
        <v>72</v>
      </c>
      <c r="D2155" t="s">
        <v>73</v>
      </c>
      <c r="E2155" t="s">
        <v>27</v>
      </c>
      <c r="F2155">
        <v>206.36</v>
      </c>
      <c r="G2155">
        <v>33.1</v>
      </c>
      <c r="H2155">
        <v>92.76</v>
      </c>
      <c r="I2155">
        <v>95.03</v>
      </c>
      <c r="J2155">
        <v>80.84</v>
      </c>
      <c r="K2155" t="s">
        <v>34</v>
      </c>
      <c r="L2155">
        <v>7.3</v>
      </c>
      <c r="M2155">
        <v>1.8</v>
      </c>
      <c r="N2155" t="s">
        <v>29</v>
      </c>
      <c r="O2155">
        <v>9</v>
      </c>
      <c r="P2155" t="s">
        <v>43</v>
      </c>
      <c r="Q2155">
        <v>59.7</v>
      </c>
    </row>
    <row r="2156" spans="1:17" x14ac:dyDescent="0.35">
      <c r="A2156" s="1">
        <v>45831</v>
      </c>
      <c r="B2156" t="s">
        <v>84</v>
      </c>
      <c r="C2156" t="s">
        <v>18</v>
      </c>
      <c r="D2156" t="s">
        <v>85</v>
      </c>
      <c r="E2156" t="s">
        <v>27</v>
      </c>
      <c r="F2156">
        <v>96.15</v>
      </c>
      <c r="G2156">
        <v>59.3</v>
      </c>
      <c r="H2156">
        <v>93.24</v>
      </c>
      <c r="I2156">
        <v>93.86</v>
      </c>
      <c r="J2156">
        <v>83.7</v>
      </c>
      <c r="K2156" t="s">
        <v>34</v>
      </c>
      <c r="L2156">
        <v>7.5</v>
      </c>
      <c r="M2156">
        <v>4.3</v>
      </c>
      <c r="N2156" t="s">
        <v>39</v>
      </c>
      <c r="O2156">
        <v>12</v>
      </c>
      <c r="P2156" t="s">
        <v>23</v>
      </c>
      <c r="Q2156">
        <v>59.3</v>
      </c>
    </row>
    <row r="2157" spans="1:17" x14ac:dyDescent="0.35">
      <c r="A2157" s="1">
        <v>45831</v>
      </c>
      <c r="B2157" t="s">
        <v>59</v>
      </c>
      <c r="C2157" t="s">
        <v>60</v>
      </c>
      <c r="D2157" t="s">
        <v>61</v>
      </c>
      <c r="E2157" t="s">
        <v>62</v>
      </c>
      <c r="F2157">
        <v>358.75</v>
      </c>
      <c r="G2157">
        <v>185.6</v>
      </c>
      <c r="H2157">
        <v>91.67</v>
      </c>
      <c r="I2157">
        <v>94.33</v>
      </c>
      <c r="J2157">
        <v>90.18</v>
      </c>
      <c r="K2157" t="s">
        <v>63</v>
      </c>
      <c r="L2157">
        <v>7.6</v>
      </c>
      <c r="N2157" t="s">
        <v>35</v>
      </c>
      <c r="O2157">
        <v>3</v>
      </c>
      <c r="P2157" t="s">
        <v>23</v>
      </c>
      <c r="Q2157">
        <v>74.400000000000006</v>
      </c>
    </row>
    <row r="2158" spans="1:17" x14ac:dyDescent="0.35">
      <c r="A2158" s="1">
        <v>45831</v>
      </c>
      <c r="B2158" t="s">
        <v>71</v>
      </c>
      <c r="C2158" t="s">
        <v>72</v>
      </c>
      <c r="D2158" t="s">
        <v>73</v>
      </c>
      <c r="E2158" t="s">
        <v>33</v>
      </c>
      <c r="F2158">
        <v>176.64</v>
      </c>
      <c r="G2158">
        <v>77.099999999999994</v>
      </c>
      <c r="H2158">
        <v>93.17</v>
      </c>
      <c r="I2158">
        <v>95.12</v>
      </c>
      <c r="J2158">
        <v>74.209999999999994</v>
      </c>
      <c r="K2158" t="s">
        <v>47</v>
      </c>
      <c r="L2158">
        <v>7.4</v>
      </c>
      <c r="M2158">
        <v>2.2999999999999998</v>
      </c>
      <c r="N2158" t="s">
        <v>35</v>
      </c>
      <c r="O2158">
        <v>9</v>
      </c>
      <c r="P2158" t="s">
        <v>43</v>
      </c>
      <c r="Q2158">
        <v>59.4</v>
      </c>
    </row>
    <row r="2159" spans="1:17" x14ac:dyDescent="0.35">
      <c r="A2159" s="1">
        <v>45831</v>
      </c>
      <c r="B2159" t="s">
        <v>95</v>
      </c>
      <c r="C2159" t="s">
        <v>49</v>
      </c>
      <c r="D2159" t="s">
        <v>96</v>
      </c>
      <c r="E2159" t="s">
        <v>33</v>
      </c>
      <c r="F2159">
        <v>433.4</v>
      </c>
      <c r="G2159">
        <v>151.80000000000001</v>
      </c>
      <c r="H2159">
        <v>96.32</v>
      </c>
      <c r="I2159">
        <v>95.42</v>
      </c>
      <c r="J2159">
        <v>77.62</v>
      </c>
      <c r="K2159" t="s">
        <v>28</v>
      </c>
      <c r="L2159">
        <v>9</v>
      </c>
      <c r="M2159">
        <v>4.2</v>
      </c>
      <c r="N2159" t="s">
        <v>35</v>
      </c>
      <c r="O2159">
        <v>6</v>
      </c>
      <c r="P2159" t="s">
        <v>23</v>
      </c>
      <c r="Q2159">
        <v>63.4</v>
      </c>
    </row>
    <row r="2160" spans="1:17" x14ac:dyDescent="0.35">
      <c r="A2160" s="1">
        <v>45831</v>
      </c>
      <c r="B2160" t="s">
        <v>95</v>
      </c>
      <c r="C2160" t="s">
        <v>49</v>
      </c>
      <c r="D2160" t="s">
        <v>96</v>
      </c>
      <c r="E2160" t="s">
        <v>27</v>
      </c>
      <c r="F2160">
        <v>293.72000000000003</v>
      </c>
      <c r="G2160">
        <v>68.2</v>
      </c>
      <c r="H2160">
        <v>92.81</v>
      </c>
      <c r="I2160">
        <v>94.96</v>
      </c>
      <c r="J2160">
        <v>76.099999999999994</v>
      </c>
      <c r="K2160" t="s">
        <v>28</v>
      </c>
      <c r="L2160">
        <v>8.3000000000000007</v>
      </c>
      <c r="M2160">
        <v>4.3</v>
      </c>
      <c r="N2160" t="s">
        <v>39</v>
      </c>
      <c r="O2160">
        <v>13</v>
      </c>
      <c r="P2160" t="s">
        <v>43</v>
      </c>
      <c r="Q2160">
        <v>59.6</v>
      </c>
    </row>
    <row r="2161" spans="1:17" x14ac:dyDescent="0.35">
      <c r="A2161" s="1">
        <v>45831</v>
      </c>
      <c r="B2161" t="s">
        <v>59</v>
      </c>
      <c r="C2161" t="s">
        <v>60</v>
      </c>
      <c r="D2161" t="s">
        <v>61</v>
      </c>
      <c r="E2161" t="s">
        <v>62</v>
      </c>
      <c r="F2161">
        <v>443.36</v>
      </c>
      <c r="G2161">
        <v>180.8</v>
      </c>
      <c r="H2161">
        <v>86.64</v>
      </c>
      <c r="I2161">
        <v>96.72</v>
      </c>
      <c r="J2161">
        <v>89.96</v>
      </c>
      <c r="K2161" t="s">
        <v>63</v>
      </c>
      <c r="L2161">
        <v>8.1</v>
      </c>
      <c r="N2161" t="s">
        <v>35</v>
      </c>
      <c r="O2161">
        <v>3</v>
      </c>
      <c r="P2161" t="s">
        <v>23</v>
      </c>
      <c r="Q2161">
        <v>74.900000000000006</v>
      </c>
    </row>
    <row r="2162" spans="1:17" x14ac:dyDescent="0.35">
      <c r="A2162" s="1">
        <v>45831</v>
      </c>
      <c r="B2162" t="s">
        <v>74</v>
      </c>
      <c r="C2162" t="s">
        <v>67</v>
      </c>
      <c r="D2162" t="s">
        <v>75</v>
      </c>
      <c r="E2162" t="s">
        <v>27</v>
      </c>
      <c r="F2162">
        <v>124.88</v>
      </c>
      <c r="G2162">
        <v>36.1</v>
      </c>
      <c r="H2162">
        <v>96.35</v>
      </c>
      <c r="I2162">
        <v>95.96</v>
      </c>
      <c r="J2162">
        <v>76.260000000000005</v>
      </c>
      <c r="K2162" t="s">
        <v>28</v>
      </c>
      <c r="L2162">
        <v>6.6</v>
      </c>
      <c r="M2162">
        <v>1.8</v>
      </c>
      <c r="N2162" t="s">
        <v>39</v>
      </c>
      <c r="O2162">
        <v>13</v>
      </c>
      <c r="P2162" t="s">
        <v>43</v>
      </c>
      <c r="Q2162">
        <v>58.6</v>
      </c>
    </row>
    <row r="2163" spans="1:17" x14ac:dyDescent="0.35">
      <c r="A2163" s="1">
        <v>45831</v>
      </c>
      <c r="B2163" t="s">
        <v>48</v>
      </c>
      <c r="C2163" t="s">
        <v>49</v>
      </c>
      <c r="D2163" t="s">
        <v>50</v>
      </c>
      <c r="E2163" t="s">
        <v>33</v>
      </c>
      <c r="F2163">
        <v>334.06</v>
      </c>
      <c r="G2163">
        <v>94.5</v>
      </c>
      <c r="H2163">
        <v>93.61</v>
      </c>
      <c r="I2163">
        <v>94.12</v>
      </c>
      <c r="J2163">
        <v>70.2</v>
      </c>
      <c r="K2163" t="s">
        <v>28</v>
      </c>
      <c r="L2163">
        <v>8</v>
      </c>
      <c r="M2163">
        <v>3.9</v>
      </c>
      <c r="N2163" t="s">
        <v>22</v>
      </c>
      <c r="O2163">
        <v>7</v>
      </c>
      <c r="P2163" t="s">
        <v>43</v>
      </c>
      <c r="Q2163">
        <v>58.9</v>
      </c>
    </row>
    <row r="2164" spans="1:17" x14ac:dyDescent="0.35">
      <c r="A2164" s="1">
        <v>45831</v>
      </c>
      <c r="B2164" t="s">
        <v>55</v>
      </c>
      <c r="C2164" t="s">
        <v>56</v>
      </c>
      <c r="D2164">
        <v>4</v>
      </c>
      <c r="E2164" t="s">
        <v>57</v>
      </c>
      <c r="F2164">
        <v>30</v>
      </c>
      <c r="G2164">
        <v>160.69999999999999</v>
      </c>
      <c r="H2164">
        <v>90.16</v>
      </c>
      <c r="I2164">
        <v>95.38</v>
      </c>
      <c r="J2164">
        <v>75.540000000000006</v>
      </c>
      <c r="K2164" t="s">
        <v>63</v>
      </c>
      <c r="L2164">
        <v>6.1</v>
      </c>
      <c r="N2164" t="s">
        <v>35</v>
      </c>
      <c r="O2164">
        <v>5</v>
      </c>
      <c r="P2164" t="s">
        <v>23</v>
      </c>
      <c r="Q2164">
        <v>68.2</v>
      </c>
    </row>
    <row r="2165" spans="1:17" x14ac:dyDescent="0.35">
      <c r="A2165" s="1">
        <v>45831</v>
      </c>
      <c r="B2165" t="s">
        <v>55</v>
      </c>
      <c r="C2165" t="s">
        <v>56</v>
      </c>
      <c r="D2165">
        <v>4</v>
      </c>
      <c r="E2165" t="s">
        <v>57</v>
      </c>
      <c r="F2165">
        <v>30</v>
      </c>
      <c r="G2165">
        <v>162.4</v>
      </c>
      <c r="H2165">
        <v>90.09</v>
      </c>
      <c r="I2165">
        <v>96.06</v>
      </c>
      <c r="J2165">
        <v>73.66</v>
      </c>
      <c r="K2165" t="s">
        <v>63</v>
      </c>
      <c r="L2165">
        <v>6.1</v>
      </c>
      <c r="N2165" t="s">
        <v>35</v>
      </c>
      <c r="O2165">
        <v>3</v>
      </c>
      <c r="P2165" t="s">
        <v>23</v>
      </c>
      <c r="Q2165">
        <v>68</v>
      </c>
    </row>
    <row r="2166" spans="1:17" x14ac:dyDescent="0.35">
      <c r="A2166" s="1">
        <v>45831</v>
      </c>
      <c r="B2166" t="s">
        <v>55</v>
      </c>
      <c r="C2166" t="s">
        <v>56</v>
      </c>
      <c r="D2166">
        <v>4</v>
      </c>
      <c r="E2166" t="s">
        <v>57</v>
      </c>
      <c r="F2166">
        <v>30</v>
      </c>
      <c r="G2166">
        <v>162.4</v>
      </c>
      <c r="H2166">
        <v>85.43</v>
      </c>
      <c r="I2166">
        <v>95.41</v>
      </c>
      <c r="J2166">
        <v>72.19</v>
      </c>
      <c r="K2166" t="s">
        <v>63</v>
      </c>
      <c r="L2166">
        <v>6.9</v>
      </c>
      <c r="N2166" t="s">
        <v>35</v>
      </c>
      <c r="O2166">
        <v>2</v>
      </c>
      <c r="P2166" t="s">
        <v>43</v>
      </c>
      <c r="Q2166">
        <v>68.3</v>
      </c>
    </row>
    <row r="2167" spans="1:17" x14ac:dyDescent="0.35">
      <c r="A2167" s="1">
        <v>45831</v>
      </c>
      <c r="B2167" t="s">
        <v>80</v>
      </c>
      <c r="C2167" t="s">
        <v>45</v>
      </c>
      <c r="D2167" t="s">
        <v>81</v>
      </c>
      <c r="E2167" t="s">
        <v>33</v>
      </c>
      <c r="F2167">
        <v>549.77</v>
      </c>
      <c r="G2167">
        <v>652.70000000000005</v>
      </c>
      <c r="H2167">
        <v>95.51</v>
      </c>
      <c r="I2167">
        <v>98.3</v>
      </c>
      <c r="J2167">
        <v>75.69</v>
      </c>
      <c r="K2167" t="s">
        <v>34</v>
      </c>
      <c r="L2167">
        <v>8.1</v>
      </c>
      <c r="M2167">
        <v>1.5</v>
      </c>
      <c r="N2167" t="s">
        <v>35</v>
      </c>
      <c r="O2167">
        <v>10</v>
      </c>
      <c r="P2167" t="s">
        <v>23</v>
      </c>
      <c r="Q2167">
        <v>64.099999999999994</v>
      </c>
    </row>
    <row r="2168" spans="1:17" x14ac:dyDescent="0.35">
      <c r="A2168" s="1">
        <v>45831</v>
      </c>
      <c r="B2168" t="s">
        <v>59</v>
      </c>
      <c r="C2168" t="s">
        <v>60</v>
      </c>
      <c r="D2168" t="s">
        <v>61</v>
      </c>
      <c r="E2168" t="s">
        <v>62</v>
      </c>
      <c r="F2168">
        <v>500.96</v>
      </c>
      <c r="G2168">
        <v>174.3</v>
      </c>
      <c r="H2168">
        <v>89.91</v>
      </c>
      <c r="I2168">
        <v>94.94</v>
      </c>
      <c r="J2168">
        <v>90.6</v>
      </c>
      <c r="K2168" t="s">
        <v>63</v>
      </c>
      <c r="L2168">
        <v>8.5</v>
      </c>
      <c r="N2168" t="s">
        <v>35</v>
      </c>
      <c r="O2168">
        <v>3</v>
      </c>
      <c r="P2168" t="s">
        <v>43</v>
      </c>
      <c r="Q2168">
        <v>76.099999999999994</v>
      </c>
    </row>
    <row r="2169" spans="1:17" x14ac:dyDescent="0.35">
      <c r="A2169" s="1">
        <v>45831</v>
      </c>
      <c r="B2169" t="s">
        <v>40</v>
      </c>
      <c r="C2169" t="s">
        <v>41</v>
      </c>
      <c r="D2169" t="s">
        <v>42</v>
      </c>
      <c r="E2169" t="s">
        <v>27</v>
      </c>
      <c r="F2169">
        <v>205.04</v>
      </c>
      <c r="G2169">
        <v>69.7</v>
      </c>
      <c r="H2169">
        <v>95.57</v>
      </c>
      <c r="I2169">
        <v>96.57</v>
      </c>
      <c r="J2169">
        <v>83.74</v>
      </c>
      <c r="K2169" t="s">
        <v>28</v>
      </c>
      <c r="L2169">
        <v>8.3000000000000007</v>
      </c>
      <c r="M2169">
        <v>3.2</v>
      </c>
      <c r="N2169" t="s">
        <v>39</v>
      </c>
      <c r="O2169">
        <v>10</v>
      </c>
      <c r="P2169" t="s">
        <v>43</v>
      </c>
      <c r="Q2169">
        <v>62.4</v>
      </c>
    </row>
    <row r="2170" spans="1:17" x14ac:dyDescent="0.35">
      <c r="A2170" s="1">
        <v>45831</v>
      </c>
      <c r="B2170" t="s">
        <v>51</v>
      </c>
      <c r="C2170" t="s">
        <v>45</v>
      </c>
      <c r="D2170" t="s">
        <v>52</v>
      </c>
      <c r="E2170" t="s">
        <v>27</v>
      </c>
      <c r="F2170">
        <v>720.88</v>
      </c>
      <c r="G2170">
        <v>639.20000000000005</v>
      </c>
      <c r="H2170">
        <v>92.07</v>
      </c>
      <c r="I2170">
        <v>98.15</v>
      </c>
      <c r="J2170">
        <v>76.040000000000006</v>
      </c>
      <c r="K2170" t="s">
        <v>47</v>
      </c>
      <c r="L2170">
        <v>8.5</v>
      </c>
      <c r="M2170">
        <v>4</v>
      </c>
      <c r="N2170" t="s">
        <v>29</v>
      </c>
      <c r="O2170">
        <v>8</v>
      </c>
      <c r="P2170" t="s">
        <v>23</v>
      </c>
      <c r="Q2170">
        <v>62.5</v>
      </c>
    </row>
    <row r="2171" spans="1:17" x14ac:dyDescent="0.35">
      <c r="A2171" s="1">
        <v>45831</v>
      </c>
      <c r="B2171" t="s">
        <v>89</v>
      </c>
      <c r="C2171" t="s">
        <v>67</v>
      </c>
      <c r="D2171" t="s">
        <v>90</v>
      </c>
      <c r="E2171" t="s">
        <v>27</v>
      </c>
      <c r="F2171">
        <v>403.27</v>
      </c>
      <c r="G2171">
        <v>36.1</v>
      </c>
      <c r="H2171">
        <v>96.83</v>
      </c>
      <c r="I2171">
        <v>96.03</v>
      </c>
      <c r="J2171">
        <v>75.430000000000007</v>
      </c>
      <c r="K2171" t="s">
        <v>28</v>
      </c>
      <c r="L2171">
        <v>8.1</v>
      </c>
      <c r="M2171">
        <v>3.4</v>
      </c>
      <c r="N2171" t="s">
        <v>29</v>
      </c>
      <c r="O2171">
        <v>8</v>
      </c>
      <c r="P2171" t="s">
        <v>23</v>
      </c>
      <c r="Q2171">
        <v>60</v>
      </c>
    </row>
    <row r="2172" spans="1:17" x14ac:dyDescent="0.35">
      <c r="A2172" s="1">
        <v>45831</v>
      </c>
      <c r="B2172" t="s">
        <v>86</v>
      </c>
      <c r="C2172" t="s">
        <v>25</v>
      </c>
      <c r="D2172" t="s">
        <v>87</v>
      </c>
      <c r="E2172" t="s">
        <v>27</v>
      </c>
      <c r="F2172">
        <v>738.79</v>
      </c>
      <c r="G2172">
        <v>56.8</v>
      </c>
      <c r="H2172">
        <v>94.72</v>
      </c>
      <c r="I2172">
        <v>97.61</v>
      </c>
      <c r="J2172">
        <v>83.24</v>
      </c>
      <c r="K2172" t="s">
        <v>34</v>
      </c>
      <c r="L2172">
        <v>9.3000000000000007</v>
      </c>
      <c r="M2172">
        <v>3.4</v>
      </c>
      <c r="N2172" t="s">
        <v>29</v>
      </c>
      <c r="O2172">
        <v>11</v>
      </c>
      <c r="P2172" t="s">
        <v>30</v>
      </c>
      <c r="Q2172">
        <v>63.6</v>
      </c>
    </row>
    <row r="2173" spans="1:17" x14ac:dyDescent="0.35">
      <c r="A2173" s="1">
        <v>45831</v>
      </c>
      <c r="B2173" t="s">
        <v>64</v>
      </c>
      <c r="C2173" t="s">
        <v>25</v>
      </c>
      <c r="D2173" t="s">
        <v>65</v>
      </c>
      <c r="E2173" t="s">
        <v>27</v>
      </c>
      <c r="F2173">
        <v>313.22000000000003</v>
      </c>
      <c r="G2173">
        <v>23.6</v>
      </c>
      <c r="H2173">
        <v>94.55</v>
      </c>
      <c r="I2173">
        <v>97.45</v>
      </c>
      <c r="J2173">
        <v>77.069999999999993</v>
      </c>
      <c r="K2173" t="s">
        <v>47</v>
      </c>
      <c r="L2173">
        <v>7.3</v>
      </c>
      <c r="M2173">
        <v>4.5999999999999996</v>
      </c>
      <c r="N2173" t="s">
        <v>39</v>
      </c>
      <c r="O2173">
        <v>8</v>
      </c>
      <c r="P2173" t="s">
        <v>30</v>
      </c>
      <c r="Q2173">
        <v>57.7</v>
      </c>
    </row>
    <row r="2174" spans="1:17" x14ac:dyDescent="0.35">
      <c r="A2174" s="1">
        <v>45831</v>
      </c>
      <c r="B2174" t="s">
        <v>48</v>
      </c>
      <c r="C2174" t="s">
        <v>49</v>
      </c>
      <c r="D2174" t="s">
        <v>50</v>
      </c>
      <c r="E2174" t="s">
        <v>33</v>
      </c>
      <c r="F2174">
        <v>411.84</v>
      </c>
      <c r="G2174">
        <v>109.1</v>
      </c>
      <c r="H2174">
        <v>94.53</v>
      </c>
      <c r="I2174">
        <v>96.6</v>
      </c>
      <c r="J2174">
        <v>74.260000000000005</v>
      </c>
      <c r="K2174" t="s">
        <v>34</v>
      </c>
      <c r="L2174">
        <v>9.3000000000000007</v>
      </c>
      <c r="M2174">
        <v>3.1</v>
      </c>
      <c r="N2174" t="s">
        <v>35</v>
      </c>
      <c r="O2174">
        <v>5</v>
      </c>
      <c r="P2174" t="s">
        <v>43</v>
      </c>
      <c r="Q2174">
        <v>63.2</v>
      </c>
    </row>
    <row r="2175" spans="1:17" x14ac:dyDescent="0.35">
      <c r="A2175" s="1">
        <v>45831</v>
      </c>
      <c r="B2175" t="s">
        <v>99</v>
      </c>
      <c r="C2175" t="s">
        <v>72</v>
      </c>
      <c r="D2175" t="s">
        <v>100</v>
      </c>
      <c r="E2175" t="s">
        <v>27</v>
      </c>
      <c r="F2175">
        <v>204.49</v>
      </c>
      <c r="G2175">
        <v>34.5</v>
      </c>
      <c r="H2175">
        <v>93.39</v>
      </c>
      <c r="I2175">
        <v>95.3</v>
      </c>
      <c r="J2175">
        <v>80.87</v>
      </c>
      <c r="K2175" t="s">
        <v>34</v>
      </c>
      <c r="L2175">
        <v>7.5</v>
      </c>
      <c r="M2175">
        <v>2.2000000000000002</v>
      </c>
      <c r="N2175" t="s">
        <v>39</v>
      </c>
      <c r="O2175">
        <v>10</v>
      </c>
      <c r="P2175" t="s">
        <v>23</v>
      </c>
      <c r="Q2175">
        <v>60</v>
      </c>
    </row>
    <row r="2176" spans="1:17" x14ac:dyDescent="0.35">
      <c r="A2176" s="1">
        <v>45831</v>
      </c>
      <c r="B2176" t="s">
        <v>53</v>
      </c>
      <c r="C2176" t="s">
        <v>41</v>
      </c>
      <c r="D2176" t="s">
        <v>54</v>
      </c>
      <c r="E2176" t="s">
        <v>27</v>
      </c>
      <c r="F2176">
        <v>298.13</v>
      </c>
      <c r="G2176">
        <v>55.9</v>
      </c>
      <c r="H2176">
        <v>93.01</v>
      </c>
      <c r="I2176">
        <v>97</v>
      </c>
      <c r="J2176">
        <v>79.290000000000006</v>
      </c>
      <c r="K2176" t="s">
        <v>34</v>
      </c>
      <c r="L2176">
        <v>7.2</v>
      </c>
      <c r="M2176">
        <v>4.9000000000000004</v>
      </c>
      <c r="N2176" t="s">
        <v>29</v>
      </c>
      <c r="O2176">
        <v>9</v>
      </c>
      <c r="P2176" t="s">
        <v>43</v>
      </c>
      <c r="Q2176">
        <v>58.1</v>
      </c>
    </row>
    <row r="2177" spans="1:17" x14ac:dyDescent="0.35">
      <c r="A2177" s="1">
        <v>45831</v>
      </c>
      <c r="B2177" t="s">
        <v>80</v>
      </c>
      <c r="C2177" t="s">
        <v>45</v>
      </c>
      <c r="D2177" t="s">
        <v>81</v>
      </c>
      <c r="E2177" t="s">
        <v>27</v>
      </c>
      <c r="F2177">
        <v>942.75</v>
      </c>
      <c r="G2177">
        <v>596.20000000000005</v>
      </c>
      <c r="H2177">
        <v>95.49</v>
      </c>
      <c r="I2177">
        <v>98.8</v>
      </c>
      <c r="J2177">
        <v>82.73</v>
      </c>
      <c r="K2177" t="s">
        <v>28</v>
      </c>
      <c r="L2177">
        <v>8.6999999999999993</v>
      </c>
      <c r="M2177">
        <v>4</v>
      </c>
      <c r="N2177" t="s">
        <v>29</v>
      </c>
      <c r="O2177">
        <v>8</v>
      </c>
      <c r="P2177" t="s">
        <v>23</v>
      </c>
      <c r="Q2177">
        <v>64.7</v>
      </c>
    </row>
    <row r="2178" spans="1:17" x14ac:dyDescent="0.35">
      <c r="A2178" s="1">
        <v>45831</v>
      </c>
      <c r="B2178" t="s">
        <v>95</v>
      </c>
      <c r="C2178" t="s">
        <v>49</v>
      </c>
      <c r="D2178" t="s">
        <v>96</v>
      </c>
      <c r="E2178" t="s">
        <v>33</v>
      </c>
      <c r="F2178">
        <v>489.02</v>
      </c>
      <c r="G2178">
        <v>218.4</v>
      </c>
      <c r="H2178">
        <v>93.12</v>
      </c>
      <c r="I2178">
        <v>93.74</v>
      </c>
      <c r="J2178">
        <v>77.47</v>
      </c>
      <c r="K2178" t="s">
        <v>28</v>
      </c>
      <c r="L2178">
        <v>8.4</v>
      </c>
      <c r="M2178">
        <v>3.9</v>
      </c>
      <c r="N2178" t="s">
        <v>35</v>
      </c>
      <c r="O2178">
        <v>5</v>
      </c>
      <c r="P2178" t="s">
        <v>43</v>
      </c>
      <c r="Q2178">
        <v>62.1</v>
      </c>
    </row>
    <row r="2179" spans="1:17" x14ac:dyDescent="0.35">
      <c r="A2179" s="1">
        <v>45831</v>
      </c>
      <c r="B2179" t="s">
        <v>53</v>
      </c>
      <c r="C2179" t="s">
        <v>41</v>
      </c>
      <c r="D2179" t="s">
        <v>54</v>
      </c>
      <c r="E2179" t="s">
        <v>27</v>
      </c>
      <c r="F2179">
        <v>621.21</v>
      </c>
      <c r="G2179">
        <v>23.5</v>
      </c>
      <c r="H2179">
        <v>96.63</v>
      </c>
      <c r="I2179">
        <v>98.09</v>
      </c>
      <c r="J2179">
        <v>83.84</v>
      </c>
      <c r="K2179" t="s">
        <v>47</v>
      </c>
      <c r="L2179">
        <v>9</v>
      </c>
      <c r="M2179">
        <v>4.5999999999999996</v>
      </c>
      <c r="N2179" t="s">
        <v>39</v>
      </c>
      <c r="O2179">
        <v>14</v>
      </c>
      <c r="P2179" t="s">
        <v>43</v>
      </c>
      <c r="Q2179">
        <v>62.2</v>
      </c>
    </row>
    <row r="2180" spans="1:17" x14ac:dyDescent="0.35">
      <c r="A2180" s="1">
        <v>45832</v>
      </c>
      <c r="B2180" t="s">
        <v>101</v>
      </c>
      <c r="C2180" t="s">
        <v>45</v>
      </c>
      <c r="D2180" t="s">
        <v>102</v>
      </c>
      <c r="E2180" t="s">
        <v>33</v>
      </c>
      <c r="F2180">
        <v>151.19999999999999</v>
      </c>
      <c r="G2180">
        <v>1326.3</v>
      </c>
      <c r="H2180">
        <v>94.9</v>
      </c>
      <c r="I2180">
        <v>99.26</v>
      </c>
      <c r="J2180">
        <v>76.37</v>
      </c>
      <c r="K2180" t="s">
        <v>88</v>
      </c>
      <c r="L2180">
        <v>7.9</v>
      </c>
      <c r="M2180">
        <v>3.2</v>
      </c>
      <c r="N2180" t="s">
        <v>35</v>
      </c>
      <c r="O2180">
        <v>9</v>
      </c>
      <c r="P2180" t="s">
        <v>23</v>
      </c>
      <c r="Q2180">
        <v>62.8</v>
      </c>
    </row>
    <row r="2181" spans="1:17" x14ac:dyDescent="0.35">
      <c r="A2181" s="1">
        <v>45832</v>
      </c>
      <c r="B2181" t="s">
        <v>48</v>
      </c>
      <c r="C2181" t="s">
        <v>49</v>
      </c>
      <c r="D2181" t="s">
        <v>50</v>
      </c>
      <c r="E2181" t="s">
        <v>33</v>
      </c>
      <c r="F2181">
        <v>387.31</v>
      </c>
      <c r="G2181">
        <v>183</v>
      </c>
      <c r="H2181">
        <v>94.29</v>
      </c>
      <c r="I2181">
        <v>96.97</v>
      </c>
      <c r="J2181">
        <v>77.59</v>
      </c>
      <c r="K2181" t="s">
        <v>28</v>
      </c>
      <c r="L2181">
        <v>8.1</v>
      </c>
      <c r="M2181">
        <v>2.8</v>
      </c>
      <c r="N2181" t="s">
        <v>35</v>
      </c>
      <c r="O2181">
        <v>5</v>
      </c>
      <c r="P2181" t="s">
        <v>43</v>
      </c>
      <c r="Q2181">
        <v>63.1</v>
      </c>
    </row>
    <row r="2182" spans="1:17" x14ac:dyDescent="0.35">
      <c r="A2182" s="1">
        <v>45832</v>
      </c>
      <c r="B2182" t="s">
        <v>55</v>
      </c>
      <c r="C2182" t="s">
        <v>56</v>
      </c>
      <c r="D2182">
        <v>4</v>
      </c>
      <c r="E2182" t="s">
        <v>57</v>
      </c>
      <c r="F2182">
        <v>30</v>
      </c>
      <c r="G2182">
        <v>124.2</v>
      </c>
      <c r="H2182">
        <v>85.88</v>
      </c>
      <c r="I2182">
        <v>93.51</v>
      </c>
      <c r="J2182">
        <v>71.959999999999994</v>
      </c>
      <c r="K2182" t="s">
        <v>58</v>
      </c>
      <c r="L2182">
        <v>6.2</v>
      </c>
      <c r="N2182" t="s">
        <v>35</v>
      </c>
      <c r="O2182">
        <v>3</v>
      </c>
      <c r="P2182" t="s">
        <v>23</v>
      </c>
      <c r="Q2182">
        <v>65.599999999999994</v>
      </c>
    </row>
    <row r="2183" spans="1:17" x14ac:dyDescent="0.35">
      <c r="A2183" s="1">
        <v>45832</v>
      </c>
      <c r="B2183" t="s">
        <v>74</v>
      </c>
      <c r="C2183" t="s">
        <v>67</v>
      </c>
      <c r="D2183" t="s">
        <v>75</v>
      </c>
      <c r="E2183" t="s">
        <v>27</v>
      </c>
      <c r="F2183">
        <v>374.46</v>
      </c>
      <c r="G2183">
        <v>35.799999999999997</v>
      </c>
      <c r="H2183">
        <v>95.89</v>
      </c>
      <c r="I2183">
        <v>94.87</v>
      </c>
      <c r="J2183">
        <v>81.2</v>
      </c>
      <c r="K2183" t="s">
        <v>34</v>
      </c>
      <c r="L2183">
        <v>7.2</v>
      </c>
      <c r="M2183">
        <v>4.5</v>
      </c>
      <c r="N2183" t="s">
        <v>39</v>
      </c>
      <c r="O2183">
        <v>13</v>
      </c>
      <c r="P2183" t="s">
        <v>23</v>
      </c>
      <c r="Q2183">
        <v>58.4</v>
      </c>
    </row>
    <row r="2184" spans="1:17" x14ac:dyDescent="0.35">
      <c r="A2184" s="1">
        <v>45832</v>
      </c>
      <c r="B2184" t="s">
        <v>78</v>
      </c>
      <c r="C2184" t="s">
        <v>41</v>
      </c>
      <c r="D2184" t="s">
        <v>79</v>
      </c>
      <c r="E2184" t="s">
        <v>27</v>
      </c>
      <c r="F2184">
        <v>360.06</v>
      </c>
      <c r="G2184">
        <v>39.4</v>
      </c>
      <c r="H2184">
        <v>94.33</v>
      </c>
      <c r="I2184">
        <v>96.72</v>
      </c>
      <c r="J2184">
        <v>75.61</v>
      </c>
      <c r="K2184" t="s">
        <v>34</v>
      </c>
      <c r="L2184">
        <v>7.4</v>
      </c>
      <c r="M2184">
        <v>3.3</v>
      </c>
      <c r="N2184" t="s">
        <v>29</v>
      </c>
      <c r="O2184">
        <v>12</v>
      </c>
      <c r="P2184" t="s">
        <v>43</v>
      </c>
      <c r="Q2184">
        <v>58.7</v>
      </c>
    </row>
    <row r="2185" spans="1:17" x14ac:dyDescent="0.35">
      <c r="A2185" s="1">
        <v>45832</v>
      </c>
      <c r="B2185" t="s">
        <v>59</v>
      </c>
      <c r="C2185" t="s">
        <v>60</v>
      </c>
      <c r="D2185" t="s">
        <v>61</v>
      </c>
      <c r="E2185" t="s">
        <v>62</v>
      </c>
      <c r="F2185">
        <v>488.93</v>
      </c>
      <c r="G2185">
        <v>183.5</v>
      </c>
      <c r="H2185">
        <v>89.96</v>
      </c>
      <c r="I2185">
        <v>94.84</v>
      </c>
      <c r="J2185">
        <v>86.2</v>
      </c>
      <c r="K2185" t="s">
        <v>34</v>
      </c>
      <c r="L2185">
        <v>8.4</v>
      </c>
      <c r="N2185" t="s">
        <v>35</v>
      </c>
      <c r="O2185">
        <v>5</v>
      </c>
      <c r="P2185" t="s">
        <v>43</v>
      </c>
      <c r="Q2185">
        <v>75</v>
      </c>
    </row>
    <row r="2186" spans="1:17" x14ac:dyDescent="0.35">
      <c r="A2186" s="1">
        <v>45832</v>
      </c>
      <c r="B2186" t="s">
        <v>78</v>
      </c>
      <c r="C2186" t="s">
        <v>41</v>
      </c>
      <c r="D2186" t="s">
        <v>79</v>
      </c>
      <c r="E2186" t="s">
        <v>27</v>
      </c>
      <c r="F2186">
        <v>569.78</v>
      </c>
      <c r="G2186">
        <v>31.2</v>
      </c>
      <c r="H2186">
        <v>92.84</v>
      </c>
      <c r="I2186">
        <v>96.26</v>
      </c>
      <c r="J2186">
        <v>82.41</v>
      </c>
      <c r="K2186" t="s">
        <v>28</v>
      </c>
      <c r="L2186">
        <v>8.1</v>
      </c>
      <c r="M2186">
        <v>3</v>
      </c>
      <c r="N2186" t="s">
        <v>29</v>
      </c>
      <c r="O2186">
        <v>11</v>
      </c>
      <c r="P2186" t="s">
        <v>43</v>
      </c>
      <c r="Q2186">
        <v>60.7</v>
      </c>
    </row>
    <row r="2187" spans="1:17" x14ac:dyDescent="0.35">
      <c r="A2187" s="1">
        <v>45832</v>
      </c>
      <c r="B2187" t="s">
        <v>36</v>
      </c>
      <c r="C2187" t="s">
        <v>37</v>
      </c>
      <c r="D2187" t="s">
        <v>38</v>
      </c>
      <c r="E2187" t="s">
        <v>33</v>
      </c>
      <c r="F2187">
        <v>419.5</v>
      </c>
      <c r="G2187">
        <v>114.7</v>
      </c>
      <c r="H2187">
        <v>93.15</v>
      </c>
      <c r="I2187">
        <v>94.85</v>
      </c>
      <c r="J2187">
        <v>71.22</v>
      </c>
      <c r="K2187" t="s">
        <v>28</v>
      </c>
      <c r="L2187">
        <v>8.5</v>
      </c>
      <c r="M2187">
        <v>2.5</v>
      </c>
      <c r="N2187" t="s">
        <v>35</v>
      </c>
      <c r="O2187">
        <v>10</v>
      </c>
      <c r="P2187" t="s">
        <v>23</v>
      </c>
      <c r="Q2187">
        <v>61.3</v>
      </c>
    </row>
    <row r="2188" spans="1:17" x14ac:dyDescent="0.35">
      <c r="A2188" s="1">
        <v>45832</v>
      </c>
      <c r="B2188" t="s">
        <v>80</v>
      </c>
      <c r="C2188" t="s">
        <v>45</v>
      </c>
      <c r="D2188" t="s">
        <v>81</v>
      </c>
      <c r="E2188" t="s">
        <v>33</v>
      </c>
      <c r="F2188">
        <v>933.02</v>
      </c>
      <c r="G2188">
        <v>269.7</v>
      </c>
      <c r="H2188">
        <v>93.5</v>
      </c>
      <c r="I2188">
        <v>98.06</v>
      </c>
      <c r="J2188">
        <v>77.5</v>
      </c>
      <c r="K2188" t="s">
        <v>34</v>
      </c>
      <c r="L2188">
        <v>9.1</v>
      </c>
      <c r="M2188">
        <v>3.6</v>
      </c>
      <c r="N2188" t="s">
        <v>22</v>
      </c>
      <c r="O2188">
        <v>6</v>
      </c>
      <c r="P2188" t="s">
        <v>23</v>
      </c>
      <c r="Q2188">
        <v>64.3</v>
      </c>
    </row>
    <row r="2189" spans="1:17" x14ac:dyDescent="0.35">
      <c r="A2189" s="1">
        <v>45832</v>
      </c>
      <c r="B2189" t="s">
        <v>82</v>
      </c>
      <c r="C2189" t="s">
        <v>72</v>
      </c>
      <c r="D2189" t="s">
        <v>83</v>
      </c>
      <c r="E2189" t="s">
        <v>20</v>
      </c>
      <c r="F2189">
        <v>282.58</v>
      </c>
      <c r="G2189">
        <v>166.3</v>
      </c>
      <c r="H2189">
        <v>92.49</v>
      </c>
      <c r="I2189">
        <v>93.81</v>
      </c>
      <c r="J2189">
        <v>75.930000000000007</v>
      </c>
      <c r="K2189" t="s">
        <v>58</v>
      </c>
      <c r="L2189">
        <v>8.1</v>
      </c>
      <c r="N2189" t="s">
        <v>35</v>
      </c>
      <c r="O2189">
        <v>7</v>
      </c>
      <c r="P2189" t="s">
        <v>43</v>
      </c>
      <c r="Q2189">
        <v>72.599999999999994</v>
      </c>
    </row>
    <row r="2190" spans="1:17" x14ac:dyDescent="0.35">
      <c r="A2190" s="1">
        <v>45832</v>
      </c>
      <c r="B2190" t="s">
        <v>66</v>
      </c>
      <c r="C2190" t="s">
        <v>67</v>
      </c>
      <c r="D2190" t="s">
        <v>68</v>
      </c>
      <c r="E2190" t="s">
        <v>27</v>
      </c>
      <c r="F2190">
        <v>760.35</v>
      </c>
      <c r="G2190">
        <v>26.5</v>
      </c>
      <c r="H2190">
        <v>95.8</v>
      </c>
      <c r="I2190">
        <v>94.9</v>
      </c>
      <c r="J2190">
        <v>79.400000000000006</v>
      </c>
      <c r="K2190" t="s">
        <v>34</v>
      </c>
      <c r="L2190">
        <v>8.1999999999999993</v>
      </c>
      <c r="M2190">
        <v>4.3</v>
      </c>
      <c r="N2190" t="s">
        <v>29</v>
      </c>
      <c r="O2190">
        <v>12</v>
      </c>
      <c r="P2190" t="s">
        <v>23</v>
      </c>
      <c r="Q2190">
        <v>59.7</v>
      </c>
    </row>
    <row r="2191" spans="1:17" x14ac:dyDescent="0.35">
      <c r="A2191" s="1">
        <v>45832</v>
      </c>
      <c r="B2191" t="s">
        <v>89</v>
      </c>
      <c r="C2191" t="s">
        <v>67</v>
      </c>
      <c r="D2191" t="s">
        <v>90</v>
      </c>
      <c r="E2191" t="s">
        <v>27</v>
      </c>
      <c r="F2191">
        <v>118.6</v>
      </c>
      <c r="G2191">
        <v>29.4</v>
      </c>
      <c r="H2191">
        <v>93.82</v>
      </c>
      <c r="I2191">
        <v>95.34</v>
      </c>
      <c r="J2191">
        <v>77.59</v>
      </c>
      <c r="K2191" t="s">
        <v>28</v>
      </c>
      <c r="L2191">
        <v>7</v>
      </c>
      <c r="M2191">
        <v>4.5</v>
      </c>
      <c r="N2191" t="s">
        <v>39</v>
      </c>
      <c r="O2191">
        <v>15</v>
      </c>
      <c r="P2191" t="s">
        <v>43</v>
      </c>
      <c r="Q2191">
        <v>57</v>
      </c>
    </row>
    <row r="2192" spans="1:17" x14ac:dyDescent="0.35">
      <c r="A2192" s="1">
        <v>45832</v>
      </c>
      <c r="B2192" t="s">
        <v>71</v>
      </c>
      <c r="C2192" t="s">
        <v>72</v>
      </c>
      <c r="D2192" t="s">
        <v>73</v>
      </c>
      <c r="E2192" t="s">
        <v>33</v>
      </c>
      <c r="F2192">
        <v>263.16000000000003</v>
      </c>
      <c r="G2192">
        <v>128.1</v>
      </c>
      <c r="H2192">
        <v>95.7</v>
      </c>
      <c r="I2192">
        <v>95.96</v>
      </c>
      <c r="J2192">
        <v>78.36</v>
      </c>
      <c r="K2192" t="s">
        <v>47</v>
      </c>
      <c r="L2192">
        <v>7.5</v>
      </c>
      <c r="M2192">
        <v>2.6</v>
      </c>
      <c r="N2192" t="s">
        <v>22</v>
      </c>
      <c r="O2192">
        <v>5</v>
      </c>
      <c r="P2192" t="s">
        <v>23</v>
      </c>
      <c r="Q2192">
        <v>61.6</v>
      </c>
    </row>
    <row r="2193" spans="1:17" x14ac:dyDescent="0.35">
      <c r="A2193" s="1">
        <v>45832</v>
      </c>
      <c r="B2193" t="s">
        <v>82</v>
      </c>
      <c r="C2193" t="s">
        <v>72</v>
      </c>
      <c r="D2193" t="s">
        <v>83</v>
      </c>
      <c r="E2193" t="s">
        <v>20</v>
      </c>
      <c r="F2193">
        <v>208.87</v>
      </c>
      <c r="G2193">
        <v>199.1</v>
      </c>
      <c r="H2193">
        <v>89.42</v>
      </c>
      <c r="I2193">
        <v>96.42</v>
      </c>
      <c r="J2193">
        <v>74.849999999999994</v>
      </c>
      <c r="K2193" t="s">
        <v>63</v>
      </c>
      <c r="L2193">
        <v>8.1999999999999993</v>
      </c>
      <c r="N2193" t="s">
        <v>22</v>
      </c>
      <c r="O2193">
        <v>6</v>
      </c>
      <c r="P2193" t="s">
        <v>43</v>
      </c>
      <c r="Q2193">
        <v>72.5</v>
      </c>
    </row>
    <row r="2194" spans="1:17" x14ac:dyDescent="0.35">
      <c r="A2194" s="1">
        <v>45832</v>
      </c>
      <c r="B2194" t="s">
        <v>97</v>
      </c>
      <c r="C2194" t="s">
        <v>72</v>
      </c>
      <c r="D2194" t="s">
        <v>98</v>
      </c>
      <c r="E2194" t="s">
        <v>27</v>
      </c>
      <c r="F2194">
        <v>96.45</v>
      </c>
      <c r="G2194">
        <v>34.799999999999997</v>
      </c>
      <c r="H2194">
        <v>95.04</v>
      </c>
      <c r="I2194">
        <v>95.57</v>
      </c>
      <c r="J2194">
        <v>77.959999999999994</v>
      </c>
      <c r="K2194" t="s">
        <v>28</v>
      </c>
      <c r="L2194">
        <v>7.1</v>
      </c>
      <c r="M2194">
        <v>2.9</v>
      </c>
      <c r="N2194" t="s">
        <v>39</v>
      </c>
      <c r="O2194">
        <v>11</v>
      </c>
      <c r="P2194" t="s">
        <v>43</v>
      </c>
      <c r="Q2194">
        <v>58.7</v>
      </c>
    </row>
    <row r="2195" spans="1:17" x14ac:dyDescent="0.35">
      <c r="A2195" s="1">
        <v>45832</v>
      </c>
      <c r="B2195" t="s">
        <v>95</v>
      </c>
      <c r="C2195" t="s">
        <v>49</v>
      </c>
      <c r="D2195" t="s">
        <v>96</v>
      </c>
      <c r="E2195" t="s">
        <v>33</v>
      </c>
      <c r="F2195">
        <v>404.68</v>
      </c>
      <c r="G2195">
        <v>137</v>
      </c>
      <c r="H2195">
        <v>97.46</v>
      </c>
      <c r="I2195">
        <v>93.95</v>
      </c>
      <c r="J2195">
        <v>74.91</v>
      </c>
      <c r="K2195" t="s">
        <v>34</v>
      </c>
      <c r="L2195">
        <v>8.5</v>
      </c>
      <c r="M2195">
        <v>5</v>
      </c>
      <c r="N2195" t="s">
        <v>35</v>
      </c>
      <c r="O2195">
        <v>6</v>
      </c>
      <c r="P2195" t="s">
        <v>23</v>
      </c>
      <c r="Q2195">
        <v>61.3</v>
      </c>
    </row>
    <row r="2196" spans="1:17" x14ac:dyDescent="0.35">
      <c r="A2196" s="1">
        <v>45832</v>
      </c>
      <c r="B2196" t="s">
        <v>48</v>
      </c>
      <c r="C2196" t="s">
        <v>49</v>
      </c>
      <c r="D2196" t="s">
        <v>50</v>
      </c>
      <c r="E2196" t="s">
        <v>33</v>
      </c>
      <c r="F2196">
        <v>285.42</v>
      </c>
      <c r="G2196">
        <v>185.6</v>
      </c>
      <c r="H2196">
        <v>97.19</v>
      </c>
      <c r="I2196">
        <v>93.25</v>
      </c>
      <c r="J2196">
        <v>71.849999999999994</v>
      </c>
      <c r="K2196" t="s">
        <v>47</v>
      </c>
      <c r="L2196">
        <v>7.1</v>
      </c>
      <c r="M2196">
        <v>4.9000000000000004</v>
      </c>
      <c r="N2196" t="s">
        <v>35</v>
      </c>
      <c r="O2196">
        <v>9</v>
      </c>
      <c r="P2196" t="s">
        <v>43</v>
      </c>
      <c r="Q2196">
        <v>58.9</v>
      </c>
    </row>
    <row r="2197" spans="1:17" x14ac:dyDescent="0.35">
      <c r="A2197" s="1">
        <v>45832</v>
      </c>
      <c r="B2197" t="s">
        <v>40</v>
      </c>
      <c r="C2197" t="s">
        <v>41</v>
      </c>
      <c r="D2197" t="s">
        <v>42</v>
      </c>
      <c r="E2197" t="s">
        <v>27</v>
      </c>
      <c r="F2197">
        <v>579.83000000000004</v>
      </c>
      <c r="G2197">
        <v>28.2</v>
      </c>
      <c r="H2197">
        <v>97.09</v>
      </c>
      <c r="I2197">
        <v>97.89</v>
      </c>
      <c r="J2197">
        <v>77.28</v>
      </c>
      <c r="K2197" t="s">
        <v>34</v>
      </c>
      <c r="L2197">
        <v>9</v>
      </c>
      <c r="M2197">
        <v>3.6</v>
      </c>
      <c r="N2197" t="s">
        <v>39</v>
      </c>
      <c r="O2197">
        <v>12</v>
      </c>
      <c r="P2197" t="s">
        <v>43</v>
      </c>
      <c r="Q2197">
        <v>61.9</v>
      </c>
    </row>
    <row r="2198" spans="1:17" x14ac:dyDescent="0.35">
      <c r="A2198" s="1">
        <v>45832</v>
      </c>
      <c r="B2198" t="s">
        <v>48</v>
      </c>
      <c r="C2198" t="s">
        <v>49</v>
      </c>
      <c r="D2198" t="s">
        <v>50</v>
      </c>
      <c r="E2198" t="s">
        <v>27</v>
      </c>
      <c r="F2198">
        <v>406.26</v>
      </c>
      <c r="G2198">
        <v>40.1</v>
      </c>
      <c r="H2198">
        <v>97.28</v>
      </c>
      <c r="I2198">
        <v>94.3</v>
      </c>
      <c r="J2198">
        <v>82.96</v>
      </c>
      <c r="K2198" t="s">
        <v>34</v>
      </c>
      <c r="L2198">
        <v>8.6999999999999993</v>
      </c>
      <c r="M2198">
        <v>4.5999999999999996</v>
      </c>
      <c r="N2198" t="s">
        <v>29</v>
      </c>
      <c r="O2198">
        <v>10</v>
      </c>
      <c r="P2198" t="s">
        <v>23</v>
      </c>
      <c r="Q2198">
        <v>61.3</v>
      </c>
    </row>
    <row r="2199" spans="1:17" x14ac:dyDescent="0.35">
      <c r="A2199" s="1">
        <v>45832</v>
      </c>
      <c r="B2199" t="s">
        <v>17</v>
      </c>
      <c r="C2199" t="s">
        <v>18</v>
      </c>
      <c r="D2199" t="s">
        <v>19</v>
      </c>
      <c r="E2199" t="s">
        <v>20</v>
      </c>
      <c r="F2199">
        <v>281.58999999999997</v>
      </c>
      <c r="G2199">
        <v>239.3</v>
      </c>
      <c r="H2199">
        <v>88.31</v>
      </c>
      <c r="I2199">
        <v>95.25</v>
      </c>
      <c r="J2199">
        <v>78.569999999999993</v>
      </c>
      <c r="K2199" t="s">
        <v>21</v>
      </c>
      <c r="L2199">
        <v>8.4</v>
      </c>
      <c r="N2199" t="s">
        <v>35</v>
      </c>
      <c r="O2199">
        <v>6</v>
      </c>
      <c r="P2199" t="s">
        <v>23</v>
      </c>
      <c r="Q2199">
        <v>73.2</v>
      </c>
    </row>
    <row r="2200" spans="1:17" x14ac:dyDescent="0.35">
      <c r="A2200" s="1">
        <v>45832</v>
      </c>
      <c r="B2200" t="s">
        <v>76</v>
      </c>
      <c r="C2200" t="s">
        <v>45</v>
      </c>
      <c r="D2200" t="s">
        <v>77</v>
      </c>
      <c r="E2200" t="s">
        <v>27</v>
      </c>
      <c r="F2200">
        <v>404.76</v>
      </c>
      <c r="G2200">
        <v>389.2</v>
      </c>
      <c r="H2200">
        <v>97.93</v>
      </c>
      <c r="I2200">
        <v>98.01</v>
      </c>
      <c r="J2200">
        <v>79.849999999999994</v>
      </c>
      <c r="K2200" t="s">
        <v>28</v>
      </c>
      <c r="L2200">
        <v>8.3000000000000007</v>
      </c>
      <c r="M2200">
        <v>1.7</v>
      </c>
      <c r="N2200" t="s">
        <v>29</v>
      </c>
      <c r="O2200">
        <v>9</v>
      </c>
      <c r="P2200" t="s">
        <v>23</v>
      </c>
      <c r="Q2200">
        <v>65.3</v>
      </c>
    </row>
    <row r="2201" spans="1:17" x14ac:dyDescent="0.35">
      <c r="A2201" s="1">
        <v>45832</v>
      </c>
      <c r="B2201" t="s">
        <v>86</v>
      </c>
      <c r="C2201" t="s">
        <v>25</v>
      </c>
      <c r="D2201" t="s">
        <v>87</v>
      </c>
      <c r="E2201" t="s">
        <v>27</v>
      </c>
      <c r="F2201">
        <v>784.38</v>
      </c>
      <c r="G2201">
        <v>35.799999999999997</v>
      </c>
      <c r="H2201">
        <v>97.05</v>
      </c>
      <c r="I2201">
        <v>97.08</v>
      </c>
      <c r="J2201">
        <v>76.349999999999994</v>
      </c>
      <c r="K2201" t="s">
        <v>28</v>
      </c>
      <c r="L2201">
        <v>8.8000000000000007</v>
      </c>
      <c r="M2201">
        <v>3.4</v>
      </c>
      <c r="N2201" t="s">
        <v>39</v>
      </c>
      <c r="O2201">
        <v>15</v>
      </c>
      <c r="P2201" t="s">
        <v>30</v>
      </c>
      <c r="Q2201">
        <v>61.5</v>
      </c>
    </row>
    <row r="2202" spans="1:17" x14ac:dyDescent="0.35">
      <c r="A2202" s="1">
        <v>45832</v>
      </c>
      <c r="B2202" t="s">
        <v>48</v>
      </c>
      <c r="C2202" t="s">
        <v>49</v>
      </c>
      <c r="D2202" t="s">
        <v>50</v>
      </c>
      <c r="E2202" t="s">
        <v>33</v>
      </c>
      <c r="F2202">
        <v>240.58</v>
      </c>
      <c r="G2202">
        <v>149.69999999999999</v>
      </c>
      <c r="H2202">
        <v>97.11</v>
      </c>
      <c r="I2202">
        <v>93.63</v>
      </c>
      <c r="J2202">
        <v>77.760000000000005</v>
      </c>
      <c r="K2202" t="s">
        <v>28</v>
      </c>
      <c r="L2202">
        <v>7.1</v>
      </c>
      <c r="M2202">
        <v>3.6</v>
      </c>
      <c r="N2202" t="s">
        <v>35</v>
      </c>
      <c r="O2202">
        <v>5</v>
      </c>
      <c r="P2202" t="s">
        <v>23</v>
      </c>
      <c r="Q2202">
        <v>60.5</v>
      </c>
    </row>
    <row r="2203" spans="1:17" x14ac:dyDescent="0.35">
      <c r="A2203" s="1">
        <v>45832</v>
      </c>
      <c r="B2203" t="s">
        <v>71</v>
      </c>
      <c r="C2203" t="s">
        <v>72</v>
      </c>
      <c r="D2203" t="s">
        <v>73</v>
      </c>
      <c r="E2203" t="s">
        <v>33</v>
      </c>
      <c r="F2203">
        <v>251.57</v>
      </c>
      <c r="G2203">
        <v>132.30000000000001</v>
      </c>
      <c r="H2203">
        <v>95.05</v>
      </c>
      <c r="I2203">
        <v>94.17</v>
      </c>
      <c r="J2203">
        <v>77.06</v>
      </c>
      <c r="K2203" t="s">
        <v>34</v>
      </c>
      <c r="L2203">
        <v>7.6</v>
      </c>
      <c r="M2203">
        <v>4.8</v>
      </c>
      <c r="N2203" t="s">
        <v>22</v>
      </c>
      <c r="O2203">
        <v>7</v>
      </c>
      <c r="P2203" t="s">
        <v>23</v>
      </c>
      <c r="Q2203">
        <v>59.8</v>
      </c>
    </row>
    <row r="2204" spans="1:17" x14ac:dyDescent="0.35">
      <c r="A2204" s="1">
        <v>45832</v>
      </c>
      <c r="B2204" t="s">
        <v>71</v>
      </c>
      <c r="C2204" t="s">
        <v>72</v>
      </c>
      <c r="D2204" t="s">
        <v>73</v>
      </c>
      <c r="E2204" t="s">
        <v>33</v>
      </c>
      <c r="F2204">
        <v>96.87</v>
      </c>
      <c r="G2204">
        <v>83.1</v>
      </c>
      <c r="H2204">
        <v>92.19</v>
      </c>
      <c r="I2204">
        <v>96.41</v>
      </c>
      <c r="J2204">
        <v>72.52</v>
      </c>
      <c r="K2204" t="s">
        <v>47</v>
      </c>
      <c r="L2204">
        <v>7.6</v>
      </c>
      <c r="M2204">
        <v>3.1</v>
      </c>
      <c r="N2204" t="s">
        <v>22</v>
      </c>
      <c r="O2204">
        <v>10</v>
      </c>
      <c r="P2204" t="s">
        <v>23</v>
      </c>
      <c r="Q2204">
        <v>59.1</v>
      </c>
    </row>
    <row r="2205" spans="1:17" x14ac:dyDescent="0.35">
      <c r="A2205" s="1">
        <v>45832</v>
      </c>
      <c r="B2205" t="s">
        <v>59</v>
      </c>
      <c r="C2205" t="s">
        <v>60</v>
      </c>
      <c r="D2205" t="s">
        <v>61</v>
      </c>
      <c r="E2205" t="s">
        <v>62</v>
      </c>
      <c r="F2205">
        <v>306.45</v>
      </c>
      <c r="G2205">
        <v>188.5</v>
      </c>
      <c r="H2205">
        <v>90.55</v>
      </c>
      <c r="I2205">
        <v>94.73</v>
      </c>
      <c r="J2205">
        <v>90.65</v>
      </c>
      <c r="K2205" t="s">
        <v>34</v>
      </c>
      <c r="L2205">
        <v>7.3</v>
      </c>
      <c r="N2205" t="s">
        <v>35</v>
      </c>
      <c r="O2205">
        <v>4</v>
      </c>
      <c r="P2205" t="s">
        <v>23</v>
      </c>
      <c r="Q2205">
        <v>73.8</v>
      </c>
    </row>
    <row r="2206" spans="1:17" x14ac:dyDescent="0.35">
      <c r="A2206" s="1">
        <v>45832</v>
      </c>
      <c r="B2206" t="s">
        <v>74</v>
      </c>
      <c r="C2206" t="s">
        <v>67</v>
      </c>
      <c r="D2206" t="s">
        <v>75</v>
      </c>
      <c r="E2206" t="s">
        <v>27</v>
      </c>
      <c r="F2206">
        <v>722.14</v>
      </c>
      <c r="G2206">
        <v>67.400000000000006</v>
      </c>
      <c r="H2206">
        <v>96.43</v>
      </c>
      <c r="I2206">
        <v>94.05</v>
      </c>
      <c r="J2206">
        <v>82.33</v>
      </c>
      <c r="K2206" t="s">
        <v>28</v>
      </c>
      <c r="L2206">
        <v>8.3000000000000007</v>
      </c>
      <c r="M2206">
        <v>4.8</v>
      </c>
      <c r="N2206" t="s">
        <v>29</v>
      </c>
      <c r="O2206">
        <v>11</v>
      </c>
      <c r="P2206" t="s">
        <v>43</v>
      </c>
      <c r="Q2206">
        <v>60.8</v>
      </c>
    </row>
    <row r="2207" spans="1:17" x14ac:dyDescent="0.35">
      <c r="A2207" s="1">
        <v>45832</v>
      </c>
      <c r="B2207" t="s">
        <v>36</v>
      </c>
      <c r="C2207" t="s">
        <v>37</v>
      </c>
      <c r="D2207" t="s">
        <v>38</v>
      </c>
      <c r="E2207" t="s">
        <v>27</v>
      </c>
      <c r="F2207">
        <v>288.44</v>
      </c>
      <c r="G2207">
        <v>50.7</v>
      </c>
      <c r="H2207">
        <v>97.08</v>
      </c>
      <c r="I2207">
        <v>95.44</v>
      </c>
      <c r="J2207">
        <v>80.540000000000006</v>
      </c>
      <c r="K2207" t="s">
        <v>47</v>
      </c>
      <c r="L2207">
        <v>8</v>
      </c>
      <c r="M2207">
        <v>2.5</v>
      </c>
      <c r="N2207" t="s">
        <v>29</v>
      </c>
      <c r="O2207">
        <v>15</v>
      </c>
      <c r="P2207" t="s">
        <v>23</v>
      </c>
      <c r="Q2207">
        <v>61.5</v>
      </c>
    </row>
    <row r="2208" spans="1:17" x14ac:dyDescent="0.35">
      <c r="A2208" s="1">
        <v>45832</v>
      </c>
      <c r="B2208" t="s">
        <v>95</v>
      </c>
      <c r="C2208" t="s">
        <v>49</v>
      </c>
      <c r="D2208" t="s">
        <v>96</v>
      </c>
      <c r="E2208" t="s">
        <v>27</v>
      </c>
      <c r="F2208">
        <v>322.27</v>
      </c>
      <c r="G2208">
        <v>38.6</v>
      </c>
      <c r="H2208">
        <v>92.6</v>
      </c>
      <c r="I2208">
        <v>93.87</v>
      </c>
      <c r="J2208">
        <v>77.87</v>
      </c>
      <c r="K2208" t="s">
        <v>47</v>
      </c>
      <c r="L2208">
        <v>7.7</v>
      </c>
      <c r="M2208">
        <v>3.5</v>
      </c>
      <c r="N2208" t="s">
        <v>29</v>
      </c>
      <c r="O2208">
        <v>10</v>
      </c>
      <c r="P2208" t="s">
        <v>23</v>
      </c>
      <c r="Q2208">
        <v>58.7</v>
      </c>
    </row>
    <row r="2209" spans="1:17" x14ac:dyDescent="0.35">
      <c r="A2209" s="1">
        <v>45832</v>
      </c>
      <c r="B2209" t="s">
        <v>48</v>
      </c>
      <c r="C2209" t="s">
        <v>49</v>
      </c>
      <c r="D2209" t="s">
        <v>50</v>
      </c>
      <c r="E2209" t="s">
        <v>33</v>
      </c>
      <c r="F2209">
        <v>240.24</v>
      </c>
      <c r="G2209">
        <v>115.4</v>
      </c>
      <c r="H2209">
        <v>94.88</v>
      </c>
      <c r="I2209">
        <v>96.96</v>
      </c>
      <c r="J2209">
        <v>77.53</v>
      </c>
      <c r="K2209" t="s">
        <v>34</v>
      </c>
      <c r="L2209">
        <v>7.9</v>
      </c>
      <c r="M2209">
        <v>1.7</v>
      </c>
      <c r="N2209" t="s">
        <v>35</v>
      </c>
      <c r="O2209">
        <v>5</v>
      </c>
      <c r="P2209" t="s">
        <v>43</v>
      </c>
      <c r="Q2209">
        <v>62.6</v>
      </c>
    </row>
    <row r="2210" spans="1:17" x14ac:dyDescent="0.35">
      <c r="A2210" s="1">
        <v>45832</v>
      </c>
      <c r="B2210" t="s">
        <v>55</v>
      </c>
      <c r="C2210" t="s">
        <v>56</v>
      </c>
      <c r="D2210">
        <v>4</v>
      </c>
      <c r="E2210" t="s">
        <v>57</v>
      </c>
      <c r="F2210">
        <v>30</v>
      </c>
      <c r="G2210">
        <v>151.19999999999999</v>
      </c>
      <c r="H2210">
        <v>91.11</v>
      </c>
      <c r="I2210">
        <v>95.79</v>
      </c>
      <c r="J2210">
        <v>72.739999999999995</v>
      </c>
      <c r="K2210" t="s">
        <v>21</v>
      </c>
      <c r="L2210">
        <v>6.8</v>
      </c>
      <c r="N2210" t="s">
        <v>35</v>
      </c>
      <c r="O2210">
        <v>2</v>
      </c>
      <c r="P2210" t="s">
        <v>23</v>
      </c>
      <c r="Q2210">
        <v>69.099999999999994</v>
      </c>
    </row>
    <row r="2211" spans="1:17" x14ac:dyDescent="0.35">
      <c r="A2211" s="1">
        <v>45832</v>
      </c>
      <c r="B2211" t="s">
        <v>48</v>
      </c>
      <c r="C2211" t="s">
        <v>49</v>
      </c>
      <c r="D2211" t="s">
        <v>50</v>
      </c>
      <c r="E2211" t="s">
        <v>33</v>
      </c>
      <c r="F2211">
        <v>330.52</v>
      </c>
      <c r="G2211">
        <v>202</v>
      </c>
      <c r="H2211">
        <v>96.58</v>
      </c>
      <c r="I2211">
        <v>93.97</v>
      </c>
      <c r="J2211">
        <v>72.930000000000007</v>
      </c>
      <c r="K2211" t="s">
        <v>28</v>
      </c>
      <c r="L2211">
        <v>8</v>
      </c>
      <c r="M2211">
        <v>2.1</v>
      </c>
      <c r="N2211" t="s">
        <v>35</v>
      </c>
      <c r="O2211">
        <v>6</v>
      </c>
      <c r="P2211" t="s">
        <v>23</v>
      </c>
      <c r="Q2211">
        <v>62.5</v>
      </c>
    </row>
    <row r="2212" spans="1:17" x14ac:dyDescent="0.35">
      <c r="A2212" s="1">
        <v>45832</v>
      </c>
      <c r="B2212" t="s">
        <v>53</v>
      </c>
      <c r="C2212" t="s">
        <v>41</v>
      </c>
      <c r="D2212" t="s">
        <v>54</v>
      </c>
      <c r="E2212" t="s">
        <v>27</v>
      </c>
      <c r="F2212">
        <v>645.20000000000005</v>
      </c>
      <c r="G2212">
        <v>29.5</v>
      </c>
      <c r="H2212">
        <v>97.29</v>
      </c>
      <c r="I2212">
        <v>97.98</v>
      </c>
      <c r="J2212">
        <v>78.599999999999994</v>
      </c>
      <c r="K2212" t="s">
        <v>34</v>
      </c>
      <c r="L2212">
        <v>8.8000000000000007</v>
      </c>
      <c r="M2212">
        <v>4.5999999999999996</v>
      </c>
      <c r="N2212" t="s">
        <v>29</v>
      </c>
      <c r="O2212">
        <v>10</v>
      </c>
      <c r="P2212" t="s">
        <v>43</v>
      </c>
      <c r="Q2212">
        <v>61.2</v>
      </c>
    </row>
    <row r="2213" spans="1:17" x14ac:dyDescent="0.35">
      <c r="A2213" s="1">
        <v>45832</v>
      </c>
      <c r="B2213" t="s">
        <v>31</v>
      </c>
      <c r="C2213" t="s">
        <v>18</v>
      </c>
      <c r="D2213" t="s">
        <v>32</v>
      </c>
      <c r="E2213" t="s">
        <v>33</v>
      </c>
      <c r="F2213">
        <v>224.26</v>
      </c>
      <c r="G2213">
        <v>233.8</v>
      </c>
      <c r="H2213">
        <v>94.25</v>
      </c>
      <c r="I2213">
        <v>93.9</v>
      </c>
      <c r="J2213">
        <v>70.03</v>
      </c>
      <c r="K2213" t="s">
        <v>34</v>
      </c>
      <c r="L2213">
        <v>7.7</v>
      </c>
      <c r="M2213">
        <v>4.2</v>
      </c>
      <c r="N2213" t="s">
        <v>22</v>
      </c>
      <c r="O2213">
        <v>7</v>
      </c>
      <c r="P2213" t="s">
        <v>23</v>
      </c>
      <c r="Q2213">
        <v>59.7</v>
      </c>
    </row>
    <row r="2214" spans="1:17" x14ac:dyDescent="0.35">
      <c r="A2214" s="1">
        <v>45832</v>
      </c>
      <c r="B2214" t="s">
        <v>78</v>
      </c>
      <c r="C2214" t="s">
        <v>41</v>
      </c>
      <c r="D2214" t="s">
        <v>79</v>
      </c>
      <c r="E2214" t="s">
        <v>27</v>
      </c>
      <c r="F2214">
        <v>240.05</v>
      </c>
      <c r="G2214">
        <v>61</v>
      </c>
      <c r="H2214">
        <v>92.05</v>
      </c>
      <c r="I2214">
        <v>97.35</v>
      </c>
      <c r="J2214">
        <v>79.930000000000007</v>
      </c>
      <c r="K2214" t="s">
        <v>47</v>
      </c>
      <c r="L2214">
        <v>8.4</v>
      </c>
      <c r="M2214">
        <v>4.3</v>
      </c>
      <c r="N2214" t="s">
        <v>39</v>
      </c>
      <c r="O2214">
        <v>10</v>
      </c>
      <c r="P2214" t="s">
        <v>43</v>
      </c>
      <c r="Q2214">
        <v>60.6</v>
      </c>
    </row>
    <row r="2215" spans="1:17" x14ac:dyDescent="0.35">
      <c r="A2215" s="1">
        <v>45832</v>
      </c>
      <c r="B2215" t="s">
        <v>55</v>
      </c>
      <c r="C2215" t="s">
        <v>56</v>
      </c>
      <c r="D2215">
        <v>4</v>
      </c>
      <c r="E2215" t="s">
        <v>57</v>
      </c>
      <c r="F2215">
        <v>30</v>
      </c>
      <c r="G2215">
        <v>166.4</v>
      </c>
      <c r="H2215">
        <v>85.69</v>
      </c>
      <c r="I2215">
        <v>94.05</v>
      </c>
      <c r="J2215">
        <v>73.02</v>
      </c>
      <c r="K2215" t="s">
        <v>63</v>
      </c>
      <c r="L2215">
        <v>6.3</v>
      </c>
      <c r="N2215" t="s">
        <v>35</v>
      </c>
      <c r="O2215">
        <v>5</v>
      </c>
      <c r="P2215" t="s">
        <v>23</v>
      </c>
      <c r="Q2215">
        <v>67.099999999999994</v>
      </c>
    </row>
    <row r="2216" spans="1:17" x14ac:dyDescent="0.35">
      <c r="A2216" s="1">
        <v>45832</v>
      </c>
      <c r="B2216" t="s">
        <v>84</v>
      </c>
      <c r="C2216" t="s">
        <v>18</v>
      </c>
      <c r="D2216" t="s">
        <v>85</v>
      </c>
      <c r="E2216" t="s">
        <v>33</v>
      </c>
      <c r="F2216">
        <v>271.60000000000002</v>
      </c>
      <c r="G2216">
        <v>182.8</v>
      </c>
      <c r="H2216">
        <v>93.65</v>
      </c>
      <c r="I2216">
        <v>96.74</v>
      </c>
      <c r="J2216">
        <v>76.27</v>
      </c>
      <c r="K2216" t="s">
        <v>28</v>
      </c>
      <c r="L2216">
        <v>8.5</v>
      </c>
      <c r="M2216">
        <v>4.5</v>
      </c>
      <c r="N2216" t="s">
        <v>35</v>
      </c>
      <c r="O2216">
        <v>9</v>
      </c>
      <c r="P2216" t="s">
        <v>23</v>
      </c>
      <c r="Q2216">
        <v>62.3</v>
      </c>
    </row>
    <row r="2217" spans="1:17" x14ac:dyDescent="0.35">
      <c r="A2217" s="1">
        <v>45832</v>
      </c>
      <c r="B2217" t="s">
        <v>86</v>
      </c>
      <c r="C2217" t="s">
        <v>25</v>
      </c>
      <c r="D2217" t="s">
        <v>87</v>
      </c>
      <c r="E2217" t="s">
        <v>27</v>
      </c>
      <c r="F2217">
        <v>781.73</v>
      </c>
      <c r="G2217">
        <v>68.400000000000006</v>
      </c>
      <c r="H2217">
        <v>95</v>
      </c>
      <c r="I2217">
        <v>96.79</v>
      </c>
      <c r="J2217">
        <v>82.92</v>
      </c>
      <c r="K2217" t="s">
        <v>28</v>
      </c>
      <c r="L2217">
        <v>8.6</v>
      </c>
      <c r="M2217">
        <v>3.3</v>
      </c>
      <c r="N2217" t="s">
        <v>29</v>
      </c>
      <c r="O2217">
        <v>15</v>
      </c>
      <c r="P2217" t="s">
        <v>30</v>
      </c>
      <c r="Q2217">
        <v>62.6</v>
      </c>
    </row>
    <row r="2218" spans="1:17" x14ac:dyDescent="0.35">
      <c r="A2218" s="1">
        <v>45832</v>
      </c>
      <c r="B2218" t="s">
        <v>48</v>
      </c>
      <c r="C2218" t="s">
        <v>49</v>
      </c>
      <c r="D2218" t="s">
        <v>50</v>
      </c>
      <c r="E2218" t="s">
        <v>27</v>
      </c>
      <c r="F2218">
        <v>408.16</v>
      </c>
      <c r="G2218">
        <v>34.299999999999997</v>
      </c>
      <c r="H2218">
        <v>96.11</v>
      </c>
      <c r="I2218">
        <v>96.22</v>
      </c>
      <c r="J2218">
        <v>82.96</v>
      </c>
      <c r="K2218" t="s">
        <v>28</v>
      </c>
      <c r="L2218">
        <v>9.1999999999999993</v>
      </c>
      <c r="M2218">
        <v>2.7</v>
      </c>
      <c r="N2218" t="s">
        <v>29</v>
      </c>
      <c r="O2218">
        <v>13</v>
      </c>
      <c r="P2218" t="s">
        <v>43</v>
      </c>
      <c r="Q2218">
        <v>63.4</v>
      </c>
    </row>
    <row r="2219" spans="1:17" x14ac:dyDescent="0.35">
      <c r="A2219" s="1">
        <v>45832</v>
      </c>
      <c r="B2219" t="s">
        <v>36</v>
      </c>
      <c r="C2219" t="s">
        <v>37</v>
      </c>
      <c r="D2219" t="s">
        <v>38</v>
      </c>
      <c r="E2219" t="s">
        <v>27</v>
      </c>
      <c r="F2219">
        <v>283.85000000000002</v>
      </c>
      <c r="G2219">
        <v>34.1</v>
      </c>
      <c r="H2219">
        <v>95.52</v>
      </c>
      <c r="I2219">
        <v>97</v>
      </c>
      <c r="J2219">
        <v>79.900000000000006</v>
      </c>
      <c r="K2219" t="s">
        <v>47</v>
      </c>
      <c r="L2219">
        <v>7.7</v>
      </c>
      <c r="M2219">
        <v>3.2</v>
      </c>
      <c r="N2219" t="s">
        <v>29</v>
      </c>
      <c r="O2219">
        <v>14</v>
      </c>
      <c r="P2219" t="s">
        <v>23</v>
      </c>
      <c r="Q2219">
        <v>60.1</v>
      </c>
    </row>
    <row r="2220" spans="1:17" x14ac:dyDescent="0.35">
      <c r="A2220" s="1">
        <v>45832</v>
      </c>
      <c r="B2220" t="s">
        <v>99</v>
      </c>
      <c r="C2220" t="s">
        <v>72</v>
      </c>
      <c r="D2220" t="s">
        <v>100</v>
      </c>
      <c r="E2220" t="s">
        <v>33</v>
      </c>
      <c r="F2220">
        <v>85.39</v>
      </c>
      <c r="G2220">
        <v>161.19999999999999</v>
      </c>
      <c r="H2220">
        <v>95.4</v>
      </c>
      <c r="I2220">
        <v>96.17</v>
      </c>
      <c r="J2220">
        <v>71.7</v>
      </c>
      <c r="K2220" t="s">
        <v>47</v>
      </c>
      <c r="L2220">
        <v>7.2</v>
      </c>
      <c r="M2220">
        <v>2.8</v>
      </c>
      <c r="N2220" t="s">
        <v>35</v>
      </c>
      <c r="O2220">
        <v>8</v>
      </c>
      <c r="P2220" t="s">
        <v>43</v>
      </c>
      <c r="Q2220">
        <v>60.5</v>
      </c>
    </row>
    <row r="2221" spans="1:17" x14ac:dyDescent="0.35">
      <c r="A2221" s="1">
        <v>45832</v>
      </c>
      <c r="B2221" t="s">
        <v>53</v>
      </c>
      <c r="C2221" t="s">
        <v>41</v>
      </c>
      <c r="D2221" t="s">
        <v>54</v>
      </c>
      <c r="E2221" t="s">
        <v>27</v>
      </c>
      <c r="F2221">
        <v>500.23</v>
      </c>
      <c r="G2221">
        <v>62.4</v>
      </c>
      <c r="H2221">
        <v>95.27</v>
      </c>
      <c r="I2221">
        <v>96.8</v>
      </c>
      <c r="J2221">
        <v>75.8</v>
      </c>
      <c r="K2221" t="s">
        <v>28</v>
      </c>
      <c r="L2221">
        <v>8.4</v>
      </c>
      <c r="M2221">
        <v>3.1</v>
      </c>
      <c r="N2221" t="s">
        <v>39</v>
      </c>
      <c r="O2221">
        <v>10</v>
      </c>
      <c r="P2221" t="s">
        <v>43</v>
      </c>
      <c r="Q2221">
        <v>61.1</v>
      </c>
    </row>
    <row r="2222" spans="1:17" x14ac:dyDescent="0.35">
      <c r="A2222" s="1">
        <v>45832</v>
      </c>
      <c r="B2222" t="s">
        <v>36</v>
      </c>
      <c r="C2222" t="s">
        <v>37</v>
      </c>
      <c r="D2222" t="s">
        <v>38</v>
      </c>
      <c r="E2222" t="s">
        <v>27</v>
      </c>
      <c r="F2222">
        <v>314.89999999999998</v>
      </c>
      <c r="G2222">
        <v>42.3</v>
      </c>
      <c r="H2222">
        <v>95.3</v>
      </c>
      <c r="I2222">
        <v>96.3</v>
      </c>
      <c r="J2222">
        <v>81.23</v>
      </c>
      <c r="K2222" t="s">
        <v>28</v>
      </c>
      <c r="L2222">
        <v>7.2</v>
      </c>
      <c r="M2222">
        <v>4.9000000000000004</v>
      </c>
      <c r="N2222" t="s">
        <v>29</v>
      </c>
      <c r="O2222">
        <v>13</v>
      </c>
      <c r="P2222" t="s">
        <v>23</v>
      </c>
      <c r="Q2222">
        <v>58.4</v>
      </c>
    </row>
    <row r="2223" spans="1:17" x14ac:dyDescent="0.35">
      <c r="A2223" s="1">
        <v>45832</v>
      </c>
      <c r="B2223" t="s">
        <v>66</v>
      </c>
      <c r="C2223" t="s">
        <v>67</v>
      </c>
      <c r="D2223" t="s">
        <v>68</v>
      </c>
      <c r="E2223" t="s">
        <v>27</v>
      </c>
      <c r="F2223">
        <v>583.94000000000005</v>
      </c>
      <c r="G2223">
        <v>21.4</v>
      </c>
      <c r="H2223">
        <v>92.71</v>
      </c>
      <c r="I2223">
        <v>94.23</v>
      </c>
      <c r="J2223">
        <v>79.05</v>
      </c>
      <c r="K2223" t="s">
        <v>28</v>
      </c>
      <c r="L2223">
        <v>9.4</v>
      </c>
      <c r="M2223">
        <v>4.5999999999999996</v>
      </c>
      <c r="N2223" t="s">
        <v>39</v>
      </c>
      <c r="O2223">
        <v>9</v>
      </c>
      <c r="P2223" t="s">
        <v>23</v>
      </c>
      <c r="Q2223">
        <v>60.7</v>
      </c>
    </row>
    <row r="2224" spans="1:17" x14ac:dyDescent="0.35">
      <c r="A2224" s="1">
        <v>45832</v>
      </c>
      <c r="B2224" t="s">
        <v>59</v>
      </c>
      <c r="C2224" t="s">
        <v>60</v>
      </c>
      <c r="D2224" t="s">
        <v>61</v>
      </c>
      <c r="E2224" t="s">
        <v>62</v>
      </c>
      <c r="F2224">
        <v>300.64999999999998</v>
      </c>
      <c r="G2224">
        <v>181.2</v>
      </c>
      <c r="H2224">
        <v>85.08</v>
      </c>
      <c r="I2224">
        <v>95.12</v>
      </c>
      <c r="J2224">
        <v>86.92</v>
      </c>
      <c r="K2224" t="s">
        <v>34</v>
      </c>
      <c r="L2224">
        <v>7</v>
      </c>
      <c r="N2224" t="s">
        <v>35</v>
      </c>
      <c r="O2224">
        <v>6</v>
      </c>
      <c r="P2224" t="s">
        <v>43</v>
      </c>
      <c r="Q2224">
        <v>71.400000000000006</v>
      </c>
    </row>
    <row r="2225" spans="1:17" x14ac:dyDescent="0.35">
      <c r="A2225" s="1">
        <v>45832</v>
      </c>
      <c r="B2225" t="s">
        <v>64</v>
      </c>
      <c r="C2225" t="s">
        <v>25</v>
      </c>
      <c r="D2225" t="s">
        <v>65</v>
      </c>
      <c r="E2225" t="s">
        <v>27</v>
      </c>
      <c r="F2225">
        <v>467.98</v>
      </c>
      <c r="G2225">
        <v>60.1</v>
      </c>
      <c r="H2225">
        <v>96.35</v>
      </c>
      <c r="I2225">
        <v>97.4</v>
      </c>
      <c r="J2225">
        <v>84.93</v>
      </c>
      <c r="K2225" t="s">
        <v>47</v>
      </c>
      <c r="L2225">
        <v>8.9</v>
      </c>
      <c r="M2225">
        <v>2.1</v>
      </c>
      <c r="N2225" t="s">
        <v>29</v>
      </c>
      <c r="O2225">
        <v>10</v>
      </c>
      <c r="P2225" t="s">
        <v>30</v>
      </c>
      <c r="Q2225">
        <v>64.400000000000006</v>
      </c>
    </row>
    <row r="2226" spans="1:17" x14ac:dyDescent="0.35">
      <c r="A2226" s="1">
        <v>45832</v>
      </c>
      <c r="B2226" t="s">
        <v>55</v>
      </c>
      <c r="C2226" t="s">
        <v>56</v>
      </c>
      <c r="D2226">
        <v>4</v>
      </c>
      <c r="E2226" t="s">
        <v>57</v>
      </c>
      <c r="F2226">
        <v>30</v>
      </c>
      <c r="G2226">
        <v>159.19999999999999</v>
      </c>
      <c r="H2226">
        <v>87.75</v>
      </c>
      <c r="I2226">
        <v>93.46</v>
      </c>
      <c r="J2226">
        <v>75.64</v>
      </c>
      <c r="K2226" t="s">
        <v>21</v>
      </c>
      <c r="L2226">
        <v>8</v>
      </c>
      <c r="N2226" t="s">
        <v>35</v>
      </c>
      <c r="O2226">
        <v>3</v>
      </c>
      <c r="P2226" t="s">
        <v>43</v>
      </c>
      <c r="Q2226">
        <v>71.2</v>
      </c>
    </row>
    <row r="2227" spans="1:17" x14ac:dyDescent="0.35">
      <c r="A2227" s="1">
        <v>45832</v>
      </c>
      <c r="B2227" t="s">
        <v>55</v>
      </c>
      <c r="C2227" t="s">
        <v>56</v>
      </c>
      <c r="D2227">
        <v>4</v>
      </c>
      <c r="E2227" t="s">
        <v>57</v>
      </c>
      <c r="F2227">
        <v>30</v>
      </c>
      <c r="G2227">
        <v>121.4</v>
      </c>
      <c r="H2227">
        <v>89.3</v>
      </c>
      <c r="I2227">
        <v>93.79</v>
      </c>
      <c r="J2227">
        <v>75.92</v>
      </c>
      <c r="K2227" t="s">
        <v>63</v>
      </c>
      <c r="L2227">
        <v>6</v>
      </c>
      <c r="N2227" t="s">
        <v>35</v>
      </c>
      <c r="O2227">
        <v>3</v>
      </c>
      <c r="P2227" t="s">
        <v>43</v>
      </c>
      <c r="Q2227">
        <v>66.7</v>
      </c>
    </row>
    <row r="2228" spans="1:17" x14ac:dyDescent="0.35">
      <c r="A2228" s="1">
        <v>45832</v>
      </c>
      <c r="B2228" t="s">
        <v>74</v>
      </c>
      <c r="C2228" t="s">
        <v>67</v>
      </c>
      <c r="D2228" t="s">
        <v>75</v>
      </c>
      <c r="E2228" t="s">
        <v>27</v>
      </c>
      <c r="F2228">
        <v>503.14</v>
      </c>
      <c r="G2228">
        <v>61.2</v>
      </c>
      <c r="H2228">
        <v>95.22</v>
      </c>
      <c r="I2228">
        <v>94.46</v>
      </c>
      <c r="J2228">
        <v>76.97</v>
      </c>
      <c r="K2228" t="s">
        <v>47</v>
      </c>
      <c r="L2228">
        <v>8.4</v>
      </c>
      <c r="M2228">
        <v>4.5</v>
      </c>
      <c r="N2228" t="s">
        <v>39</v>
      </c>
      <c r="O2228">
        <v>13</v>
      </c>
      <c r="P2228" t="s">
        <v>23</v>
      </c>
      <c r="Q2228">
        <v>60</v>
      </c>
    </row>
    <row r="2229" spans="1:17" x14ac:dyDescent="0.35">
      <c r="A2229" s="1">
        <v>45832</v>
      </c>
      <c r="B2229" t="s">
        <v>59</v>
      </c>
      <c r="C2229" t="s">
        <v>60</v>
      </c>
      <c r="D2229" t="s">
        <v>61</v>
      </c>
      <c r="E2229" t="s">
        <v>62</v>
      </c>
      <c r="F2229">
        <v>492.91</v>
      </c>
      <c r="G2229">
        <v>173.7</v>
      </c>
      <c r="H2229">
        <v>90.67</v>
      </c>
      <c r="I2229">
        <v>95.35</v>
      </c>
      <c r="J2229">
        <v>87.45</v>
      </c>
      <c r="K2229" t="s">
        <v>34</v>
      </c>
      <c r="L2229">
        <v>8.1999999999999993</v>
      </c>
      <c r="N2229" t="s">
        <v>35</v>
      </c>
      <c r="O2229">
        <v>4</v>
      </c>
      <c r="P2229" t="s">
        <v>43</v>
      </c>
      <c r="Q2229">
        <v>75.099999999999994</v>
      </c>
    </row>
    <row r="2230" spans="1:17" x14ac:dyDescent="0.35">
      <c r="A2230" s="1">
        <v>45832</v>
      </c>
      <c r="B2230" t="s">
        <v>40</v>
      </c>
      <c r="C2230" t="s">
        <v>41</v>
      </c>
      <c r="D2230" t="s">
        <v>42</v>
      </c>
      <c r="E2230" t="s">
        <v>27</v>
      </c>
      <c r="F2230">
        <v>397.86</v>
      </c>
      <c r="G2230">
        <v>70.3</v>
      </c>
      <c r="H2230">
        <v>96.95</v>
      </c>
      <c r="I2230">
        <v>97.24</v>
      </c>
      <c r="J2230">
        <v>78.23</v>
      </c>
      <c r="K2230" t="s">
        <v>34</v>
      </c>
      <c r="L2230">
        <v>7.5</v>
      </c>
      <c r="M2230">
        <v>3.5</v>
      </c>
      <c r="N2230" t="s">
        <v>39</v>
      </c>
      <c r="O2230">
        <v>15</v>
      </c>
      <c r="P2230" t="s">
        <v>43</v>
      </c>
      <c r="Q2230">
        <v>60.3</v>
      </c>
    </row>
    <row r="2231" spans="1:17" x14ac:dyDescent="0.35">
      <c r="A2231" s="1">
        <v>45832</v>
      </c>
      <c r="B2231" t="s">
        <v>36</v>
      </c>
      <c r="C2231" t="s">
        <v>37</v>
      </c>
      <c r="D2231" t="s">
        <v>38</v>
      </c>
      <c r="E2231" t="s">
        <v>27</v>
      </c>
      <c r="F2231">
        <v>491.19</v>
      </c>
      <c r="G2231">
        <v>23.4</v>
      </c>
      <c r="H2231">
        <v>95.94</v>
      </c>
      <c r="I2231">
        <v>94.07</v>
      </c>
      <c r="J2231">
        <v>83.16</v>
      </c>
      <c r="K2231" t="s">
        <v>28</v>
      </c>
      <c r="L2231">
        <v>8.1</v>
      </c>
      <c r="M2231">
        <v>5</v>
      </c>
      <c r="N2231" t="s">
        <v>29</v>
      </c>
      <c r="O2231">
        <v>14</v>
      </c>
      <c r="P2231" t="s">
        <v>23</v>
      </c>
      <c r="Q2231">
        <v>59.5</v>
      </c>
    </row>
    <row r="2232" spans="1:17" x14ac:dyDescent="0.35">
      <c r="A2232" s="1">
        <v>45832</v>
      </c>
      <c r="B2232" t="s">
        <v>36</v>
      </c>
      <c r="C2232" t="s">
        <v>37</v>
      </c>
      <c r="D2232" t="s">
        <v>38</v>
      </c>
      <c r="E2232" t="s">
        <v>33</v>
      </c>
      <c r="F2232">
        <v>288.22000000000003</v>
      </c>
      <c r="G2232">
        <v>88.1</v>
      </c>
      <c r="H2232">
        <v>94.36</v>
      </c>
      <c r="I2232">
        <v>95.2</v>
      </c>
      <c r="J2232">
        <v>74.91</v>
      </c>
      <c r="K2232" t="s">
        <v>47</v>
      </c>
      <c r="L2232">
        <v>7.5</v>
      </c>
      <c r="M2232">
        <v>3</v>
      </c>
      <c r="N2232" t="s">
        <v>35</v>
      </c>
      <c r="O2232">
        <v>10</v>
      </c>
      <c r="P2232" t="s">
        <v>23</v>
      </c>
      <c r="Q2232">
        <v>59.7</v>
      </c>
    </row>
    <row r="2233" spans="1:17" x14ac:dyDescent="0.35">
      <c r="A2233" s="1">
        <v>45832</v>
      </c>
      <c r="B2233" t="s">
        <v>53</v>
      </c>
      <c r="C2233" t="s">
        <v>41</v>
      </c>
      <c r="D2233" t="s">
        <v>54</v>
      </c>
      <c r="E2233" t="s">
        <v>27</v>
      </c>
      <c r="F2233">
        <v>421.09</v>
      </c>
      <c r="G2233">
        <v>48.9</v>
      </c>
      <c r="H2233">
        <v>92.53</v>
      </c>
      <c r="I2233">
        <v>97.25</v>
      </c>
      <c r="J2233">
        <v>78.16</v>
      </c>
      <c r="K2233" t="s">
        <v>34</v>
      </c>
      <c r="L2233">
        <v>9.1</v>
      </c>
      <c r="M2233">
        <v>1.6</v>
      </c>
      <c r="N2233" t="s">
        <v>29</v>
      </c>
      <c r="O2233">
        <v>8</v>
      </c>
      <c r="P2233" t="s">
        <v>43</v>
      </c>
      <c r="Q2233">
        <v>63.1</v>
      </c>
    </row>
    <row r="2234" spans="1:17" x14ac:dyDescent="0.35">
      <c r="A2234" s="1">
        <v>45832</v>
      </c>
      <c r="B2234" t="s">
        <v>24</v>
      </c>
      <c r="C2234" t="s">
        <v>25</v>
      </c>
      <c r="D2234" t="s">
        <v>26</v>
      </c>
      <c r="E2234" t="s">
        <v>27</v>
      </c>
      <c r="F2234">
        <v>458.47</v>
      </c>
      <c r="G2234">
        <v>22.6</v>
      </c>
      <c r="H2234">
        <v>95.01</v>
      </c>
      <c r="I2234">
        <v>97.93</v>
      </c>
      <c r="J2234">
        <v>76.3</v>
      </c>
      <c r="K2234" t="s">
        <v>47</v>
      </c>
      <c r="L2234">
        <v>8.6999999999999993</v>
      </c>
      <c r="M2234">
        <v>2.2000000000000002</v>
      </c>
      <c r="N2234" t="s">
        <v>29</v>
      </c>
      <c r="O2234">
        <v>11</v>
      </c>
      <c r="P2234" t="s">
        <v>30</v>
      </c>
      <c r="Q2234">
        <v>61.7</v>
      </c>
    </row>
    <row r="2235" spans="1:17" x14ac:dyDescent="0.35">
      <c r="A2235" s="1">
        <v>45832</v>
      </c>
      <c r="B2235" t="s">
        <v>93</v>
      </c>
      <c r="C2235" t="s">
        <v>37</v>
      </c>
      <c r="D2235" t="s">
        <v>94</v>
      </c>
      <c r="E2235" t="s">
        <v>27</v>
      </c>
      <c r="F2235">
        <v>467.52</v>
      </c>
      <c r="G2235">
        <v>57</v>
      </c>
      <c r="H2235">
        <v>95.56</v>
      </c>
      <c r="I2235">
        <v>94.3</v>
      </c>
      <c r="J2235">
        <v>76.989999999999995</v>
      </c>
      <c r="K2235" t="s">
        <v>28</v>
      </c>
      <c r="L2235">
        <v>9.3000000000000007</v>
      </c>
      <c r="M2235">
        <v>2.2999999999999998</v>
      </c>
      <c r="N2235" t="s">
        <v>29</v>
      </c>
      <c r="O2235">
        <v>11</v>
      </c>
      <c r="P2235" t="s">
        <v>23</v>
      </c>
      <c r="Q2235">
        <v>62.9</v>
      </c>
    </row>
    <row r="2236" spans="1:17" x14ac:dyDescent="0.35">
      <c r="A2236" s="1">
        <v>45832</v>
      </c>
      <c r="B2236" t="s">
        <v>48</v>
      </c>
      <c r="C2236" t="s">
        <v>49</v>
      </c>
      <c r="D2236" t="s">
        <v>50</v>
      </c>
      <c r="E2236" t="s">
        <v>27</v>
      </c>
      <c r="F2236">
        <v>433.39</v>
      </c>
      <c r="G2236">
        <v>59.4</v>
      </c>
      <c r="H2236">
        <v>93.17</v>
      </c>
      <c r="I2236">
        <v>93.33</v>
      </c>
      <c r="J2236">
        <v>83.49</v>
      </c>
      <c r="K2236" t="s">
        <v>28</v>
      </c>
      <c r="L2236">
        <v>9</v>
      </c>
      <c r="M2236">
        <v>1.8</v>
      </c>
      <c r="N2236" t="s">
        <v>39</v>
      </c>
      <c r="O2236">
        <v>11</v>
      </c>
      <c r="P2236" t="s">
        <v>23</v>
      </c>
      <c r="Q2236">
        <v>63.3</v>
      </c>
    </row>
    <row r="2237" spans="1:17" x14ac:dyDescent="0.35">
      <c r="A2237" s="1">
        <v>45832</v>
      </c>
      <c r="B2237" t="s">
        <v>101</v>
      </c>
      <c r="C2237" t="s">
        <v>45</v>
      </c>
      <c r="D2237" t="s">
        <v>102</v>
      </c>
      <c r="E2237" t="s">
        <v>33</v>
      </c>
      <c r="F2237">
        <v>752.71</v>
      </c>
      <c r="G2237">
        <v>1807.6</v>
      </c>
      <c r="H2237">
        <v>92.82</v>
      </c>
      <c r="I2237">
        <v>98.28</v>
      </c>
      <c r="J2237">
        <v>73.819999999999993</v>
      </c>
      <c r="K2237" t="s">
        <v>47</v>
      </c>
      <c r="L2237">
        <v>8.1</v>
      </c>
      <c r="M2237">
        <v>4.4000000000000004</v>
      </c>
      <c r="N2237" t="s">
        <v>22</v>
      </c>
      <c r="O2237">
        <v>7</v>
      </c>
      <c r="P2237" t="s">
        <v>23</v>
      </c>
      <c r="Q2237">
        <v>61.4</v>
      </c>
    </row>
    <row r="2238" spans="1:17" x14ac:dyDescent="0.35">
      <c r="A2238" s="1">
        <v>45832</v>
      </c>
      <c r="B2238" t="s">
        <v>55</v>
      </c>
      <c r="C2238" t="s">
        <v>56</v>
      </c>
      <c r="D2238">
        <v>4</v>
      </c>
      <c r="E2238" t="s">
        <v>57</v>
      </c>
      <c r="F2238">
        <v>30</v>
      </c>
      <c r="G2238">
        <v>142.80000000000001</v>
      </c>
      <c r="H2238">
        <v>89.22</v>
      </c>
      <c r="I2238">
        <v>94.62</v>
      </c>
      <c r="J2238">
        <v>74.849999999999994</v>
      </c>
      <c r="K2238" t="s">
        <v>63</v>
      </c>
      <c r="L2238">
        <v>6.3</v>
      </c>
      <c r="N2238" t="s">
        <v>35</v>
      </c>
      <c r="O2238">
        <v>5</v>
      </c>
      <c r="P2238" t="s">
        <v>43</v>
      </c>
      <c r="Q2238">
        <v>67.7</v>
      </c>
    </row>
    <row r="2239" spans="1:17" x14ac:dyDescent="0.35">
      <c r="A2239" s="1">
        <v>45832</v>
      </c>
      <c r="B2239" t="s">
        <v>66</v>
      </c>
      <c r="C2239" t="s">
        <v>67</v>
      </c>
      <c r="D2239" t="s">
        <v>68</v>
      </c>
      <c r="E2239" t="s">
        <v>27</v>
      </c>
      <c r="F2239">
        <v>263.83999999999997</v>
      </c>
      <c r="G2239">
        <v>42.4</v>
      </c>
      <c r="H2239">
        <v>93.49</v>
      </c>
      <c r="I2239">
        <v>95.33</v>
      </c>
      <c r="J2239">
        <v>81.47</v>
      </c>
      <c r="K2239" t="s">
        <v>47</v>
      </c>
      <c r="L2239">
        <v>7</v>
      </c>
      <c r="M2239">
        <v>2</v>
      </c>
      <c r="N2239" t="s">
        <v>29</v>
      </c>
      <c r="O2239">
        <v>14</v>
      </c>
      <c r="P2239" t="s">
        <v>43</v>
      </c>
      <c r="Q2239">
        <v>59.6</v>
      </c>
    </row>
    <row r="2240" spans="1:17" x14ac:dyDescent="0.35">
      <c r="A2240" s="1">
        <v>45832</v>
      </c>
      <c r="B2240" t="s">
        <v>80</v>
      </c>
      <c r="C2240" t="s">
        <v>45</v>
      </c>
      <c r="D2240" t="s">
        <v>81</v>
      </c>
      <c r="E2240" t="s">
        <v>33</v>
      </c>
      <c r="F2240">
        <v>864.33</v>
      </c>
      <c r="G2240">
        <v>321.89999999999998</v>
      </c>
      <c r="H2240">
        <v>92.11</v>
      </c>
      <c r="I2240">
        <v>98.15</v>
      </c>
      <c r="J2240">
        <v>72.94</v>
      </c>
      <c r="K2240" t="s">
        <v>28</v>
      </c>
      <c r="L2240">
        <v>9.1</v>
      </c>
      <c r="M2240">
        <v>2.1</v>
      </c>
      <c r="N2240" t="s">
        <v>35</v>
      </c>
      <c r="O2240">
        <v>5</v>
      </c>
      <c r="P2240" t="s">
        <v>23</v>
      </c>
      <c r="Q2240">
        <v>64.3</v>
      </c>
    </row>
    <row r="2241" spans="1:17" x14ac:dyDescent="0.35">
      <c r="A2241" s="1">
        <v>45832</v>
      </c>
      <c r="B2241" t="s">
        <v>89</v>
      </c>
      <c r="C2241" t="s">
        <v>67</v>
      </c>
      <c r="D2241" t="s">
        <v>90</v>
      </c>
      <c r="E2241" t="s">
        <v>27</v>
      </c>
      <c r="F2241">
        <v>407.46</v>
      </c>
      <c r="G2241">
        <v>27.6</v>
      </c>
      <c r="H2241">
        <v>96.29</v>
      </c>
      <c r="I2241">
        <v>96.57</v>
      </c>
      <c r="J2241">
        <v>80.319999999999993</v>
      </c>
      <c r="K2241" t="s">
        <v>34</v>
      </c>
      <c r="L2241">
        <v>9</v>
      </c>
      <c r="M2241">
        <v>4.4000000000000004</v>
      </c>
      <c r="N2241" t="s">
        <v>39</v>
      </c>
      <c r="O2241">
        <v>9</v>
      </c>
      <c r="P2241" t="s">
        <v>23</v>
      </c>
      <c r="Q2241">
        <v>61.5</v>
      </c>
    </row>
    <row r="2242" spans="1:17" x14ac:dyDescent="0.35">
      <c r="A2242" s="1">
        <v>45832</v>
      </c>
      <c r="B2242" t="s">
        <v>86</v>
      </c>
      <c r="C2242" t="s">
        <v>25</v>
      </c>
      <c r="D2242" t="s">
        <v>87</v>
      </c>
      <c r="E2242" t="s">
        <v>27</v>
      </c>
      <c r="F2242">
        <v>225.58</v>
      </c>
      <c r="G2242">
        <v>20.8</v>
      </c>
      <c r="H2242">
        <v>96.47</v>
      </c>
      <c r="I2242">
        <v>96.53</v>
      </c>
      <c r="J2242">
        <v>79.72</v>
      </c>
      <c r="K2242" t="s">
        <v>28</v>
      </c>
      <c r="L2242">
        <v>7.2</v>
      </c>
      <c r="M2242">
        <v>2.1</v>
      </c>
      <c r="N2242" t="s">
        <v>39</v>
      </c>
      <c r="O2242">
        <v>13</v>
      </c>
      <c r="P2242" t="s">
        <v>30</v>
      </c>
      <c r="Q2242">
        <v>59.8</v>
      </c>
    </row>
    <row r="2243" spans="1:17" x14ac:dyDescent="0.35">
      <c r="A2243" s="1">
        <v>45832</v>
      </c>
      <c r="B2243" t="s">
        <v>91</v>
      </c>
      <c r="C2243" t="s">
        <v>67</v>
      </c>
      <c r="D2243" t="s">
        <v>92</v>
      </c>
      <c r="E2243" t="s">
        <v>27</v>
      </c>
      <c r="F2243">
        <v>199.9</v>
      </c>
      <c r="G2243">
        <v>64.099999999999994</v>
      </c>
      <c r="H2243">
        <v>97.83</v>
      </c>
      <c r="I2243">
        <v>96.65</v>
      </c>
      <c r="J2243">
        <v>77.42</v>
      </c>
      <c r="K2243" t="s">
        <v>47</v>
      </c>
      <c r="L2243">
        <v>6.1</v>
      </c>
      <c r="M2243">
        <v>2</v>
      </c>
      <c r="N2243" t="s">
        <v>39</v>
      </c>
      <c r="O2243">
        <v>10</v>
      </c>
      <c r="P2243" t="s">
        <v>23</v>
      </c>
      <c r="Q2243">
        <v>58.8</v>
      </c>
    </row>
    <row r="2244" spans="1:17" x14ac:dyDescent="0.35">
      <c r="A2244" s="1">
        <v>45832</v>
      </c>
      <c r="B2244" t="s">
        <v>59</v>
      </c>
      <c r="C2244" t="s">
        <v>60</v>
      </c>
      <c r="D2244" t="s">
        <v>61</v>
      </c>
      <c r="E2244" t="s">
        <v>62</v>
      </c>
      <c r="F2244">
        <v>479.64</v>
      </c>
      <c r="G2244">
        <v>178.7</v>
      </c>
      <c r="H2244">
        <v>89.51</v>
      </c>
      <c r="I2244">
        <v>93.05</v>
      </c>
      <c r="J2244">
        <v>85.78</v>
      </c>
      <c r="K2244" t="s">
        <v>63</v>
      </c>
      <c r="L2244">
        <v>9.3000000000000007</v>
      </c>
      <c r="N2244" t="s">
        <v>35</v>
      </c>
      <c r="O2244">
        <v>3</v>
      </c>
      <c r="P2244" t="s">
        <v>43</v>
      </c>
      <c r="Q2244">
        <v>76.3</v>
      </c>
    </row>
    <row r="2245" spans="1:17" x14ac:dyDescent="0.35">
      <c r="A2245" s="1">
        <v>45832</v>
      </c>
      <c r="B2245" t="s">
        <v>97</v>
      </c>
      <c r="C2245" t="s">
        <v>72</v>
      </c>
      <c r="D2245" t="s">
        <v>98</v>
      </c>
      <c r="E2245" t="s">
        <v>27</v>
      </c>
      <c r="F2245">
        <v>89.17</v>
      </c>
      <c r="G2245">
        <v>36.799999999999997</v>
      </c>
      <c r="H2245">
        <v>92.07</v>
      </c>
      <c r="I2245">
        <v>94.97</v>
      </c>
      <c r="J2245">
        <v>84.85</v>
      </c>
      <c r="K2245" t="s">
        <v>34</v>
      </c>
      <c r="L2245">
        <v>6.5</v>
      </c>
      <c r="M2245">
        <v>4.5999999999999996</v>
      </c>
      <c r="N2245" t="s">
        <v>29</v>
      </c>
      <c r="O2245">
        <v>9</v>
      </c>
      <c r="P2245" t="s">
        <v>23</v>
      </c>
      <c r="Q2245">
        <v>57.1</v>
      </c>
    </row>
    <row r="2246" spans="1:17" x14ac:dyDescent="0.35">
      <c r="A2246" s="1">
        <v>45832</v>
      </c>
      <c r="B2246" t="s">
        <v>36</v>
      </c>
      <c r="C2246" t="s">
        <v>37</v>
      </c>
      <c r="D2246" t="s">
        <v>38</v>
      </c>
      <c r="E2246" t="s">
        <v>27</v>
      </c>
      <c r="F2246">
        <v>373.63</v>
      </c>
      <c r="G2246">
        <v>51.9</v>
      </c>
      <c r="H2246">
        <v>95.97</v>
      </c>
      <c r="I2246">
        <v>95.29</v>
      </c>
      <c r="J2246">
        <v>82.79</v>
      </c>
      <c r="K2246" t="s">
        <v>47</v>
      </c>
      <c r="L2246">
        <v>8.1999999999999993</v>
      </c>
      <c r="M2246">
        <v>2.6</v>
      </c>
      <c r="N2246" t="s">
        <v>39</v>
      </c>
      <c r="O2246">
        <v>9</v>
      </c>
      <c r="P2246" t="s">
        <v>23</v>
      </c>
      <c r="Q2246">
        <v>62</v>
      </c>
    </row>
    <row r="2247" spans="1:17" x14ac:dyDescent="0.35">
      <c r="A2247" s="1">
        <v>45832</v>
      </c>
      <c r="B2247" t="s">
        <v>97</v>
      </c>
      <c r="C2247" t="s">
        <v>72</v>
      </c>
      <c r="D2247" t="s">
        <v>98</v>
      </c>
      <c r="E2247" t="s">
        <v>33</v>
      </c>
      <c r="F2247">
        <v>292.81</v>
      </c>
      <c r="G2247">
        <v>161.5</v>
      </c>
      <c r="H2247">
        <v>95.7</v>
      </c>
      <c r="I2247">
        <v>93.25</v>
      </c>
      <c r="J2247">
        <v>76.290000000000006</v>
      </c>
      <c r="K2247" t="s">
        <v>34</v>
      </c>
      <c r="L2247">
        <v>8.3000000000000007</v>
      </c>
      <c r="M2247">
        <v>3.6</v>
      </c>
      <c r="N2247" t="s">
        <v>35</v>
      </c>
      <c r="O2247">
        <v>7</v>
      </c>
      <c r="P2247" t="s">
        <v>43</v>
      </c>
      <c r="Q2247">
        <v>62.2</v>
      </c>
    </row>
    <row r="2248" spans="1:17" x14ac:dyDescent="0.35">
      <c r="A2248" s="1">
        <v>45832</v>
      </c>
      <c r="B2248" t="s">
        <v>89</v>
      </c>
      <c r="C2248" t="s">
        <v>67</v>
      </c>
      <c r="D2248" t="s">
        <v>90</v>
      </c>
      <c r="E2248" t="s">
        <v>27</v>
      </c>
      <c r="F2248">
        <v>765.59</v>
      </c>
      <c r="G2248">
        <v>31.9</v>
      </c>
      <c r="H2248">
        <v>94.84</v>
      </c>
      <c r="I2248">
        <v>93.41</v>
      </c>
      <c r="J2248">
        <v>84.57</v>
      </c>
      <c r="K2248" t="s">
        <v>28</v>
      </c>
      <c r="L2248">
        <v>8.6</v>
      </c>
      <c r="M2248">
        <v>4.7</v>
      </c>
      <c r="N2248" t="s">
        <v>29</v>
      </c>
      <c r="O2248">
        <v>8</v>
      </c>
      <c r="P2248" t="s">
        <v>23</v>
      </c>
      <c r="Q2248">
        <v>60.6</v>
      </c>
    </row>
    <row r="2249" spans="1:17" x14ac:dyDescent="0.35">
      <c r="A2249" s="1">
        <v>45832</v>
      </c>
      <c r="B2249" t="s">
        <v>69</v>
      </c>
      <c r="C2249" t="s">
        <v>18</v>
      </c>
      <c r="D2249" t="s">
        <v>70</v>
      </c>
      <c r="E2249" t="s">
        <v>20</v>
      </c>
      <c r="F2249">
        <v>179.02</v>
      </c>
      <c r="G2249">
        <v>104.6</v>
      </c>
      <c r="H2249">
        <v>94.21</v>
      </c>
      <c r="I2249">
        <v>93.16</v>
      </c>
      <c r="J2249">
        <v>73.42</v>
      </c>
      <c r="K2249" t="s">
        <v>58</v>
      </c>
      <c r="L2249">
        <v>7.9</v>
      </c>
      <c r="N2249" t="s">
        <v>35</v>
      </c>
      <c r="O2249">
        <v>6</v>
      </c>
      <c r="P2249" t="s">
        <v>23</v>
      </c>
      <c r="Q2249">
        <v>70.400000000000006</v>
      </c>
    </row>
    <row r="2250" spans="1:17" x14ac:dyDescent="0.35">
      <c r="A2250" s="1">
        <v>45832</v>
      </c>
      <c r="B2250" t="s">
        <v>36</v>
      </c>
      <c r="C2250" t="s">
        <v>37</v>
      </c>
      <c r="D2250" t="s">
        <v>38</v>
      </c>
      <c r="E2250" t="s">
        <v>33</v>
      </c>
      <c r="F2250">
        <v>362</v>
      </c>
      <c r="G2250">
        <v>213.6</v>
      </c>
      <c r="H2250">
        <v>92.49</v>
      </c>
      <c r="I2250">
        <v>96.42</v>
      </c>
      <c r="J2250">
        <v>79.099999999999994</v>
      </c>
      <c r="K2250" t="s">
        <v>34</v>
      </c>
      <c r="L2250">
        <v>7.7</v>
      </c>
      <c r="M2250">
        <v>2.4</v>
      </c>
      <c r="N2250" t="s">
        <v>35</v>
      </c>
      <c r="O2250">
        <v>5</v>
      </c>
      <c r="P2250" t="s">
        <v>23</v>
      </c>
      <c r="Q2250">
        <v>62.6</v>
      </c>
    </row>
    <row r="2251" spans="1:17" x14ac:dyDescent="0.35">
      <c r="A2251" s="1">
        <v>45832</v>
      </c>
      <c r="B2251" t="s">
        <v>99</v>
      </c>
      <c r="C2251" t="s">
        <v>72</v>
      </c>
      <c r="D2251" t="s">
        <v>100</v>
      </c>
      <c r="E2251" t="s">
        <v>33</v>
      </c>
      <c r="F2251">
        <v>154.08000000000001</v>
      </c>
      <c r="G2251">
        <v>151.4</v>
      </c>
      <c r="H2251">
        <v>95.7</v>
      </c>
      <c r="I2251">
        <v>94.38</v>
      </c>
      <c r="J2251">
        <v>73.89</v>
      </c>
      <c r="K2251" t="s">
        <v>47</v>
      </c>
      <c r="L2251">
        <v>7.2</v>
      </c>
      <c r="M2251">
        <v>3.1</v>
      </c>
      <c r="N2251" t="s">
        <v>35</v>
      </c>
      <c r="O2251">
        <v>6</v>
      </c>
      <c r="P2251" t="s">
        <v>23</v>
      </c>
      <c r="Q2251">
        <v>60.3</v>
      </c>
    </row>
    <row r="2252" spans="1:17" x14ac:dyDescent="0.35">
      <c r="A2252" s="1">
        <v>45832</v>
      </c>
      <c r="B2252" t="s">
        <v>55</v>
      </c>
      <c r="C2252" t="s">
        <v>56</v>
      </c>
      <c r="D2252">
        <v>4</v>
      </c>
      <c r="E2252" t="s">
        <v>57</v>
      </c>
      <c r="F2252">
        <v>30</v>
      </c>
      <c r="G2252">
        <v>149.19999999999999</v>
      </c>
      <c r="H2252">
        <v>86.53</v>
      </c>
      <c r="I2252">
        <v>96.66</v>
      </c>
      <c r="J2252">
        <v>75.069999999999993</v>
      </c>
      <c r="K2252" t="s">
        <v>58</v>
      </c>
      <c r="L2252">
        <v>7.1</v>
      </c>
      <c r="N2252" t="s">
        <v>35</v>
      </c>
      <c r="O2252">
        <v>3</v>
      </c>
      <c r="P2252" t="s">
        <v>43</v>
      </c>
      <c r="Q2252">
        <v>69.400000000000006</v>
      </c>
    </row>
    <row r="2253" spans="1:17" x14ac:dyDescent="0.35">
      <c r="A2253" s="1">
        <v>45832</v>
      </c>
      <c r="B2253" t="s">
        <v>31</v>
      </c>
      <c r="C2253" t="s">
        <v>18</v>
      </c>
      <c r="D2253" t="s">
        <v>32</v>
      </c>
      <c r="E2253" t="s">
        <v>33</v>
      </c>
      <c r="F2253">
        <v>293.20999999999998</v>
      </c>
      <c r="G2253">
        <v>228.4</v>
      </c>
      <c r="H2253">
        <v>92.79</v>
      </c>
      <c r="I2253">
        <v>94.44</v>
      </c>
      <c r="J2253">
        <v>70.930000000000007</v>
      </c>
      <c r="K2253" t="s">
        <v>34</v>
      </c>
      <c r="L2253">
        <v>7</v>
      </c>
      <c r="M2253">
        <v>2.7</v>
      </c>
      <c r="N2253" t="s">
        <v>35</v>
      </c>
      <c r="O2253">
        <v>9</v>
      </c>
      <c r="P2253" t="s">
        <v>23</v>
      </c>
      <c r="Q2253">
        <v>59.6</v>
      </c>
    </row>
    <row r="2254" spans="1:17" x14ac:dyDescent="0.35">
      <c r="A2254" s="1">
        <v>45832</v>
      </c>
      <c r="B2254" t="s">
        <v>55</v>
      </c>
      <c r="C2254" t="s">
        <v>56</v>
      </c>
      <c r="D2254">
        <v>4</v>
      </c>
      <c r="E2254" t="s">
        <v>57</v>
      </c>
      <c r="F2254">
        <v>30</v>
      </c>
      <c r="G2254">
        <v>124.2</v>
      </c>
      <c r="H2254">
        <v>90.39</v>
      </c>
      <c r="I2254">
        <v>94.58</v>
      </c>
      <c r="J2254">
        <v>75.34</v>
      </c>
      <c r="K2254" t="s">
        <v>21</v>
      </c>
      <c r="L2254">
        <v>6</v>
      </c>
      <c r="N2254" t="s">
        <v>35</v>
      </c>
      <c r="O2254">
        <v>2</v>
      </c>
      <c r="P2254" t="s">
        <v>43</v>
      </c>
      <c r="Q2254">
        <v>67</v>
      </c>
    </row>
    <row r="2255" spans="1:17" x14ac:dyDescent="0.35">
      <c r="A2255" s="1">
        <v>45832</v>
      </c>
      <c r="B2255" t="s">
        <v>24</v>
      </c>
      <c r="C2255" t="s">
        <v>25</v>
      </c>
      <c r="D2255" t="s">
        <v>26</v>
      </c>
      <c r="E2255" t="s">
        <v>27</v>
      </c>
      <c r="F2255">
        <v>267.23</v>
      </c>
      <c r="G2255">
        <v>52</v>
      </c>
      <c r="H2255">
        <v>94.33</v>
      </c>
      <c r="I2255">
        <v>98.32</v>
      </c>
      <c r="J2255">
        <v>82.61</v>
      </c>
      <c r="K2255" t="s">
        <v>34</v>
      </c>
      <c r="L2255">
        <v>8</v>
      </c>
      <c r="M2255">
        <v>3.7</v>
      </c>
      <c r="N2255" t="s">
        <v>39</v>
      </c>
      <c r="O2255">
        <v>8</v>
      </c>
      <c r="P2255" t="s">
        <v>30</v>
      </c>
      <c r="Q2255">
        <v>61.1</v>
      </c>
    </row>
    <row r="2256" spans="1:17" x14ac:dyDescent="0.35">
      <c r="A2256" s="1">
        <v>45832</v>
      </c>
      <c r="B2256" t="s">
        <v>74</v>
      </c>
      <c r="C2256" t="s">
        <v>67</v>
      </c>
      <c r="D2256" t="s">
        <v>75</v>
      </c>
      <c r="E2256" t="s">
        <v>27</v>
      </c>
      <c r="F2256">
        <v>489.57</v>
      </c>
      <c r="G2256">
        <v>59.4</v>
      </c>
      <c r="H2256">
        <v>93.15</v>
      </c>
      <c r="I2256">
        <v>94.75</v>
      </c>
      <c r="J2256">
        <v>80.41</v>
      </c>
      <c r="K2256" t="s">
        <v>34</v>
      </c>
      <c r="L2256">
        <v>8.6</v>
      </c>
      <c r="M2256">
        <v>3.5</v>
      </c>
      <c r="N2256" t="s">
        <v>39</v>
      </c>
      <c r="O2256">
        <v>15</v>
      </c>
      <c r="P2256" t="s">
        <v>43</v>
      </c>
      <c r="Q2256">
        <v>61.2</v>
      </c>
    </row>
    <row r="2257" spans="1:17" x14ac:dyDescent="0.35">
      <c r="A2257" s="1">
        <v>45832</v>
      </c>
      <c r="B2257" t="s">
        <v>24</v>
      </c>
      <c r="C2257" t="s">
        <v>25</v>
      </c>
      <c r="D2257" t="s">
        <v>26</v>
      </c>
      <c r="E2257" t="s">
        <v>27</v>
      </c>
      <c r="F2257">
        <v>729.36</v>
      </c>
      <c r="G2257">
        <v>70.5</v>
      </c>
      <c r="H2257">
        <v>95.09</v>
      </c>
      <c r="I2257">
        <v>97.71</v>
      </c>
      <c r="J2257">
        <v>77.489999999999995</v>
      </c>
      <c r="K2257" t="s">
        <v>47</v>
      </c>
      <c r="L2257">
        <v>9.3000000000000007</v>
      </c>
      <c r="M2257">
        <v>4</v>
      </c>
      <c r="N2257" t="s">
        <v>29</v>
      </c>
      <c r="O2257">
        <v>15</v>
      </c>
      <c r="P2257" t="s">
        <v>30</v>
      </c>
      <c r="Q2257">
        <v>62.6</v>
      </c>
    </row>
    <row r="2258" spans="1:17" x14ac:dyDescent="0.35">
      <c r="A2258" s="1">
        <v>45832</v>
      </c>
      <c r="B2258" t="s">
        <v>71</v>
      </c>
      <c r="C2258" t="s">
        <v>72</v>
      </c>
      <c r="D2258" t="s">
        <v>73</v>
      </c>
      <c r="E2258" t="s">
        <v>27</v>
      </c>
      <c r="F2258">
        <v>267.43</v>
      </c>
      <c r="G2258">
        <v>56</v>
      </c>
      <c r="H2258">
        <v>92.44</v>
      </c>
      <c r="I2258">
        <v>93.57</v>
      </c>
      <c r="J2258">
        <v>79.37</v>
      </c>
      <c r="K2258" t="s">
        <v>28</v>
      </c>
      <c r="L2258">
        <v>8</v>
      </c>
      <c r="M2258">
        <v>3.3</v>
      </c>
      <c r="N2258" t="s">
        <v>29</v>
      </c>
      <c r="O2258">
        <v>11</v>
      </c>
      <c r="P2258" t="s">
        <v>43</v>
      </c>
      <c r="Q2258">
        <v>59.8</v>
      </c>
    </row>
    <row r="2259" spans="1:17" x14ac:dyDescent="0.35">
      <c r="A2259" s="1">
        <v>45832</v>
      </c>
      <c r="B2259" t="s">
        <v>36</v>
      </c>
      <c r="C2259" t="s">
        <v>37</v>
      </c>
      <c r="D2259" t="s">
        <v>38</v>
      </c>
      <c r="E2259" t="s">
        <v>27</v>
      </c>
      <c r="F2259">
        <v>263.35000000000002</v>
      </c>
      <c r="G2259">
        <v>44.1</v>
      </c>
      <c r="H2259">
        <v>97.4</v>
      </c>
      <c r="I2259">
        <v>93.33</v>
      </c>
      <c r="J2259">
        <v>78.36</v>
      </c>
      <c r="K2259" t="s">
        <v>47</v>
      </c>
      <c r="L2259">
        <v>8.3000000000000007</v>
      </c>
      <c r="M2259">
        <v>4.9000000000000004</v>
      </c>
      <c r="N2259" t="s">
        <v>39</v>
      </c>
      <c r="O2259">
        <v>14</v>
      </c>
      <c r="P2259" t="s">
        <v>23</v>
      </c>
      <c r="Q2259">
        <v>59.6</v>
      </c>
    </row>
    <row r="2260" spans="1:17" x14ac:dyDescent="0.35">
      <c r="A2260" s="1">
        <v>45832</v>
      </c>
      <c r="B2260" t="s">
        <v>78</v>
      </c>
      <c r="C2260" t="s">
        <v>41</v>
      </c>
      <c r="D2260" t="s">
        <v>79</v>
      </c>
      <c r="E2260" t="s">
        <v>27</v>
      </c>
      <c r="F2260">
        <v>460.7</v>
      </c>
      <c r="G2260">
        <v>22.6</v>
      </c>
      <c r="H2260">
        <v>92.55</v>
      </c>
      <c r="I2260">
        <v>97.51</v>
      </c>
      <c r="J2260">
        <v>81.459999999999994</v>
      </c>
      <c r="K2260" t="s">
        <v>28</v>
      </c>
      <c r="L2260">
        <v>8.4</v>
      </c>
      <c r="M2260">
        <v>3.3</v>
      </c>
      <c r="N2260" t="s">
        <v>39</v>
      </c>
      <c r="O2260">
        <v>12</v>
      </c>
      <c r="P2260" t="s">
        <v>43</v>
      </c>
      <c r="Q2260">
        <v>60.8</v>
      </c>
    </row>
    <row r="2261" spans="1:17" x14ac:dyDescent="0.35">
      <c r="A2261" s="1">
        <v>45832</v>
      </c>
      <c r="B2261" t="s">
        <v>71</v>
      </c>
      <c r="C2261" t="s">
        <v>72</v>
      </c>
      <c r="D2261" t="s">
        <v>73</v>
      </c>
      <c r="E2261" t="s">
        <v>27</v>
      </c>
      <c r="F2261">
        <v>113.24</v>
      </c>
      <c r="G2261">
        <v>56.7</v>
      </c>
      <c r="H2261">
        <v>96.68</v>
      </c>
      <c r="I2261">
        <v>96.87</v>
      </c>
      <c r="J2261">
        <v>84.13</v>
      </c>
      <c r="K2261" t="s">
        <v>34</v>
      </c>
      <c r="L2261">
        <v>6.2</v>
      </c>
      <c r="M2261">
        <v>2.2999999999999998</v>
      </c>
      <c r="N2261" t="s">
        <v>39</v>
      </c>
      <c r="O2261">
        <v>8</v>
      </c>
      <c r="P2261" t="s">
        <v>23</v>
      </c>
      <c r="Q2261">
        <v>59.5</v>
      </c>
    </row>
    <row r="2262" spans="1:17" x14ac:dyDescent="0.35">
      <c r="A2262" s="1">
        <v>45832</v>
      </c>
      <c r="B2262" t="s">
        <v>80</v>
      </c>
      <c r="C2262" t="s">
        <v>45</v>
      </c>
      <c r="D2262" t="s">
        <v>81</v>
      </c>
      <c r="E2262" t="s">
        <v>33</v>
      </c>
      <c r="F2262">
        <v>977.35</v>
      </c>
      <c r="G2262">
        <v>641.29999999999995</v>
      </c>
      <c r="H2262">
        <v>94.28</v>
      </c>
      <c r="I2262">
        <v>98.04</v>
      </c>
      <c r="J2262">
        <v>78.39</v>
      </c>
      <c r="K2262" t="s">
        <v>28</v>
      </c>
      <c r="L2262">
        <v>8.6</v>
      </c>
      <c r="M2262">
        <v>4.0999999999999996</v>
      </c>
      <c r="N2262" t="s">
        <v>35</v>
      </c>
      <c r="O2262">
        <v>5</v>
      </c>
      <c r="P2262" t="s">
        <v>23</v>
      </c>
      <c r="Q2262">
        <v>63.4</v>
      </c>
    </row>
    <row r="2263" spans="1:17" x14ac:dyDescent="0.35">
      <c r="A2263" s="1">
        <v>45832</v>
      </c>
      <c r="B2263" t="s">
        <v>59</v>
      </c>
      <c r="C2263" t="s">
        <v>60</v>
      </c>
      <c r="D2263" t="s">
        <v>61</v>
      </c>
      <c r="E2263" t="s">
        <v>62</v>
      </c>
      <c r="F2263">
        <v>398.6</v>
      </c>
      <c r="G2263">
        <v>179.3</v>
      </c>
      <c r="H2263">
        <v>87.72</v>
      </c>
      <c r="I2263">
        <v>94.77</v>
      </c>
      <c r="J2263">
        <v>89.78</v>
      </c>
      <c r="K2263" t="s">
        <v>63</v>
      </c>
      <c r="L2263">
        <v>7.7</v>
      </c>
      <c r="N2263" t="s">
        <v>35</v>
      </c>
      <c r="O2263">
        <v>3</v>
      </c>
      <c r="P2263" t="s">
        <v>43</v>
      </c>
      <c r="Q2263">
        <v>73.900000000000006</v>
      </c>
    </row>
    <row r="2264" spans="1:17" x14ac:dyDescent="0.35">
      <c r="A2264" s="1">
        <v>45832</v>
      </c>
      <c r="B2264" t="s">
        <v>93</v>
      </c>
      <c r="C2264" t="s">
        <v>37</v>
      </c>
      <c r="D2264" t="s">
        <v>94</v>
      </c>
      <c r="E2264" t="s">
        <v>33</v>
      </c>
      <c r="F2264">
        <v>472.21</v>
      </c>
      <c r="G2264">
        <v>235.4</v>
      </c>
      <c r="H2264">
        <v>96.34</v>
      </c>
      <c r="I2264">
        <v>94.85</v>
      </c>
      <c r="J2264">
        <v>78.77</v>
      </c>
      <c r="K2264" t="s">
        <v>34</v>
      </c>
      <c r="L2264">
        <v>8.1999999999999993</v>
      </c>
      <c r="M2264">
        <v>3.3</v>
      </c>
      <c r="N2264" t="s">
        <v>35</v>
      </c>
      <c r="O2264">
        <v>5</v>
      </c>
      <c r="P2264" t="s">
        <v>23</v>
      </c>
      <c r="Q2264">
        <v>63.1</v>
      </c>
    </row>
    <row r="2265" spans="1:17" x14ac:dyDescent="0.35">
      <c r="A2265" s="1">
        <v>45832</v>
      </c>
      <c r="B2265" t="s">
        <v>40</v>
      </c>
      <c r="C2265" t="s">
        <v>41</v>
      </c>
      <c r="D2265" t="s">
        <v>42</v>
      </c>
      <c r="E2265" t="s">
        <v>27</v>
      </c>
      <c r="F2265">
        <v>298.95999999999998</v>
      </c>
      <c r="G2265">
        <v>57.1</v>
      </c>
      <c r="H2265">
        <v>95.45</v>
      </c>
      <c r="I2265">
        <v>96.93</v>
      </c>
      <c r="J2265">
        <v>78.06</v>
      </c>
      <c r="K2265" t="s">
        <v>28</v>
      </c>
      <c r="L2265">
        <v>8.5</v>
      </c>
      <c r="M2265">
        <v>3.6</v>
      </c>
      <c r="N2265" t="s">
        <v>39</v>
      </c>
      <c r="O2265">
        <v>12</v>
      </c>
      <c r="P2265" t="s">
        <v>43</v>
      </c>
      <c r="Q2265">
        <v>61.3</v>
      </c>
    </row>
    <row r="2266" spans="1:17" x14ac:dyDescent="0.35">
      <c r="A2266" s="1">
        <v>45832</v>
      </c>
      <c r="B2266" t="s">
        <v>59</v>
      </c>
      <c r="C2266" t="s">
        <v>60</v>
      </c>
      <c r="D2266" t="s">
        <v>61</v>
      </c>
      <c r="E2266" t="s">
        <v>62</v>
      </c>
      <c r="F2266">
        <v>305.14999999999998</v>
      </c>
      <c r="G2266">
        <v>190.5</v>
      </c>
      <c r="H2266">
        <v>87.28</v>
      </c>
      <c r="I2266">
        <v>95.08</v>
      </c>
      <c r="J2266">
        <v>91.89</v>
      </c>
      <c r="K2266" t="s">
        <v>63</v>
      </c>
      <c r="L2266">
        <v>7</v>
      </c>
      <c r="N2266" t="s">
        <v>35</v>
      </c>
      <c r="O2266">
        <v>4</v>
      </c>
      <c r="P2266" t="s">
        <v>23</v>
      </c>
      <c r="Q2266">
        <v>72.8</v>
      </c>
    </row>
    <row r="2267" spans="1:17" x14ac:dyDescent="0.35">
      <c r="A2267" s="1">
        <v>45832</v>
      </c>
      <c r="B2267" t="s">
        <v>40</v>
      </c>
      <c r="C2267" t="s">
        <v>41</v>
      </c>
      <c r="D2267" t="s">
        <v>42</v>
      </c>
      <c r="E2267" t="s">
        <v>27</v>
      </c>
      <c r="F2267">
        <v>243.06</v>
      </c>
      <c r="G2267">
        <v>30.8</v>
      </c>
      <c r="H2267">
        <v>94.2</v>
      </c>
      <c r="I2267">
        <v>97.8</v>
      </c>
      <c r="J2267">
        <v>82.99</v>
      </c>
      <c r="K2267" t="s">
        <v>47</v>
      </c>
      <c r="L2267">
        <v>8.4</v>
      </c>
      <c r="M2267">
        <v>2.6</v>
      </c>
      <c r="N2267" t="s">
        <v>39</v>
      </c>
      <c r="O2267">
        <v>12</v>
      </c>
      <c r="P2267" t="s">
        <v>43</v>
      </c>
      <c r="Q2267">
        <v>62</v>
      </c>
    </row>
    <row r="2268" spans="1:17" x14ac:dyDescent="0.35">
      <c r="A2268" s="1">
        <v>45832</v>
      </c>
      <c r="B2268" t="s">
        <v>36</v>
      </c>
      <c r="C2268" t="s">
        <v>37</v>
      </c>
      <c r="D2268" t="s">
        <v>38</v>
      </c>
      <c r="E2268" t="s">
        <v>33</v>
      </c>
      <c r="F2268">
        <v>491.07</v>
      </c>
      <c r="G2268">
        <v>93.1</v>
      </c>
      <c r="H2268">
        <v>93.88</v>
      </c>
      <c r="I2268">
        <v>94.09</v>
      </c>
      <c r="J2268">
        <v>72.09</v>
      </c>
      <c r="K2268" t="s">
        <v>47</v>
      </c>
      <c r="L2268">
        <v>8.5</v>
      </c>
      <c r="M2268">
        <v>3</v>
      </c>
      <c r="N2268" t="s">
        <v>22</v>
      </c>
      <c r="O2268">
        <v>8</v>
      </c>
      <c r="P2268" t="s">
        <v>23</v>
      </c>
      <c r="Q2268">
        <v>60.7</v>
      </c>
    </row>
    <row r="2269" spans="1:17" x14ac:dyDescent="0.35">
      <c r="A2269" s="1">
        <v>45832</v>
      </c>
      <c r="B2269" t="s">
        <v>78</v>
      </c>
      <c r="C2269" t="s">
        <v>41</v>
      </c>
      <c r="D2269" t="s">
        <v>79</v>
      </c>
      <c r="E2269" t="s">
        <v>27</v>
      </c>
      <c r="F2269">
        <v>323.73</v>
      </c>
      <c r="G2269">
        <v>35.9</v>
      </c>
      <c r="H2269">
        <v>95.85</v>
      </c>
      <c r="I2269">
        <v>96.91</v>
      </c>
      <c r="J2269">
        <v>83.49</v>
      </c>
      <c r="K2269" t="s">
        <v>47</v>
      </c>
      <c r="L2269">
        <v>7.5</v>
      </c>
      <c r="M2269">
        <v>1.6</v>
      </c>
      <c r="N2269" t="s">
        <v>29</v>
      </c>
      <c r="O2269">
        <v>12</v>
      </c>
      <c r="P2269" t="s">
        <v>43</v>
      </c>
      <c r="Q2269">
        <v>61.5</v>
      </c>
    </row>
    <row r="2270" spans="1:17" x14ac:dyDescent="0.35">
      <c r="A2270" s="1">
        <v>45832</v>
      </c>
      <c r="B2270" t="s">
        <v>44</v>
      </c>
      <c r="C2270" t="s">
        <v>45</v>
      </c>
      <c r="D2270" t="s">
        <v>46</v>
      </c>
      <c r="E2270" t="s">
        <v>33</v>
      </c>
      <c r="F2270">
        <v>521.42999999999995</v>
      </c>
      <c r="G2270">
        <v>377.3</v>
      </c>
      <c r="H2270">
        <v>94.79</v>
      </c>
      <c r="I2270">
        <v>98.28</v>
      </c>
      <c r="J2270">
        <v>70.38</v>
      </c>
      <c r="K2270" t="s">
        <v>47</v>
      </c>
      <c r="L2270">
        <v>9.3000000000000007</v>
      </c>
      <c r="M2270">
        <v>1.7</v>
      </c>
      <c r="N2270" t="s">
        <v>35</v>
      </c>
      <c r="O2270">
        <v>7</v>
      </c>
      <c r="P2270" t="s">
        <v>23</v>
      </c>
      <c r="Q2270">
        <v>64.900000000000006</v>
      </c>
    </row>
    <row r="2271" spans="1:17" x14ac:dyDescent="0.35">
      <c r="A2271" s="1">
        <v>45832</v>
      </c>
      <c r="B2271" t="s">
        <v>93</v>
      </c>
      <c r="C2271" t="s">
        <v>37</v>
      </c>
      <c r="D2271" t="s">
        <v>94</v>
      </c>
      <c r="E2271" t="s">
        <v>27</v>
      </c>
      <c r="F2271">
        <v>244.24</v>
      </c>
      <c r="G2271">
        <v>36.200000000000003</v>
      </c>
      <c r="H2271">
        <v>95.82</v>
      </c>
      <c r="I2271">
        <v>96.37</v>
      </c>
      <c r="J2271">
        <v>81.05</v>
      </c>
      <c r="K2271" t="s">
        <v>34</v>
      </c>
      <c r="L2271">
        <v>7.2</v>
      </c>
      <c r="M2271">
        <v>2.4</v>
      </c>
      <c r="N2271" t="s">
        <v>39</v>
      </c>
      <c r="O2271">
        <v>8</v>
      </c>
      <c r="P2271" t="s">
        <v>23</v>
      </c>
      <c r="Q2271">
        <v>60</v>
      </c>
    </row>
    <row r="2272" spans="1:17" x14ac:dyDescent="0.35">
      <c r="A2272" s="1">
        <v>45832</v>
      </c>
      <c r="B2272" t="s">
        <v>55</v>
      </c>
      <c r="C2272" t="s">
        <v>56</v>
      </c>
      <c r="D2272">
        <v>4</v>
      </c>
      <c r="E2272" t="s">
        <v>57</v>
      </c>
      <c r="F2272">
        <v>30</v>
      </c>
      <c r="G2272">
        <v>123.7</v>
      </c>
      <c r="H2272">
        <v>90.3</v>
      </c>
      <c r="I2272">
        <v>93.29</v>
      </c>
      <c r="J2272">
        <v>74.709999999999994</v>
      </c>
      <c r="K2272" t="s">
        <v>58</v>
      </c>
      <c r="L2272">
        <v>8</v>
      </c>
      <c r="N2272" t="s">
        <v>35</v>
      </c>
      <c r="O2272">
        <v>4</v>
      </c>
      <c r="P2272" t="s">
        <v>43</v>
      </c>
      <c r="Q2272">
        <v>70.599999999999994</v>
      </c>
    </row>
    <row r="2273" spans="1:17" x14ac:dyDescent="0.35">
      <c r="A2273" s="1">
        <v>45832</v>
      </c>
      <c r="B2273" t="s">
        <v>55</v>
      </c>
      <c r="C2273" t="s">
        <v>56</v>
      </c>
      <c r="D2273">
        <v>4</v>
      </c>
      <c r="E2273" t="s">
        <v>57</v>
      </c>
      <c r="F2273">
        <v>30</v>
      </c>
      <c r="G2273">
        <v>153.1</v>
      </c>
      <c r="H2273">
        <v>85.65</v>
      </c>
      <c r="I2273">
        <v>93.24</v>
      </c>
      <c r="J2273">
        <v>77.540000000000006</v>
      </c>
      <c r="K2273" t="s">
        <v>21</v>
      </c>
      <c r="L2273">
        <v>7.5</v>
      </c>
      <c r="N2273" t="s">
        <v>35</v>
      </c>
      <c r="O2273">
        <v>3</v>
      </c>
      <c r="P2273" t="s">
        <v>43</v>
      </c>
      <c r="Q2273">
        <v>69.900000000000006</v>
      </c>
    </row>
    <row r="2274" spans="1:17" x14ac:dyDescent="0.35">
      <c r="A2274" s="1">
        <v>45832</v>
      </c>
      <c r="B2274" t="s">
        <v>55</v>
      </c>
      <c r="C2274" t="s">
        <v>56</v>
      </c>
      <c r="D2274">
        <v>4</v>
      </c>
      <c r="E2274" t="s">
        <v>57</v>
      </c>
      <c r="F2274">
        <v>30</v>
      </c>
      <c r="G2274">
        <v>158.4</v>
      </c>
      <c r="H2274">
        <v>89.5</v>
      </c>
      <c r="I2274">
        <v>93.35</v>
      </c>
      <c r="J2274">
        <v>71.239999999999995</v>
      </c>
      <c r="K2274" t="s">
        <v>21</v>
      </c>
      <c r="L2274">
        <v>7.4</v>
      </c>
      <c r="N2274" t="s">
        <v>35</v>
      </c>
      <c r="O2274">
        <v>5</v>
      </c>
      <c r="P2274" t="s">
        <v>43</v>
      </c>
      <c r="Q2274">
        <v>69.400000000000006</v>
      </c>
    </row>
    <row r="2275" spans="1:17" x14ac:dyDescent="0.35">
      <c r="A2275" s="1">
        <v>45832</v>
      </c>
      <c r="B2275" t="s">
        <v>36</v>
      </c>
      <c r="C2275" t="s">
        <v>37</v>
      </c>
      <c r="D2275" t="s">
        <v>38</v>
      </c>
      <c r="E2275" t="s">
        <v>33</v>
      </c>
      <c r="F2275">
        <v>363.08</v>
      </c>
      <c r="G2275">
        <v>73.2</v>
      </c>
      <c r="H2275">
        <v>96.12</v>
      </c>
      <c r="I2275">
        <v>93.2</v>
      </c>
      <c r="J2275">
        <v>71.86</v>
      </c>
      <c r="K2275" t="s">
        <v>47</v>
      </c>
      <c r="L2275">
        <v>8.5</v>
      </c>
      <c r="M2275">
        <v>3.9</v>
      </c>
      <c r="N2275" t="s">
        <v>22</v>
      </c>
      <c r="O2275">
        <v>10</v>
      </c>
      <c r="P2275" t="s">
        <v>23</v>
      </c>
      <c r="Q2275">
        <v>59.9</v>
      </c>
    </row>
    <row r="2276" spans="1:17" x14ac:dyDescent="0.35">
      <c r="A2276" s="1">
        <v>45832</v>
      </c>
      <c r="B2276" t="s">
        <v>36</v>
      </c>
      <c r="C2276" t="s">
        <v>37</v>
      </c>
      <c r="D2276" t="s">
        <v>38</v>
      </c>
      <c r="E2276" t="s">
        <v>27</v>
      </c>
      <c r="F2276">
        <v>447.86</v>
      </c>
      <c r="G2276">
        <v>47.2</v>
      </c>
      <c r="H2276">
        <v>97.84</v>
      </c>
      <c r="I2276">
        <v>94.28</v>
      </c>
      <c r="J2276">
        <v>79.37</v>
      </c>
      <c r="K2276" t="s">
        <v>34</v>
      </c>
      <c r="L2276">
        <v>8.1999999999999993</v>
      </c>
      <c r="M2276">
        <v>4.3</v>
      </c>
      <c r="N2276" t="s">
        <v>29</v>
      </c>
      <c r="O2276">
        <v>12</v>
      </c>
      <c r="P2276" t="s">
        <v>23</v>
      </c>
      <c r="Q2276">
        <v>60.3</v>
      </c>
    </row>
    <row r="2277" spans="1:17" x14ac:dyDescent="0.35">
      <c r="A2277" s="1">
        <v>45833</v>
      </c>
      <c r="B2277" t="s">
        <v>24</v>
      </c>
      <c r="C2277" t="s">
        <v>25</v>
      </c>
      <c r="D2277" t="s">
        <v>26</v>
      </c>
      <c r="E2277" t="s">
        <v>27</v>
      </c>
      <c r="F2277">
        <v>696.51</v>
      </c>
      <c r="G2277">
        <v>18.7</v>
      </c>
      <c r="H2277">
        <v>94.99</v>
      </c>
      <c r="I2277">
        <v>97.25</v>
      </c>
      <c r="J2277">
        <v>83.07</v>
      </c>
      <c r="K2277" t="s">
        <v>28</v>
      </c>
      <c r="L2277">
        <v>9.3000000000000007</v>
      </c>
      <c r="M2277">
        <v>2.2999999999999998</v>
      </c>
      <c r="N2277" t="s">
        <v>39</v>
      </c>
      <c r="O2277">
        <v>15</v>
      </c>
      <c r="P2277" t="s">
        <v>30</v>
      </c>
      <c r="Q2277">
        <v>63.6</v>
      </c>
    </row>
    <row r="2278" spans="1:17" x14ac:dyDescent="0.35">
      <c r="A2278" s="1">
        <v>45833</v>
      </c>
      <c r="B2278" t="s">
        <v>55</v>
      </c>
      <c r="C2278" t="s">
        <v>56</v>
      </c>
      <c r="D2278">
        <v>4</v>
      </c>
      <c r="E2278" t="s">
        <v>57</v>
      </c>
      <c r="F2278">
        <v>30</v>
      </c>
      <c r="G2278">
        <v>129.4</v>
      </c>
      <c r="H2278">
        <v>85.02</v>
      </c>
      <c r="I2278">
        <v>94.11</v>
      </c>
      <c r="J2278">
        <v>70.62</v>
      </c>
      <c r="K2278" t="s">
        <v>58</v>
      </c>
      <c r="L2278">
        <v>7.9</v>
      </c>
      <c r="N2278" t="s">
        <v>35</v>
      </c>
      <c r="O2278">
        <v>4</v>
      </c>
      <c r="P2278" t="s">
        <v>43</v>
      </c>
      <c r="Q2278">
        <v>68.8</v>
      </c>
    </row>
    <row r="2279" spans="1:17" x14ac:dyDescent="0.35">
      <c r="A2279" s="1">
        <v>45833</v>
      </c>
      <c r="B2279" t="s">
        <v>66</v>
      </c>
      <c r="C2279" t="s">
        <v>67</v>
      </c>
      <c r="D2279" t="s">
        <v>68</v>
      </c>
      <c r="E2279" t="s">
        <v>27</v>
      </c>
      <c r="F2279">
        <v>392.15</v>
      </c>
      <c r="G2279">
        <v>48.1</v>
      </c>
      <c r="H2279">
        <v>93.15</v>
      </c>
      <c r="I2279">
        <v>96.95</v>
      </c>
      <c r="J2279">
        <v>84.77</v>
      </c>
      <c r="K2279" t="s">
        <v>28</v>
      </c>
      <c r="L2279">
        <v>7.5</v>
      </c>
      <c r="M2279">
        <v>4.2</v>
      </c>
      <c r="N2279" t="s">
        <v>39</v>
      </c>
      <c r="O2279">
        <v>11</v>
      </c>
      <c r="P2279" t="s">
        <v>23</v>
      </c>
      <c r="Q2279">
        <v>59.8</v>
      </c>
    </row>
    <row r="2280" spans="1:17" x14ac:dyDescent="0.35">
      <c r="A2280" s="1">
        <v>45833</v>
      </c>
      <c r="B2280" t="s">
        <v>55</v>
      </c>
      <c r="C2280" t="s">
        <v>56</v>
      </c>
      <c r="D2280">
        <v>4</v>
      </c>
      <c r="E2280" t="s">
        <v>57</v>
      </c>
      <c r="F2280">
        <v>30</v>
      </c>
      <c r="G2280">
        <v>121.6</v>
      </c>
      <c r="H2280">
        <v>85.27</v>
      </c>
      <c r="I2280">
        <v>94.93</v>
      </c>
      <c r="J2280">
        <v>73.69</v>
      </c>
      <c r="K2280" t="s">
        <v>21</v>
      </c>
      <c r="L2280">
        <v>7</v>
      </c>
      <c r="N2280" t="s">
        <v>35</v>
      </c>
      <c r="O2280">
        <v>2</v>
      </c>
      <c r="P2280" t="s">
        <v>43</v>
      </c>
      <c r="Q2280">
        <v>67.7</v>
      </c>
    </row>
    <row r="2281" spans="1:17" x14ac:dyDescent="0.35">
      <c r="A2281" s="1">
        <v>45833</v>
      </c>
      <c r="B2281" t="s">
        <v>59</v>
      </c>
      <c r="C2281" t="s">
        <v>60</v>
      </c>
      <c r="D2281" t="s">
        <v>61</v>
      </c>
      <c r="E2281" t="s">
        <v>62</v>
      </c>
      <c r="F2281">
        <v>433.07</v>
      </c>
      <c r="G2281">
        <v>168.2</v>
      </c>
      <c r="H2281">
        <v>87.85</v>
      </c>
      <c r="I2281">
        <v>93.77</v>
      </c>
      <c r="J2281">
        <v>90.04</v>
      </c>
      <c r="K2281" t="s">
        <v>63</v>
      </c>
      <c r="L2281">
        <v>8.5</v>
      </c>
      <c r="N2281" t="s">
        <v>35</v>
      </c>
      <c r="O2281">
        <v>4</v>
      </c>
      <c r="P2281" t="s">
        <v>43</v>
      </c>
      <c r="Q2281">
        <v>75.3</v>
      </c>
    </row>
    <row r="2282" spans="1:17" x14ac:dyDescent="0.35">
      <c r="A2282" s="1">
        <v>45833</v>
      </c>
      <c r="B2282" t="s">
        <v>24</v>
      </c>
      <c r="C2282" t="s">
        <v>25</v>
      </c>
      <c r="D2282" t="s">
        <v>26</v>
      </c>
      <c r="E2282" t="s">
        <v>27</v>
      </c>
      <c r="F2282">
        <v>226.84</v>
      </c>
      <c r="G2282">
        <v>33.9</v>
      </c>
      <c r="H2282">
        <v>97.99</v>
      </c>
      <c r="I2282">
        <v>98.3</v>
      </c>
      <c r="J2282">
        <v>76.11</v>
      </c>
      <c r="K2282" t="s">
        <v>47</v>
      </c>
      <c r="L2282">
        <v>7</v>
      </c>
      <c r="M2282">
        <v>4.4000000000000004</v>
      </c>
      <c r="N2282" t="s">
        <v>39</v>
      </c>
      <c r="O2282">
        <v>14</v>
      </c>
      <c r="P2282" t="s">
        <v>30</v>
      </c>
      <c r="Q2282">
        <v>58.1</v>
      </c>
    </row>
    <row r="2283" spans="1:17" x14ac:dyDescent="0.35">
      <c r="A2283" s="1">
        <v>45833</v>
      </c>
      <c r="B2283" t="s">
        <v>59</v>
      </c>
      <c r="C2283" t="s">
        <v>60</v>
      </c>
      <c r="D2283" t="s">
        <v>61</v>
      </c>
      <c r="E2283" t="s">
        <v>62</v>
      </c>
      <c r="F2283">
        <v>536.73</v>
      </c>
      <c r="G2283">
        <v>185.9</v>
      </c>
      <c r="H2283">
        <v>88.83</v>
      </c>
      <c r="I2283">
        <v>93.9</v>
      </c>
      <c r="J2283">
        <v>86.9</v>
      </c>
      <c r="K2283" t="s">
        <v>34</v>
      </c>
      <c r="L2283">
        <v>8.6</v>
      </c>
      <c r="N2283" t="s">
        <v>35</v>
      </c>
      <c r="O2283">
        <v>5</v>
      </c>
      <c r="P2283" t="s">
        <v>23</v>
      </c>
      <c r="Q2283">
        <v>75.099999999999994</v>
      </c>
    </row>
    <row r="2284" spans="1:17" x14ac:dyDescent="0.35">
      <c r="A2284" s="1">
        <v>45833</v>
      </c>
      <c r="B2284" t="s">
        <v>53</v>
      </c>
      <c r="C2284" t="s">
        <v>41</v>
      </c>
      <c r="D2284" t="s">
        <v>54</v>
      </c>
      <c r="E2284" t="s">
        <v>27</v>
      </c>
      <c r="F2284">
        <v>455.26</v>
      </c>
      <c r="G2284">
        <v>49.1</v>
      </c>
      <c r="H2284">
        <v>97.07</v>
      </c>
      <c r="I2284">
        <v>96.41</v>
      </c>
      <c r="J2284">
        <v>75.59</v>
      </c>
      <c r="K2284" t="s">
        <v>34</v>
      </c>
      <c r="L2284">
        <v>8.6999999999999993</v>
      </c>
      <c r="M2284">
        <v>3.9</v>
      </c>
      <c r="N2284" t="s">
        <v>29</v>
      </c>
      <c r="O2284">
        <v>8</v>
      </c>
      <c r="P2284" t="s">
        <v>43</v>
      </c>
      <c r="Q2284">
        <v>61.1</v>
      </c>
    </row>
    <row r="2285" spans="1:17" x14ac:dyDescent="0.35">
      <c r="A2285" s="1">
        <v>45833</v>
      </c>
      <c r="B2285" t="s">
        <v>95</v>
      </c>
      <c r="C2285" t="s">
        <v>49</v>
      </c>
      <c r="D2285" t="s">
        <v>96</v>
      </c>
      <c r="E2285" t="s">
        <v>27</v>
      </c>
      <c r="F2285">
        <v>446.1</v>
      </c>
      <c r="G2285">
        <v>43.7</v>
      </c>
      <c r="H2285">
        <v>94.91</v>
      </c>
      <c r="I2285">
        <v>96.38</v>
      </c>
      <c r="J2285">
        <v>83.21</v>
      </c>
      <c r="K2285" t="s">
        <v>28</v>
      </c>
      <c r="L2285">
        <v>9.3000000000000007</v>
      </c>
      <c r="M2285">
        <v>2</v>
      </c>
      <c r="N2285" t="s">
        <v>29</v>
      </c>
      <c r="O2285">
        <v>10</v>
      </c>
      <c r="P2285" t="s">
        <v>23</v>
      </c>
      <c r="Q2285">
        <v>64.099999999999994</v>
      </c>
    </row>
    <row r="2286" spans="1:17" x14ac:dyDescent="0.35">
      <c r="A2286" s="1">
        <v>45833</v>
      </c>
      <c r="B2286" t="s">
        <v>82</v>
      </c>
      <c r="C2286" t="s">
        <v>72</v>
      </c>
      <c r="D2286" t="s">
        <v>83</v>
      </c>
      <c r="E2286" t="s">
        <v>20</v>
      </c>
      <c r="F2286">
        <v>85.94</v>
      </c>
      <c r="G2286">
        <v>97.3</v>
      </c>
      <c r="H2286">
        <v>92.8</v>
      </c>
      <c r="I2286">
        <v>94.2</v>
      </c>
      <c r="J2286">
        <v>74.349999999999994</v>
      </c>
      <c r="K2286" t="s">
        <v>63</v>
      </c>
      <c r="L2286">
        <v>7.7</v>
      </c>
      <c r="N2286" t="s">
        <v>22</v>
      </c>
      <c r="O2286">
        <v>10</v>
      </c>
      <c r="P2286" t="s">
        <v>43</v>
      </c>
      <c r="Q2286">
        <v>70</v>
      </c>
    </row>
    <row r="2287" spans="1:17" x14ac:dyDescent="0.35">
      <c r="A2287" s="1">
        <v>45833</v>
      </c>
      <c r="B2287" t="s">
        <v>78</v>
      </c>
      <c r="C2287" t="s">
        <v>41</v>
      </c>
      <c r="D2287" t="s">
        <v>79</v>
      </c>
      <c r="E2287" t="s">
        <v>27</v>
      </c>
      <c r="F2287">
        <v>455.67</v>
      </c>
      <c r="G2287">
        <v>70.599999999999994</v>
      </c>
      <c r="H2287">
        <v>96.06</v>
      </c>
      <c r="I2287">
        <v>97.62</v>
      </c>
      <c r="J2287">
        <v>82.14</v>
      </c>
      <c r="K2287" t="s">
        <v>34</v>
      </c>
      <c r="L2287">
        <v>8.8000000000000007</v>
      </c>
      <c r="M2287">
        <v>3.8</v>
      </c>
      <c r="N2287" t="s">
        <v>29</v>
      </c>
      <c r="O2287">
        <v>15</v>
      </c>
      <c r="P2287" t="s">
        <v>43</v>
      </c>
      <c r="Q2287">
        <v>62.8</v>
      </c>
    </row>
    <row r="2288" spans="1:17" x14ac:dyDescent="0.35">
      <c r="A2288" s="1">
        <v>45833</v>
      </c>
      <c r="B2288" t="s">
        <v>64</v>
      </c>
      <c r="C2288" t="s">
        <v>25</v>
      </c>
      <c r="D2288" t="s">
        <v>65</v>
      </c>
      <c r="E2288" t="s">
        <v>27</v>
      </c>
      <c r="F2288">
        <v>771.59</v>
      </c>
      <c r="G2288">
        <v>37.299999999999997</v>
      </c>
      <c r="H2288">
        <v>92.95</v>
      </c>
      <c r="I2288">
        <v>98.07</v>
      </c>
      <c r="J2288">
        <v>83.94</v>
      </c>
      <c r="K2288" t="s">
        <v>47</v>
      </c>
      <c r="L2288">
        <v>9.1999999999999993</v>
      </c>
      <c r="M2288">
        <v>2.7</v>
      </c>
      <c r="N2288" t="s">
        <v>29</v>
      </c>
      <c r="O2288">
        <v>11</v>
      </c>
      <c r="P2288" t="s">
        <v>30</v>
      </c>
      <c r="Q2288">
        <v>63.4</v>
      </c>
    </row>
    <row r="2289" spans="1:17" x14ac:dyDescent="0.35">
      <c r="A2289" s="1">
        <v>45833</v>
      </c>
      <c r="B2289" t="s">
        <v>51</v>
      </c>
      <c r="C2289" t="s">
        <v>45</v>
      </c>
      <c r="D2289" t="s">
        <v>52</v>
      </c>
      <c r="E2289" t="s">
        <v>27</v>
      </c>
      <c r="F2289">
        <v>579.15</v>
      </c>
      <c r="G2289">
        <v>461.8</v>
      </c>
      <c r="H2289">
        <v>92.44</v>
      </c>
      <c r="I2289">
        <v>99.04</v>
      </c>
      <c r="J2289">
        <v>82.5</v>
      </c>
      <c r="K2289" t="s">
        <v>47</v>
      </c>
      <c r="L2289">
        <v>8.5</v>
      </c>
      <c r="M2289">
        <v>2.9</v>
      </c>
      <c r="N2289" t="s">
        <v>29</v>
      </c>
      <c r="O2289">
        <v>8</v>
      </c>
      <c r="P2289" t="s">
        <v>23</v>
      </c>
      <c r="Q2289">
        <v>64.599999999999994</v>
      </c>
    </row>
    <row r="2290" spans="1:17" x14ac:dyDescent="0.35">
      <c r="A2290" s="1">
        <v>45833</v>
      </c>
      <c r="B2290" t="s">
        <v>84</v>
      </c>
      <c r="C2290" t="s">
        <v>18</v>
      </c>
      <c r="D2290" t="s">
        <v>85</v>
      </c>
      <c r="E2290" t="s">
        <v>33</v>
      </c>
      <c r="F2290">
        <v>312.69</v>
      </c>
      <c r="G2290">
        <v>222.5</v>
      </c>
      <c r="H2290">
        <v>94.76</v>
      </c>
      <c r="I2290">
        <v>95.47</v>
      </c>
      <c r="J2290">
        <v>75.94</v>
      </c>
      <c r="K2290" t="s">
        <v>47</v>
      </c>
      <c r="L2290">
        <v>7.4</v>
      </c>
      <c r="M2290">
        <v>3</v>
      </c>
      <c r="N2290" t="s">
        <v>22</v>
      </c>
      <c r="O2290">
        <v>9</v>
      </c>
      <c r="P2290" t="s">
        <v>23</v>
      </c>
      <c r="Q2290">
        <v>61.4</v>
      </c>
    </row>
    <row r="2291" spans="1:17" x14ac:dyDescent="0.35">
      <c r="A2291" s="1">
        <v>45833</v>
      </c>
      <c r="B2291" t="s">
        <v>95</v>
      </c>
      <c r="C2291" t="s">
        <v>49</v>
      </c>
      <c r="D2291" t="s">
        <v>96</v>
      </c>
      <c r="E2291" t="s">
        <v>27</v>
      </c>
      <c r="F2291">
        <v>376.65</v>
      </c>
      <c r="G2291">
        <v>43</v>
      </c>
      <c r="H2291">
        <v>95.33</v>
      </c>
      <c r="I2291">
        <v>96.29</v>
      </c>
      <c r="J2291">
        <v>76.760000000000005</v>
      </c>
      <c r="K2291" t="s">
        <v>34</v>
      </c>
      <c r="L2291">
        <v>7.1</v>
      </c>
      <c r="M2291">
        <v>1.9</v>
      </c>
      <c r="N2291" t="s">
        <v>39</v>
      </c>
      <c r="O2291">
        <v>14</v>
      </c>
      <c r="P2291" t="s">
        <v>23</v>
      </c>
      <c r="Q2291">
        <v>59.5</v>
      </c>
    </row>
    <row r="2292" spans="1:17" x14ac:dyDescent="0.35">
      <c r="A2292" s="1">
        <v>45833</v>
      </c>
      <c r="B2292" t="s">
        <v>31</v>
      </c>
      <c r="C2292" t="s">
        <v>18</v>
      </c>
      <c r="D2292" t="s">
        <v>32</v>
      </c>
      <c r="E2292" t="s">
        <v>27</v>
      </c>
      <c r="F2292">
        <v>178.73</v>
      </c>
      <c r="G2292">
        <v>58.4</v>
      </c>
      <c r="H2292">
        <v>94.05</v>
      </c>
      <c r="I2292">
        <v>95.22</v>
      </c>
      <c r="J2292">
        <v>76.78</v>
      </c>
      <c r="K2292" t="s">
        <v>34</v>
      </c>
      <c r="L2292">
        <v>6.7</v>
      </c>
      <c r="M2292">
        <v>4.5999999999999996</v>
      </c>
      <c r="N2292" t="s">
        <v>29</v>
      </c>
      <c r="O2292">
        <v>11</v>
      </c>
      <c r="P2292" t="s">
        <v>23</v>
      </c>
      <c r="Q2292">
        <v>56.9</v>
      </c>
    </row>
    <row r="2293" spans="1:17" x14ac:dyDescent="0.35">
      <c r="A2293" s="1">
        <v>45833</v>
      </c>
      <c r="B2293" t="s">
        <v>53</v>
      </c>
      <c r="C2293" t="s">
        <v>41</v>
      </c>
      <c r="D2293" t="s">
        <v>54</v>
      </c>
      <c r="E2293" t="s">
        <v>27</v>
      </c>
      <c r="F2293">
        <v>381.38</v>
      </c>
      <c r="G2293">
        <v>50.9</v>
      </c>
      <c r="H2293">
        <v>94.1</v>
      </c>
      <c r="I2293">
        <v>97</v>
      </c>
      <c r="J2293">
        <v>82.7</v>
      </c>
      <c r="K2293" t="s">
        <v>34</v>
      </c>
      <c r="L2293">
        <v>7.4</v>
      </c>
      <c r="M2293">
        <v>3.6</v>
      </c>
      <c r="N2293" t="s">
        <v>39</v>
      </c>
      <c r="O2293">
        <v>14</v>
      </c>
      <c r="P2293" t="s">
        <v>43</v>
      </c>
      <c r="Q2293">
        <v>59.9</v>
      </c>
    </row>
    <row r="2294" spans="1:17" x14ac:dyDescent="0.35">
      <c r="A2294" s="1">
        <v>45833</v>
      </c>
      <c r="B2294" t="s">
        <v>48</v>
      </c>
      <c r="C2294" t="s">
        <v>49</v>
      </c>
      <c r="D2294" t="s">
        <v>50</v>
      </c>
      <c r="E2294" t="s">
        <v>27</v>
      </c>
      <c r="F2294">
        <v>226.96</v>
      </c>
      <c r="G2294">
        <v>53.6</v>
      </c>
      <c r="H2294">
        <v>97.41</v>
      </c>
      <c r="I2294">
        <v>95.16</v>
      </c>
      <c r="J2294">
        <v>75.010000000000005</v>
      </c>
      <c r="K2294" t="s">
        <v>28</v>
      </c>
      <c r="L2294">
        <v>8</v>
      </c>
      <c r="M2294">
        <v>3.3</v>
      </c>
      <c r="N2294" t="s">
        <v>29</v>
      </c>
      <c r="O2294">
        <v>8</v>
      </c>
      <c r="P2294" t="s">
        <v>23</v>
      </c>
      <c r="Q2294">
        <v>60.1</v>
      </c>
    </row>
    <row r="2295" spans="1:17" x14ac:dyDescent="0.35">
      <c r="A2295" s="1">
        <v>45833</v>
      </c>
      <c r="B2295" t="s">
        <v>93</v>
      </c>
      <c r="C2295" t="s">
        <v>37</v>
      </c>
      <c r="D2295" t="s">
        <v>94</v>
      </c>
      <c r="E2295" t="s">
        <v>33</v>
      </c>
      <c r="F2295">
        <v>211.11</v>
      </c>
      <c r="G2295">
        <v>85.9</v>
      </c>
      <c r="H2295">
        <v>94.67</v>
      </c>
      <c r="I2295">
        <v>95.13</v>
      </c>
      <c r="J2295">
        <v>70.19</v>
      </c>
      <c r="K2295" t="s">
        <v>47</v>
      </c>
      <c r="L2295">
        <v>7</v>
      </c>
      <c r="M2295">
        <v>4.7</v>
      </c>
      <c r="N2295" t="s">
        <v>35</v>
      </c>
      <c r="O2295">
        <v>9</v>
      </c>
      <c r="P2295" t="s">
        <v>23</v>
      </c>
      <c r="Q2295">
        <v>56.9</v>
      </c>
    </row>
    <row r="2296" spans="1:17" x14ac:dyDescent="0.35">
      <c r="A2296" s="1">
        <v>45833</v>
      </c>
      <c r="B2296" t="s">
        <v>89</v>
      </c>
      <c r="C2296" t="s">
        <v>67</v>
      </c>
      <c r="D2296" t="s">
        <v>90</v>
      </c>
      <c r="E2296" t="s">
        <v>27</v>
      </c>
      <c r="F2296">
        <v>405.73</v>
      </c>
      <c r="G2296">
        <v>47.3</v>
      </c>
      <c r="H2296">
        <v>93.82</v>
      </c>
      <c r="I2296">
        <v>96.94</v>
      </c>
      <c r="J2296">
        <v>83.07</v>
      </c>
      <c r="K2296" t="s">
        <v>28</v>
      </c>
      <c r="L2296">
        <v>8</v>
      </c>
      <c r="M2296">
        <v>4.4000000000000004</v>
      </c>
      <c r="N2296" t="s">
        <v>29</v>
      </c>
      <c r="O2296">
        <v>9</v>
      </c>
      <c r="P2296" t="s">
        <v>43</v>
      </c>
      <c r="Q2296">
        <v>60.3</v>
      </c>
    </row>
    <row r="2297" spans="1:17" x14ac:dyDescent="0.35">
      <c r="A2297" s="1">
        <v>45833</v>
      </c>
      <c r="B2297" t="s">
        <v>31</v>
      </c>
      <c r="C2297" t="s">
        <v>18</v>
      </c>
      <c r="D2297" t="s">
        <v>32</v>
      </c>
      <c r="E2297" t="s">
        <v>33</v>
      </c>
      <c r="F2297">
        <v>197.32</v>
      </c>
      <c r="G2297">
        <v>161.19999999999999</v>
      </c>
      <c r="H2297">
        <v>94.55</v>
      </c>
      <c r="I2297">
        <v>95.98</v>
      </c>
      <c r="J2297">
        <v>73.31</v>
      </c>
      <c r="K2297" t="s">
        <v>28</v>
      </c>
      <c r="L2297">
        <v>6.9</v>
      </c>
      <c r="M2297">
        <v>2.6</v>
      </c>
      <c r="N2297" t="s">
        <v>35</v>
      </c>
      <c r="O2297">
        <v>10</v>
      </c>
      <c r="P2297" t="s">
        <v>23</v>
      </c>
      <c r="Q2297">
        <v>60.3</v>
      </c>
    </row>
    <row r="2298" spans="1:17" x14ac:dyDescent="0.35">
      <c r="A2298" s="1">
        <v>45833</v>
      </c>
      <c r="B2298" t="s">
        <v>80</v>
      </c>
      <c r="C2298" t="s">
        <v>45</v>
      </c>
      <c r="D2298" t="s">
        <v>81</v>
      </c>
      <c r="E2298" t="s">
        <v>33</v>
      </c>
      <c r="F2298">
        <v>439.06</v>
      </c>
      <c r="G2298">
        <v>266.39999999999998</v>
      </c>
      <c r="H2298">
        <v>93.84</v>
      </c>
      <c r="I2298">
        <v>98.12</v>
      </c>
      <c r="J2298">
        <v>76.180000000000007</v>
      </c>
      <c r="K2298" t="s">
        <v>28</v>
      </c>
      <c r="L2298">
        <v>9.1999999999999993</v>
      </c>
      <c r="M2298">
        <v>1.6</v>
      </c>
      <c r="N2298" t="s">
        <v>22</v>
      </c>
      <c r="O2298">
        <v>10</v>
      </c>
      <c r="P2298" t="s">
        <v>23</v>
      </c>
      <c r="Q2298">
        <v>65.599999999999994</v>
      </c>
    </row>
    <row r="2299" spans="1:17" x14ac:dyDescent="0.35">
      <c r="A2299" s="1">
        <v>45833</v>
      </c>
      <c r="B2299" t="s">
        <v>91</v>
      </c>
      <c r="C2299" t="s">
        <v>67</v>
      </c>
      <c r="D2299" t="s">
        <v>92</v>
      </c>
      <c r="E2299" t="s">
        <v>27</v>
      </c>
      <c r="F2299">
        <v>451.03</v>
      </c>
      <c r="G2299">
        <v>40.6</v>
      </c>
      <c r="H2299">
        <v>92.97</v>
      </c>
      <c r="I2299">
        <v>93.8</v>
      </c>
      <c r="J2299">
        <v>81.05</v>
      </c>
      <c r="K2299" t="s">
        <v>34</v>
      </c>
      <c r="L2299">
        <v>8.1</v>
      </c>
      <c r="M2299">
        <v>3.2</v>
      </c>
      <c r="N2299" t="s">
        <v>29</v>
      </c>
      <c r="O2299">
        <v>9</v>
      </c>
      <c r="P2299" t="s">
        <v>43</v>
      </c>
      <c r="Q2299">
        <v>60.1</v>
      </c>
    </row>
    <row r="2300" spans="1:17" x14ac:dyDescent="0.35">
      <c r="A2300" s="1">
        <v>45833</v>
      </c>
      <c r="B2300" t="s">
        <v>36</v>
      </c>
      <c r="C2300" t="s">
        <v>37</v>
      </c>
      <c r="D2300" t="s">
        <v>38</v>
      </c>
      <c r="E2300" t="s">
        <v>27</v>
      </c>
      <c r="F2300">
        <v>431.85</v>
      </c>
      <c r="G2300">
        <v>30.8</v>
      </c>
      <c r="H2300">
        <v>92.73</v>
      </c>
      <c r="I2300">
        <v>93.95</v>
      </c>
      <c r="J2300">
        <v>81.39</v>
      </c>
      <c r="K2300" t="s">
        <v>28</v>
      </c>
      <c r="L2300">
        <v>8.6999999999999993</v>
      </c>
      <c r="M2300">
        <v>1.9</v>
      </c>
      <c r="N2300" t="s">
        <v>39</v>
      </c>
      <c r="O2300">
        <v>8</v>
      </c>
      <c r="P2300" t="s">
        <v>23</v>
      </c>
      <c r="Q2300">
        <v>61.9</v>
      </c>
    </row>
    <row r="2301" spans="1:17" x14ac:dyDescent="0.35">
      <c r="A2301" s="1">
        <v>45833</v>
      </c>
      <c r="B2301" t="s">
        <v>74</v>
      </c>
      <c r="C2301" t="s">
        <v>67</v>
      </c>
      <c r="D2301" t="s">
        <v>75</v>
      </c>
      <c r="E2301" t="s">
        <v>27</v>
      </c>
      <c r="F2301">
        <v>626.29999999999995</v>
      </c>
      <c r="G2301">
        <v>28.3</v>
      </c>
      <c r="H2301">
        <v>94.14</v>
      </c>
      <c r="I2301">
        <v>96.12</v>
      </c>
      <c r="J2301">
        <v>83.66</v>
      </c>
      <c r="K2301" t="s">
        <v>34</v>
      </c>
      <c r="L2301">
        <v>8.4</v>
      </c>
      <c r="M2301">
        <v>4.3</v>
      </c>
      <c r="N2301" t="s">
        <v>29</v>
      </c>
      <c r="O2301">
        <v>14</v>
      </c>
      <c r="P2301" t="s">
        <v>23</v>
      </c>
      <c r="Q2301">
        <v>60.7</v>
      </c>
    </row>
    <row r="2302" spans="1:17" x14ac:dyDescent="0.35">
      <c r="A2302" s="1">
        <v>45833</v>
      </c>
      <c r="B2302" t="s">
        <v>40</v>
      </c>
      <c r="C2302" t="s">
        <v>41</v>
      </c>
      <c r="D2302" t="s">
        <v>42</v>
      </c>
      <c r="E2302" t="s">
        <v>27</v>
      </c>
      <c r="F2302">
        <v>309.17</v>
      </c>
      <c r="G2302">
        <v>46.8</v>
      </c>
      <c r="H2302">
        <v>97.73</v>
      </c>
      <c r="I2302">
        <v>96.23</v>
      </c>
      <c r="J2302">
        <v>83.92</v>
      </c>
      <c r="K2302" t="s">
        <v>47</v>
      </c>
      <c r="L2302">
        <v>8.1</v>
      </c>
      <c r="M2302">
        <v>5</v>
      </c>
      <c r="N2302" t="s">
        <v>39</v>
      </c>
      <c r="O2302">
        <v>9</v>
      </c>
      <c r="P2302" t="s">
        <v>43</v>
      </c>
      <c r="Q2302">
        <v>60.7</v>
      </c>
    </row>
    <row r="2303" spans="1:17" x14ac:dyDescent="0.35">
      <c r="A2303" s="1">
        <v>45833</v>
      </c>
      <c r="B2303" t="s">
        <v>84</v>
      </c>
      <c r="C2303" t="s">
        <v>18</v>
      </c>
      <c r="D2303" t="s">
        <v>85</v>
      </c>
      <c r="E2303" t="s">
        <v>33</v>
      </c>
      <c r="F2303">
        <v>312.44</v>
      </c>
      <c r="G2303">
        <v>193.1</v>
      </c>
      <c r="H2303">
        <v>93.14</v>
      </c>
      <c r="I2303">
        <v>93.64</v>
      </c>
      <c r="J2303">
        <v>79.959999999999994</v>
      </c>
      <c r="K2303" t="s">
        <v>34</v>
      </c>
      <c r="L2303">
        <v>7.7</v>
      </c>
      <c r="M2303">
        <v>2.6</v>
      </c>
      <c r="N2303" t="s">
        <v>35</v>
      </c>
      <c r="O2303">
        <v>8</v>
      </c>
      <c r="P2303" t="s">
        <v>23</v>
      </c>
      <c r="Q2303">
        <v>62.2</v>
      </c>
    </row>
    <row r="2304" spans="1:17" x14ac:dyDescent="0.35">
      <c r="A2304" s="1">
        <v>45833</v>
      </c>
      <c r="B2304" t="s">
        <v>95</v>
      </c>
      <c r="C2304" t="s">
        <v>49</v>
      </c>
      <c r="D2304" t="s">
        <v>96</v>
      </c>
      <c r="E2304" t="s">
        <v>27</v>
      </c>
      <c r="F2304">
        <v>491.22</v>
      </c>
      <c r="G2304">
        <v>64</v>
      </c>
      <c r="H2304">
        <v>95.8</v>
      </c>
      <c r="I2304">
        <v>96.74</v>
      </c>
      <c r="J2304">
        <v>83.07</v>
      </c>
      <c r="K2304" t="s">
        <v>34</v>
      </c>
      <c r="L2304">
        <v>8.9</v>
      </c>
      <c r="M2304">
        <v>4.5999999999999996</v>
      </c>
      <c r="N2304" t="s">
        <v>39</v>
      </c>
      <c r="O2304">
        <v>8</v>
      </c>
      <c r="P2304" t="s">
        <v>43</v>
      </c>
      <c r="Q2304">
        <v>62.3</v>
      </c>
    </row>
    <row r="2305" spans="1:17" x14ac:dyDescent="0.35">
      <c r="A2305" s="1">
        <v>45833</v>
      </c>
      <c r="B2305" t="s">
        <v>24</v>
      </c>
      <c r="C2305" t="s">
        <v>25</v>
      </c>
      <c r="D2305" t="s">
        <v>26</v>
      </c>
      <c r="E2305" t="s">
        <v>27</v>
      </c>
      <c r="F2305">
        <v>511.29</v>
      </c>
      <c r="G2305">
        <v>46.3</v>
      </c>
      <c r="H2305">
        <v>96.33</v>
      </c>
      <c r="I2305">
        <v>97.94</v>
      </c>
      <c r="J2305">
        <v>78.8</v>
      </c>
      <c r="K2305" t="s">
        <v>28</v>
      </c>
      <c r="L2305">
        <v>8.4</v>
      </c>
      <c r="M2305">
        <v>3.5</v>
      </c>
      <c r="N2305" t="s">
        <v>39</v>
      </c>
      <c r="O2305">
        <v>11</v>
      </c>
      <c r="P2305" t="s">
        <v>30</v>
      </c>
      <c r="Q2305">
        <v>61.4</v>
      </c>
    </row>
    <row r="2306" spans="1:17" x14ac:dyDescent="0.35">
      <c r="A2306" s="1">
        <v>45833</v>
      </c>
      <c r="B2306" t="s">
        <v>55</v>
      </c>
      <c r="C2306" t="s">
        <v>56</v>
      </c>
      <c r="D2306">
        <v>4</v>
      </c>
      <c r="E2306" t="s">
        <v>57</v>
      </c>
      <c r="F2306">
        <v>30</v>
      </c>
      <c r="G2306">
        <v>152.80000000000001</v>
      </c>
      <c r="H2306">
        <v>89.63</v>
      </c>
      <c r="I2306">
        <v>95.16</v>
      </c>
      <c r="J2306">
        <v>76.540000000000006</v>
      </c>
      <c r="K2306" t="s">
        <v>63</v>
      </c>
      <c r="L2306">
        <v>6.2</v>
      </c>
      <c r="N2306" t="s">
        <v>35</v>
      </c>
      <c r="O2306">
        <v>5</v>
      </c>
      <c r="P2306" t="s">
        <v>43</v>
      </c>
      <c r="Q2306">
        <v>68.3</v>
      </c>
    </row>
    <row r="2307" spans="1:17" x14ac:dyDescent="0.35">
      <c r="A2307" s="1">
        <v>45833</v>
      </c>
      <c r="B2307" t="s">
        <v>36</v>
      </c>
      <c r="C2307" t="s">
        <v>37</v>
      </c>
      <c r="D2307" t="s">
        <v>38</v>
      </c>
      <c r="E2307" t="s">
        <v>27</v>
      </c>
      <c r="F2307">
        <v>490.69</v>
      </c>
      <c r="G2307">
        <v>68.8</v>
      </c>
      <c r="H2307">
        <v>96.03</v>
      </c>
      <c r="I2307">
        <v>96.14</v>
      </c>
      <c r="J2307">
        <v>78.19</v>
      </c>
      <c r="K2307" t="s">
        <v>34</v>
      </c>
      <c r="L2307">
        <v>8.6</v>
      </c>
      <c r="M2307">
        <v>2.5</v>
      </c>
      <c r="N2307" t="s">
        <v>29</v>
      </c>
      <c r="O2307">
        <v>15</v>
      </c>
      <c r="P2307" t="s">
        <v>23</v>
      </c>
      <c r="Q2307">
        <v>62.4</v>
      </c>
    </row>
    <row r="2308" spans="1:17" x14ac:dyDescent="0.35">
      <c r="A2308" s="1">
        <v>45833</v>
      </c>
      <c r="B2308" t="s">
        <v>55</v>
      </c>
      <c r="C2308" t="s">
        <v>56</v>
      </c>
      <c r="D2308">
        <v>4</v>
      </c>
      <c r="E2308" t="s">
        <v>57</v>
      </c>
      <c r="F2308">
        <v>30</v>
      </c>
      <c r="G2308">
        <v>153.5</v>
      </c>
      <c r="H2308">
        <v>85.8</v>
      </c>
      <c r="I2308">
        <v>93.83</v>
      </c>
      <c r="J2308">
        <v>78.23</v>
      </c>
      <c r="K2308" t="s">
        <v>63</v>
      </c>
      <c r="L2308">
        <v>6.2</v>
      </c>
      <c r="N2308" t="s">
        <v>35</v>
      </c>
      <c r="O2308">
        <v>5</v>
      </c>
      <c r="P2308" t="s">
        <v>23</v>
      </c>
      <c r="Q2308">
        <v>67.599999999999994</v>
      </c>
    </row>
    <row r="2309" spans="1:17" x14ac:dyDescent="0.35">
      <c r="A2309" s="1">
        <v>45833</v>
      </c>
      <c r="B2309" t="s">
        <v>59</v>
      </c>
      <c r="C2309" t="s">
        <v>60</v>
      </c>
      <c r="D2309" t="s">
        <v>61</v>
      </c>
      <c r="E2309" t="s">
        <v>62</v>
      </c>
      <c r="F2309">
        <v>545.91</v>
      </c>
      <c r="G2309">
        <v>191.1</v>
      </c>
      <c r="H2309">
        <v>88.19</v>
      </c>
      <c r="I2309">
        <v>93.87</v>
      </c>
      <c r="J2309">
        <v>88.69</v>
      </c>
      <c r="K2309" t="s">
        <v>63</v>
      </c>
      <c r="L2309">
        <v>9.4</v>
      </c>
      <c r="N2309" t="s">
        <v>35</v>
      </c>
      <c r="O2309">
        <v>6</v>
      </c>
      <c r="P2309" t="s">
        <v>23</v>
      </c>
      <c r="Q2309">
        <v>77</v>
      </c>
    </row>
    <row r="2310" spans="1:17" x14ac:dyDescent="0.35">
      <c r="A2310" s="1">
        <v>45833</v>
      </c>
      <c r="B2310" t="s">
        <v>95</v>
      </c>
      <c r="C2310" t="s">
        <v>49</v>
      </c>
      <c r="D2310" t="s">
        <v>96</v>
      </c>
      <c r="E2310" t="s">
        <v>33</v>
      </c>
      <c r="F2310">
        <v>454.81</v>
      </c>
      <c r="G2310">
        <v>125.1</v>
      </c>
      <c r="H2310">
        <v>94.08</v>
      </c>
      <c r="I2310">
        <v>95.26</v>
      </c>
      <c r="J2310">
        <v>76.430000000000007</v>
      </c>
      <c r="K2310" t="s">
        <v>47</v>
      </c>
      <c r="L2310">
        <v>8.4</v>
      </c>
      <c r="M2310">
        <v>3.1</v>
      </c>
      <c r="N2310" t="s">
        <v>35</v>
      </c>
      <c r="O2310">
        <v>5</v>
      </c>
      <c r="P2310" t="s">
        <v>43</v>
      </c>
      <c r="Q2310">
        <v>62</v>
      </c>
    </row>
    <row r="2311" spans="1:17" x14ac:dyDescent="0.35">
      <c r="A2311" s="1">
        <v>45833</v>
      </c>
      <c r="B2311" t="s">
        <v>78</v>
      </c>
      <c r="C2311" t="s">
        <v>41</v>
      </c>
      <c r="D2311" t="s">
        <v>79</v>
      </c>
      <c r="E2311" t="s">
        <v>27</v>
      </c>
      <c r="F2311">
        <v>332.99</v>
      </c>
      <c r="G2311">
        <v>38.5</v>
      </c>
      <c r="H2311">
        <v>96.7</v>
      </c>
      <c r="I2311">
        <v>96.39</v>
      </c>
      <c r="J2311">
        <v>78.900000000000006</v>
      </c>
      <c r="K2311" t="s">
        <v>34</v>
      </c>
      <c r="L2311">
        <v>7.2</v>
      </c>
      <c r="M2311">
        <v>1.5</v>
      </c>
      <c r="N2311" t="s">
        <v>29</v>
      </c>
      <c r="O2311">
        <v>13</v>
      </c>
      <c r="P2311" t="s">
        <v>43</v>
      </c>
      <c r="Q2311">
        <v>60.4</v>
      </c>
    </row>
    <row r="2312" spans="1:17" x14ac:dyDescent="0.35">
      <c r="A2312" s="1">
        <v>45833</v>
      </c>
      <c r="B2312" t="s">
        <v>78</v>
      </c>
      <c r="C2312" t="s">
        <v>41</v>
      </c>
      <c r="D2312" t="s">
        <v>79</v>
      </c>
      <c r="E2312" t="s">
        <v>27</v>
      </c>
      <c r="F2312">
        <v>307.35000000000002</v>
      </c>
      <c r="G2312">
        <v>18.3</v>
      </c>
      <c r="H2312">
        <v>94.23</v>
      </c>
      <c r="I2312">
        <v>97.91</v>
      </c>
      <c r="J2312">
        <v>83.82</v>
      </c>
      <c r="K2312" t="s">
        <v>28</v>
      </c>
      <c r="L2312">
        <v>8.1</v>
      </c>
      <c r="M2312">
        <v>3.7</v>
      </c>
      <c r="N2312" t="s">
        <v>39</v>
      </c>
      <c r="O2312">
        <v>12</v>
      </c>
      <c r="P2312" t="s">
        <v>43</v>
      </c>
      <c r="Q2312">
        <v>60.7</v>
      </c>
    </row>
    <row r="2313" spans="1:17" x14ac:dyDescent="0.35">
      <c r="A2313" s="1">
        <v>45833</v>
      </c>
      <c r="B2313" t="s">
        <v>40</v>
      </c>
      <c r="C2313" t="s">
        <v>41</v>
      </c>
      <c r="D2313" t="s">
        <v>42</v>
      </c>
      <c r="E2313" t="s">
        <v>27</v>
      </c>
      <c r="F2313">
        <v>526.37</v>
      </c>
      <c r="G2313">
        <v>65.5</v>
      </c>
      <c r="H2313">
        <v>96.69</v>
      </c>
      <c r="I2313">
        <v>96.4</v>
      </c>
      <c r="J2313">
        <v>84.24</v>
      </c>
      <c r="K2313" t="s">
        <v>47</v>
      </c>
      <c r="L2313">
        <v>8.9</v>
      </c>
      <c r="M2313">
        <v>2.1</v>
      </c>
      <c r="N2313" t="s">
        <v>29</v>
      </c>
      <c r="O2313">
        <v>15</v>
      </c>
      <c r="P2313" t="s">
        <v>43</v>
      </c>
      <c r="Q2313">
        <v>64.3</v>
      </c>
    </row>
    <row r="2314" spans="1:17" x14ac:dyDescent="0.35">
      <c r="A2314" s="1">
        <v>45833</v>
      </c>
      <c r="B2314" t="s">
        <v>80</v>
      </c>
      <c r="C2314" t="s">
        <v>45</v>
      </c>
      <c r="D2314" t="s">
        <v>81</v>
      </c>
      <c r="E2314" t="s">
        <v>33</v>
      </c>
      <c r="F2314">
        <v>898.51</v>
      </c>
      <c r="G2314">
        <v>408.6</v>
      </c>
      <c r="H2314">
        <v>94.25</v>
      </c>
      <c r="I2314">
        <v>99.24</v>
      </c>
      <c r="J2314">
        <v>77.89</v>
      </c>
      <c r="K2314" t="s">
        <v>28</v>
      </c>
      <c r="L2314">
        <v>9</v>
      </c>
      <c r="M2314">
        <v>3.9</v>
      </c>
      <c r="N2314" t="s">
        <v>35</v>
      </c>
      <c r="O2314">
        <v>5</v>
      </c>
      <c r="P2314" t="s">
        <v>23</v>
      </c>
      <c r="Q2314">
        <v>64.3</v>
      </c>
    </row>
    <row r="2315" spans="1:17" x14ac:dyDescent="0.35">
      <c r="A2315" s="1">
        <v>45833</v>
      </c>
      <c r="B2315" t="s">
        <v>36</v>
      </c>
      <c r="C2315" t="s">
        <v>37</v>
      </c>
      <c r="D2315" t="s">
        <v>38</v>
      </c>
      <c r="E2315" t="s">
        <v>33</v>
      </c>
      <c r="F2315">
        <v>376.69</v>
      </c>
      <c r="G2315">
        <v>115.5</v>
      </c>
      <c r="H2315">
        <v>96.12</v>
      </c>
      <c r="I2315">
        <v>95.85</v>
      </c>
      <c r="J2315">
        <v>76.58</v>
      </c>
      <c r="K2315" t="s">
        <v>47</v>
      </c>
      <c r="L2315">
        <v>7.6</v>
      </c>
      <c r="M2315">
        <v>4.0999999999999996</v>
      </c>
      <c r="N2315" t="s">
        <v>35</v>
      </c>
      <c r="O2315">
        <v>10</v>
      </c>
      <c r="P2315" t="s">
        <v>23</v>
      </c>
      <c r="Q2315">
        <v>60.3</v>
      </c>
    </row>
    <row r="2316" spans="1:17" x14ac:dyDescent="0.35">
      <c r="A2316" s="1">
        <v>45833</v>
      </c>
      <c r="B2316" t="s">
        <v>55</v>
      </c>
      <c r="C2316" t="s">
        <v>56</v>
      </c>
      <c r="D2316">
        <v>4</v>
      </c>
      <c r="E2316" t="s">
        <v>57</v>
      </c>
      <c r="F2316">
        <v>30</v>
      </c>
      <c r="G2316">
        <v>166.3</v>
      </c>
      <c r="H2316">
        <v>87.68</v>
      </c>
      <c r="I2316">
        <v>93.15</v>
      </c>
      <c r="J2316">
        <v>71.989999999999995</v>
      </c>
      <c r="K2316" t="s">
        <v>63</v>
      </c>
      <c r="L2316">
        <v>7.9</v>
      </c>
      <c r="N2316" t="s">
        <v>35</v>
      </c>
      <c r="O2316">
        <v>4</v>
      </c>
      <c r="P2316" t="s">
        <v>43</v>
      </c>
      <c r="Q2316">
        <v>70.3</v>
      </c>
    </row>
    <row r="2317" spans="1:17" x14ac:dyDescent="0.35">
      <c r="A2317" s="1">
        <v>45833</v>
      </c>
      <c r="B2317" t="s">
        <v>93</v>
      </c>
      <c r="C2317" t="s">
        <v>37</v>
      </c>
      <c r="D2317" t="s">
        <v>94</v>
      </c>
      <c r="E2317" t="s">
        <v>27</v>
      </c>
      <c r="F2317">
        <v>323.77999999999997</v>
      </c>
      <c r="G2317">
        <v>47</v>
      </c>
      <c r="H2317">
        <v>92.55</v>
      </c>
      <c r="I2317">
        <v>93.88</v>
      </c>
      <c r="J2317">
        <v>77.13</v>
      </c>
      <c r="K2317" t="s">
        <v>34</v>
      </c>
      <c r="L2317">
        <v>7.5</v>
      </c>
      <c r="M2317">
        <v>2.5</v>
      </c>
      <c r="N2317" t="s">
        <v>39</v>
      </c>
      <c r="O2317">
        <v>15</v>
      </c>
      <c r="P2317" t="s">
        <v>23</v>
      </c>
      <c r="Q2317">
        <v>59</v>
      </c>
    </row>
    <row r="2318" spans="1:17" x14ac:dyDescent="0.35">
      <c r="A2318" s="1">
        <v>45833</v>
      </c>
      <c r="B2318" t="s">
        <v>99</v>
      </c>
      <c r="C2318" t="s">
        <v>72</v>
      </c>
      <c r="D2318" t="s">
        <v>100</v>
      </c>
      <c r="E2318" t="s">
        <v>33</v>
      </c>
      <c r="F2318">
        <v>237.74</v>
      </c>
      <c r="G2318">
        <v>141.4</v>
      </c>
      <c r="H2318">
        <v>96.7</v>
      </c>
      <c r="I2318">
        <v>94.93</v>
      </c>
      <c r="J2318">
        <v>73.7</v>
      </c>
      <c r="K2318" t="s">
        <v>28</v>
      </c>
      <c r="L2318">
        <v>7.7</v>
      </c>
      <c r="M2318">
        <v>5</v>
      </c>
      <c r="N2318" t="s">
        <v>35</v>
      </c>
      <c r="O2318">
        <v>10</v>
      </c>
      <c r="P2318" t="s">
        <v>23</v>
      </c>
      <c r="Q2318">
        <v>59.9</v>
      </c>
    </row>
    <row r="2319" spans="1:17" x14ac:dyDescent="0.35">
      <c r="A2319" s="1">
        <v>45833</v>
      </c>
      <c r="B2319" t="s">
        <v>64</v>
      </c>
      <c r="C2319" t="s">
        <v>25</v>
      </c>
      <c r="D2319" t="s">
        <v>65</v>
      </c>
      <c r="E2319" t="s">
        <v>27</v>
      </c>
      <c r="F2319">
        <v>779.12</v>
      </c>
      <c r="G2319">
        <v>63.8</v>
      </c>
      <c r="H2319">
        <v>92.34</v>
      </c>
      <c r="I2319">
        <v>96.01</v>
      </c>
      <c r="J2319">
        <v>79.599999999999994</v>
      </c>
      <c r="K2319" t="s">
        <v>34</v>
      </c>
      <c r="L2319">
        <v>8.5</v>
      </c>
      <c r="M2319">
        <v>1.5</v>
      </c>
      <c r="N2319" t="s">
        <v>39</v>
      </c>
      <c r="O2319">
        <v>10</v>
      </c>
      <c r="P2319" t="s">
        <v>30</v>
      </c>
      <c r="Q2319">
        <v>62.4</v>
      </c>
    </row>
    <row r="2320" spans="1:17" x14ac:dyDescent="0.35">
      <c r="A2320" s="1">
        <v>45833</v>
      </c>
      <c r="B2320" t="s">
        <v>53</v>
      </c>
      <c r="C2320" t="s">
        <v>41</v>
      </c>
      <c r="D2320" t="s">
        <v>54</v>
      </c>
      <c r="E2320" t="s">
        <v>27</v>
      </c>
      <c r="F2320">
        <v>562.05999999999995</v>
      </c>
      <c r="G2320">
        <v>30.7</v>
      </c>
      <c r="H2320">
        <v>96.68</v>
      </c>
      <c r="I2320">
        <v>97.51</v>
      </c>
      <c r="J2320">
        <v>83.35</v>
      </c>
      <c r="K2320" t="s">
        <v>47</v>
      </c>
      <c r="L2320">
        <v>8.9</v>
      </c>
      <c r="M2320">
        <v>2.2999999999999998</v>
      </c>
      <c r="N2320" t="s">
        <v>39</v>
      </c>
      <c r="O2320">
        <v>12</v>
      </c>
      <c r="P2320" t="s">
        <v>43</v>
      </c>
      <c r="Q2320">
        <v>63.5</v>
      </c>
    </row>
    <row r="2321" spans="1:17" x14ac:dyDescent="0.35">
      <c r="A2321" s="1">
        <v>45833</v>
      </c>
      <c r="B2321" t="s">
        <v>97</v>
      </c>
      <c r="C2321" t="s">
        <v>72</v>
      </c>
      <c r="D2321" t="s">
        <v>98</v>
      </c>
      <c r="E2321" t="s">
        <v>27</v>
      </c>
      <c r="F2321">
        <v>231.73</v>
      </c>
      <c r="G2321">
        <v>65.900000000000006</v>
      </c>
      <c r="H2321">
        <v>92.53</v>
      </c>
      <c r="I2321">
        <v>95.53</v>
      </c>
      <c r="J2321">
        <v>77.66</v>
      </c>
      <c r="K2321" t="s">
        <v>47</v>
      </c>
      <c r="L2321">
        <v>7.9</v>
      </c>
      <c r="M2321">
        <v>3.6</v>
      </c>
      <c r="N2321" t="s">
        <v>29</v>
      </c>
      <c r="O2321">
        <v>11</v>
      </c>
      <c r="P2321" t="s">
        <v>43</v>
      </c>
      <c r="Q2321">
        <v>59.7</v>
      </c>
    </row>
    <row r="2322" spans="1:17" x14ac:dyDescent="0.35">
      <c r="A2322" s="1">
        <v>45833</v>
      </c>
      <c r="B2322" t="s">
        <v>78</v>
      </c>
      <c r="C2322" t="s">
        <v>41</v>
      </c>
      <c r="D2322" t="s">
        <v>79</v>
      </c>
      <c r="E2322" t="s">
        <v>27</v>
      </c>
      <c r="F2322">
        <v>476.51</v>
      </c>
      <c r="G2322">
        <v>63.6</v>
      </c>
      <c r="H2322">
        <v>93.31</v>
      </c>
      <c r="I2322">
        <v>98.39</v>
      </c>
      <c r="J2322">
        <v>79.64</v>
      </c>
      <c r="K2322" t="s">
        <v>47</v>
      </c>
      <c r="L2322">
        <v>9.4</v>
      </c>
      <c r="M2322">
        <v>3.9</v>
      </c>
      <c r="N2322" t="s">
        <v>39</v>
      </c>
      <c r="O2322">
        <v>14</v>
      </c>
      <c r="P2322" t="s">
        <v>43</v>
      </c>
      <c r="Q2322">
        <v>62.9</v>
      </c>
    </row>
    <row r="2323" spans="1:17" x14ac:dyDescent="0.35">
      <c r="A2323" s="1">
        <v>45833</v>
      </c>
      <c r="B2323" t="s">
        <v>55</v>
      </c>
      <c r="C2323" t="s">
        <v>56</v>
      </c>
      <c r="D2323">
        <v>4</v>
      </c>
      <c r="E2323" t="s">
        <v>57</v>
      </c>
      <c r="F2323">
        <v>30</v>
      </c>
      <c r="G2323">
        <v>159.1</v>
      </c>
      <c r="H2323">
        <v>86.08</v>
      </c>
      <c r="I2323">
        <v>94.89</v>
      </c>
      <c r="J2323">
        <v>70.31</v>
      </c>
      <c r="K2323" t="s">
        <v>63</v>
      </c>
      <c r="L2323">
        <v>6.2</v>
      </c>
      <c r="N2323" t="s">
        <v>35</v>
      </c>
      <c r="O2323">
        <v>3</v>
      </c>
      <c r="P2323" t="s">
        <v>23</v>
      </c>
      <c r="Q2323">
        <v>66.400000000000006</v>
      </c>
    </row>
    <row r="2324" spans="1:17" x14ac:dyDescent="0.35">
      <c r="A2324" s="1">
        <v>45833</v>
      </c>
      <c r="B2324" t="s">
        <v>93</v>
      </c>
      <c r="C2324" t="s">
        <v>37</v>
      </c>
      <c r="D2324" t="s">
        <v>94</v>
      </c>
      <c r="E2324" t="s">
        <v>27</v>
      </c>
      <c r="F2324">
        <v>370.57</v>
      </c>
      <c r="G2324">
        <v>44.5</v>
      </c>
      <c r="H2324">
        <v>95.72</v>
      </c>
      <c r="I2324">
        <v>95.27</v>
      </c>
      <c r="J2324">
        <v>75.86</v>
      </c>
      <c r="K2324" t="s">
        <v>34</v>
      </c>
      <c r="L2324">
        <v>7.1</v>
      </c>
      <c r="M2324">
        <v>2.9</v>
      </c>
      <c r="N2324" t="s">
        <v>39</v>
      </c>
      <c r="O2324">
        <v>11</v>
      </c>
      <c r="P2324" t="s">
        <v>23</v>
      </c>
      <c r="Q2324">
        <v>58.6</v>
      </c>
    </row>
    <row r="2325" spans="1:17" x14ac:dyDescent="0.35">
      <c r="A2325" s="1">
        <v>45833</v>
      </c>
      <c r="B2325" t="s">
        <v>74</v>
      </c>
      <c r="C2325" t="s">
        <v>67</v>
      </c>
      <c r="D2325" t="s">
        <v>75</v>
      </c>
      <c r="E2325" t="s">
        <v>27</v>
      </c>
      <c r="F2325">
        <v>198.34</v>
      </c>
      <c r="G2325">
        <v>57.6</v>
      </c>
      <c r="H2325">
        <v>97.62</v>
      </c>
      <c r="I2325">
        <v>95.92</v>
      </c>
      <c r="J2325">
        <v>80.83</v>
      </c>
      <c r="K2325" t="s">
        <v>34</v>
      </c>
      <c r="L2325">
        <v>7.5</v>
      </c>
      <c r="M2325">
        <v>3.1</v>
      </c>
      <c r="N2325" t="s">
        <v>39</v>
      </c>
      <c r="O2325">
        <v>10</v>
      </c>
      <c r="P2325" t="s">
        <v>23</v>
      </c>
      <c r="Q2325">
        <v>60.6</v>
      </c>
    </row>
    <row r="2326" spans="1:17" x14ac:dyDescent="0.35">
      <c r="A2326" s="1">
        <v>45833</v>
      </c>
      <c r="B2326" t="s">
        <v>89</v>
      </c>
      <c r="C2326" t="s">
        <v>67</v>
      </c>
      <c r="D2326" t="s">
        <v>90</v>
      </c>
      <c r="E2326" t="s">
        <v>27</v>
      </c>
      <c r="F2326">
        <v>531.24</v>
      </c>
      <c r="G2326">
        <v>48</v>
      </c>
      <c r="H2326">
        <v>96.27</v>
      </c>
      <c r="I2326">
        <v>94.28</v>
      </c>
      <c r="J2326">
        <v>78.25</v>
      </c>
      <c r="K2326" t="s">
        <v>47</v>
      </c>
      <c r="L2326">
        <v>8.9</v>
      </c>
      <c r="M2326">
        <v>2.6</v>
      </c>
      <c r="N2326" t="s">
        <v>39</v>
      </c>
      <c r="O2326">
        <v>13</v>
      </c>
      <c r="P2326" t="s">
        <v>43</v>
      </c>
      <c r="Q2326">
        <v>62.2</v>
      </c>
    </row>
    <row r="2327" spans="1:17" x14ac:dyDescent="0.35">
      <c r="A2327" s="1">
        <v>45833</v>
      </c>
      <c r="B2327" t="s">
        <v>64</v>
      </c>
      <c r="C2327" t="s">
        <v>25</v>
      </c>
      <c r="D2327" t="s">
        <v>65</v>
      </c>
      <c r="E2327" t="s">
        <v>27</v>
      </c>
      <c r="F2327">
        <v>430.97</v>
      </c>
      <c r="G2327">
        <v>59</v>
      </c>
      <c r="H2327">
        <v>95.19</v>
      </c>
      <c r="I2327">
        <v>97.23</v>
      </c>
      <c r="J2327">
        <v>79.31</v>
      </c>
      <c r="K2327" t="s">
        <v>28</v>
      </c>
      <c r="L2327">
        <v>8</v>
      </c>
      <c r="M2327">
        <v>1.8</v>
      </c>
      <c r="N2327" t="s">
        <v>39</v>
      </c>
      <c r="O2327">
        <v>10</v>
      </c>
      <c r="P2327" t="s">
        <v>30</v>
      </c>
      <c r="Q2327">
        <v>61.9</v>
      </c>
    </row>
    <row r="2328" spans="1:17" x14ac:dyDescent="0.35">
      <c r="A2328" s="1">
        <v>45833</v>
      </c>
      <c r="B2328" t="s">
        <v>66</v>
      </c>
      <c r="C2328" t="s">
        <v>67</v>
      </c>
      <c r="D2328" t="s">
        <v>68</v>
      </c>
      <c r="E2328" t="s">
        <v>27</v>
      </c>
      <c r="F2328">
        <v>156.52000000000001</v>
      </c>
      <c r="G2328">
        <v>65.2</v>
      </c>
      <c r="H2328">
        <v>96.93</v>
      </c>
      <c r="I2328">
        <v>94.17</v>
      </c>
      <c r="J2328">
        <v>84.82</v>
      </c>
      <c r="K2328" t="s">
        <v>34</v>
      </c>
      <c r="L2328">
        <v>6.3</v>
      </c>
      <c r="M2328">
        <v>4.8</v>
      </c>
      <c r="N2328" t="s">
        <v>29</v>
      </c>
      <c r="O2328">
        <v>12</v>
      </c>
      <c r="P2328" t="s">
        <v>43</v>
      </c>
      <c r="Q2328">
        <v>57.9</v>
      </c>
    </row>
    <row r="2329" spans="1:17" x14ac:dyDescent="0.35">
      <c r="A2329" s="1">
        <v>45833</v>
      </c>
      <c r="B2329" t="s">
        <v>36</v>
      </c>
      <c r="C2329" t="s">
        <v>37</v>
      </c>
      <c r="D2329" t="s">
        <v>38</v>
      </c>
      <c r="E2329" t="s">
        <v>33</v>
      </c>
      <c r="F2329">
        <v>493.14</v>
      </c>
      <c r="G2329">
        <v>198.1</v>
      </c>
      <c r="H2329">
        <v>93.51</v>
      </c>
      <c r="I2329">
        <v>93.77</v>
      </c>
      <c r="J2329">
        <v>72.67</v>
      </c>
      <c r="K2329" t="s">
        <v>28</v>
      </c>
      <c r="L2329">
        <v>8.1999999999999993</v>
      </c>
      <c r="M2329">
        <v>3.6</v>
      </c>
      <c r="N2329" t="s">
        <v>22</v>
      </c>
      <c r="O2329">
        <v>9</v>
      </c>
      <c r="P2329" t="s">
        <v>23</v>
      </c>
      <c r="Q2329">
        <v>61.3</v>
      </c>
    </row>
    <row r="2330" spans="1:17" x14ac:dyDescent="0.35">
      <c r="A2330" s="1">
        <v>45833</v>
      </c>
      <c r="B2330" t="s">
        <v>74</v>
      </c>
      <c r="C2330" t="s">
        <v>67</v>
      </c>
      <c r="D2330" t="s">
        <v>75</v>
      </c>
      <c r="E2330" t="s">
        <v>27</v>
      </c>
      <c r="F2330">
        <v>697.25</v>
      </c>
      <c r="G2330">
        <v>63</v>
      </c>
      <c r="H2330">
        <v>92.99</v>
      </c>
      <c r="I2330">
        <v>96.01</v>
      </c>
      <c r="J2330">
        <v>75.010000000000005</v>
      </c>
      <c r="K2330" t="s">
        <v>28</v>
      </c>
      <c r="L2330">
        <v>9.3000000000000007</v>
      </c>
      <c r="M2330">
        <v>3</v>
      </c>
      <c r="N2330" t="s">
        <v>29</v>
      </c>
      <c r="O2330">
        <v>14</v>
      </c>
      <c r="P2330" t="s">
        <v>43</v>
      </c>
      <c r="Q2330">
        <v>62.1</v>
      </c>
    </row>
    <row r="2331" spans="1:17" x14ac:dyDescent="0.35">
      <c r="A2331" s="1">
        <v>45833</v>
      </c>
      <c r="B2331" t="s">
        <v>36</v>
      </c>
      <c r="C2331" t="s">
        <v>37</v>
      </c>
      <c r="D2331" t="s">
        <v>38</v>
      </c>
      <c r="E2331" t="s">
        <v>27</v>
      </c>
      <c r="F2331">
        <v>318.58</v>
      </c>
      <c r="G2331">
        <v>28.1</v>
      </c>
      <c r="H2331">
        <v>95.75</v>
      </c>
      <c r="I2331">
        <v>93.95</v>
      </c>
      <c r="J2331">
        <v>75.52</v>
      </c>
      <c r="K2331" t="s">
        <v>34</v>
      </c>
      <c r="L2331">
        <v>8.3000000000000007</v>
      </c>
      <c r="M2331">
        <v>3.8</v>
      </c>
      <c r="N2331" t="s">
        <v>39</v>
      </c>
      <c r="O2331">
        <v>14</v>
      </c>
      <c r="P2331" t="s">
        <v>23</v>
      </c>
      <c r="Q2331">
        <v>59.4</v>
      </c>
    </row>
    <row r="2332" spans="1:17" x14ac:dyDescent="0.35">
      <c r="A2332" s="1">
        <v>45833</v>
      </c>
      <c r="B2332" t="s">
        <v>55</v>
      </c>
      <c r="C2332" t="s">
        <v>56</v>
      </c>
      <c r="D2332">
        <v>4</v>
      </c>
      <c r="E2332" t="s">
        <v>57</v>
      </c>
      <c r="F2332">
        <v>30</v>
      </c>
      <c r="G2332">
        <v>161.69999999999999</v>
      </c>
      <c r="H2332">
        <v>86.56</v>
      </c>
      <c r="I2332">
        <v>95.12</v>
      </c>
      <c r="J2332">
        <v>77.819999999999993</v>
      </c>
      <c r="K2332" t="s">
        <v>63</v>
      </c>
      <c r="L2332">
        <v>6.2</v>
      </c>
      <c r="N2332" t="s">
        <v>35</v>
      </c>
      <c r="O2332">
        <v>2</v>
      </c>
      <c r="P2332" t="s">
        <v>23</v>
      </c>
      <c r="Q2332">
        <v>68.2</v>
      </c>
    </row>
    <row r="2333" spans="1:17" x14ac:dyDescent="0.35">
      <c r="A2333" s="1">
        <v>45833</v>
      </c>
      <c r="B2333" t="s">
        <v>36</v>
      </c>
      <c r="C2333" t="s">
        <v>37</v>
      </c>
      <c r="D2333" t="s">
        <v>38</v>
      </c>
      <c r="E2333" t="s">
        <v>33</v>
      </c>
      <c r="F2333">
        <v>467.48</v>
      </c>
      <c r="G2333">
        <v>111.7</v>
      </c>
      <c r="H2333">
        <v>96.85</v>
      </c>
      <c r="I2333">
        <v>93.78</v>
      </c>
      <c r="J2333">
        <v>77.13</v>
      </c>
      <c r="K2333" t="s">
        <v>47</v>
      </c>
      <c r="L2333">
        <v>9.1999999999999993</v>
      </c>
      <c r="M2333">
        <v>2.4</v>
      </c>
      <c r="N2333" t="s">
        <v>22</v>
      </c>
      <c r="O2333">
        <v>9</v>
      </c>
      <c r="P2333" t="s">
        <v>23</v>
      </c>
      <c r="Q2333">
        <v>63.9</v>
      </c>
    </row>
    <row r="2334" spans="1:17" x14ac:dyDescent="0.35">
      <c r="A2334" s="1">
        <v>45833</v>
      </c>
      <c r="B2334" t="s">
        <v>55</v>
      </c>
      <c r="C2334" t="s">
        <v>56</v>
      </c>
      <c r="D2334">
        <v>4</v>
      </c>
      <c r="E2334" t="s">
        <v>57</v>
      </c>
      <c r="F2334">
        <v>30</v>
      </c>
      <c r="G2334">
        <v>146.1</v>
      </c>
      <c r="H2334">
        <v>88.62</v>
      </c>
      <c r="I2334">
        <v>96.25</v>
      </c>
      <c r="J2334">
        <v>76.7</v>
      </c>
      <c r="K2334" t="s">
        <v>63</v>
      </c>
      <c r="L2334">
        <v>6.2</v>
      </c>
      <c r="N2334" t="s">
        <v>35</v>
      </c>
      <c r="O2334">
        <v>2</v>
      </c>
      <c r="P2334" t="s">
        <v>43</v>
      </c>
      <c r="Q2334">
        <v>68.2</v>
      </c>
    </row>
    <row r="2335" spans="1:17" x14ac:dyDescent="0.35">
      <c r="A2335" s="1">
        <v>45833</v>
      </c>
      <c r="B2335" t="s">
        <v>55</v>
      </c>
      <c r="C2335" t="s">
        <v>56</v>
      </c>
      <c r="D2335">
        <v>4</v>
      </c>
      <c r="E2335" t="s">
        <v>57</v>
      </c>
      <c r="F2335">
        <v>30</v>
      </c>
      <c r="G2335">
        <v>123.6</v>
      </c>
      <c r="H2335">
        <v>89.64</v>
      </c>
      <c r="I2335">
        <v>95.49</v>
      </c>
      <c r="J2335">
        <v>70.27</v>
      </c>
      <c r="K2335" t="s">
        <v>21</v>
      </c>
      <c r="L2335">
        <v>7.1</v>
      </c>
      <c r="N2335" t="s">
        <v>35</v>
      </c>
      <c r="O2335">
        <v>2</v>
      </c>
      <c r="P2335" t="s">
        <v>43</v>
      </c>
      <c r="Q2335">
        <v>68.2</v>
      </c>
    </row>
    <row r="2336" spans="1:17" x14ac:dyDescent="0.35">
      <c r="A2336" s="1">
        <v>45833</v>
      </c>
      <c r="B2336" t="s">
        <v>82</v>
      </c>
      <c r="C2336" t="s">
        <v>72</v>
      </c>
      <c r="D2336" t="s">
        <v>83</v>
      </c>
      <c r="E2336" t="s">
        <v>20</v>
      </c>
      <c r="F2336">
        <v>107.29</v>
      </c>
      <c r="G2336">
        <v>103.1</v>
      </c>
      <c r="H2336">
        <v>94.45</v>
      </c>
      <c r="I2336">
        <v>94.9</v>
      </c>
      <c r="J2336">
        <v>77.95</v>
      </c>
      <c r="K2336" t="s">
        <v>58</v>
      </c>
      <c r="L2336">
        <v>7.8</v>
      </c>
      <c r="N2336" t="s">
        <v>35</v>
      </c>
      <c r="O2336">
        <v>5</v>
      </c>
      <c r="P2336" t="s">
        <v>23</v>
      </c>
      <c r="Q2336">
        <v>71.5</v>
      </c>
    </row>
    <row r="2337" spans="1:17" x14ac:dyDescent="0.35">
      <c r="A2337" s="1">
        <v>45833</v>
      </c>
      <c r="B2337" t="s">
        <v>17</v>
      </c>
      <c r="C2337" t="s">
        <v>18</v>
      </c>
      <c r="D2337" t="s">
        <v>19</v>
      </c>
      <c r="E2337" t="s">
        <v>20</v>
      </c>
      <c r="F2337">
        <v>203.21</v>
      </c>
      <c r="G2337">
        <v>176.8</v>
      </c>
      <c r="H2337">
        <v>94.33</v>
      </c>
      <c r="I2337">
        <v>94.59</v>
      </c>
      <c r="J2337">
        <v>76.349999999999994</v>
      </c>
      <c r="K2337" t="s">
        <v>58</v>
      </c>
      <c r="L2337">
        <v>7.2</v>
      </c>
      <c r="N2337" t="s">
        <v>22</v>
      </c>
      <c r="O2337">
        <v>10</v>
      </c>
      <c r="P2337" t="s">
        <v>23</v>
      </c>
      <c r="Q2337">
        <v>71.5</v>
      </c>
    </row>
    <row r="2338" spans="1:17" x14ac:dyDescent="0.35">
      <c r="A2338" s="1">
        <v>45833</v>
      </c>
      <c r="B2338" t="s">
        <v>48</v>
      </c>
      <c r="C2338" t="s">
        <v>49</v>
      </c>
      <c r="D2338" t="s">
        <v>50</v>
      </c>
      <c r="E2338" t="s">
        <v>27</v>
      </c>
      <c r="F2338">
        <v>359.99</v>
      </c>
      <c r="G2338">
        <v>69.900000000000006</v>
      </c>
      <c r="H2338">
        <v>95.07</v>
      </c>
      <c r="I2338">
        <v>94.02</v>
      </c>
      <c r="J2338">
        <v>80.39</v>
      </c>
      <c r="K2338" t="s">
        <v>34</v>
      </c>
      <c r="L2338">
        <v>8.1999999999999993</v>
      </c>
      <c r="M2338">
        <v>3.5</v>
      </c>
      <c r="N2338" t="s">
        <v>29</v>
      </c>
      <c r="O2338">
        <v>10</v>
      </c>
      <c r="P2338" t="s">
        <v>43</v>
      </c>
      <c r="Q2338">
        <v>61</v>
      </c>
    </row>
    <row r="2339" spans="1:17" x14ac:dyDescent="0.35">
      <c r="A2339" s="1">
        <v>45833</v>
      </c>
      <c r="B2339" t="s">
        <v>76</v>
      </c>
      <c r="C2339" t="s">
        <v>45</v>
      </c>
      <c r="D2339" t="s">
        <v>77</v>
      </c>
      <c r="E2339" t="s">
        <v>27</v>
      </c>
      <c r="F2339">
        <v>187.06</v>
      </c>
      <c r="G2339">
        <v>296.10000000000002</v>
      </c>
      <c r="H2339">
        <v>93.11</v>
      </c>
      <c r="I2339">
        <v>98.26</v>
      </c>
      <c r="J2339">
        <v>75.02</v>
      </c>
      <c r="K2339" t="s">
        <v>47</v>
      </c>
      <c r="L2339">
        <v>7.4</v>
      </c>
      <c r="M2339">
        <v>2.9</v>
      </c>
      <c r="N2339" t="s">
        <v>29</v>
      </c>
      <c r="O2339">
        <v>9</v>
      </c>
      <c r="P2339" t="s">
        <v>23</v>
      </c>
      <c r="Q2339">
        <v>61.5</v>
      </c>
    </row>
    <row r="2340" spans="1:17" x14ac:dyDescent="0.35">
      <c r="A2340" s="1">
        <v>45833</v>
      </c>
      <c r="B2340" t="s">
        <v>55</v>
      </c>
      <c r="C2340" t="s">
        <v>56</v>
      </c>
      <c r="D2340">
        <v>4</v>
      </c>
      <c r="E2340" t="s">
        <v>57</v>
      </c>
      <c r="F2340">
        <v>30</v>
      </c>
      <c r="G2340">
        <v>156.4</v>
      </c>
      <c r="H2340">
        <v>86.97</v>
      </c>
      <c r="I2340">
        <v>94.02</v>
      </c>
      <c r="J2340">
        <v>75.069999999999993</v>
      </c>
      <c r="K2340" t="s">
        <v>21</v>
      </c>
      <c r="L2340">
        <v>6.3</v>
      </c>
      <c r="N2340" t="s">
        <v>35</v>
      </c>
      <c r="O2340">
        <v>3</v>
      </c>
      <c r="P2340" t="s">
        <v>23</v>
      </c>
      <c r="Q2340">
        <v>67.5</v>
      </c>
    </row>
    <row r="2341" spans="1:17" x14ac:dyDescent="0.35">
      <c r="A2341" s="1">
        <v>45833</v>
      </c>
      <c r="B2341" t="s">
        <v>78</v>
      </c>
      <c r="C2341" t="s">
        <v>41</v>
      </c>
      <c r="D2341" t="s">
        <v>79</v>
      </c>
      <c r="E2341" t="s">
        <v>27</v>
      </c>
      <c r="F2341">
        <v>224.61</v>
      </c>
      <c r="G2341">
        <v>69.5</v>
      </c>
      <c r="H2341">
        <v>95.46</v>
      </c>
      <c r="I2341">
        <v>96.98</v>
      </c>
      <c r="J2341">
        <v>83.81</v>
      </c>
      <c r="K2341" t="s">
        <v>34</v>
      </c>
      <c r="L2341">
        <v>7.4</v>
      </c>
      <c r="M2341">
        <v>4.0999999999999996</v>
      </c>
      <c r="N2341" t="s">
        <v>29</v>
      </c>
      <c r="O2341">
        <v>15</v>
      </c>
      <c r="P2341" t="s">
        <v>43</v>
      </c>
      <c r="Q2341">
        <v>60.4</v>
      </c>
    </row>
    <row r="2342" spans="1:17" x14ac:dyDescent="0.35">
      <c r="A2342" s="1">
        <v>45833</v>
      </c>
      <c r="B2342" t="s">
        <v>48</v>
      </c>
      <c r="C2342" t="s">
        <v>49</v>
      </c>
      <c r="D2342" t="s">
        <v>50</v>
      </c>
      <c r="E2342" t="s">
        <v>33</v>
      </c>
      <c r="F2342">
        <v>334.26</v>
      </c>
      <c r="G2342">
        <v>155.4</v>
      </c>
      <c r="H2342">
        <v>96.83</v>
      </c>
      <c r="I2342">
        <v>93.24</v>
      </c>
      <c r="J2342">
        <v>78.03</v>
      </c>
      <c r="K2342" t="s">
        <v>47</v>
      </c>
      <c r="L2342">
        <v>7</v>
      </c>
      <c r="M2342">
        <v>2.1</v>
      </c>
      <c r="N2342" t="s">
        <v>22</v>
      </c>
      <c r="O2342">
        <v>10</v>
      </c>
      <c r="P2342" t="s">
        <v>43</v>
      </c>
      <c r="Q2342">
        <v>61.4</v>
      </c>
    </row>
    <row r="2343" spans="1:17" x14ac:dyDescent="0.35">
      <c r="A2343" s="1">
        <v>45833</v>
      </c>
      <c r="B2343" t="s">
        <v>48</v>
      </c>
      <c r="C2343" t="s">
        <v>49</v>
      </c>
      <c r="D2343" t="s">
        <v>50</v>
      </c>
      <c r="E2343" t="s">
        <v>27</v>
      </c>
      <c r="F2343">
        <v>429.37</v>
      </c>
      <c r="G2343">
        <v>54.9</v>
      </c>
      <c r="H2343">
        <v>95.91</v>
      </c>
      <c r="I2343">
        <v>96.96</v>
      </c>
      <c r="J2343">
        <v>75.900000000000006</v>
      </c>
      <c r="K2343" t="s">
        <v>28</v>
      </c>
      <c r="L2343">
        <v>9.3000000000000007</v>
      </c>
      <c r="M2343">
        <v>3.9</v>
      </c>
      <c r="N2343" t="s">
        <v>39</v>
      </c>
      <c r="O2343">
        <v>15</v>
      </c>
      <c r="P2343" t="s">
        <v>23</v>
      </c>
      <c r="Q2343">
        <v>62.1</v>
      </c>
    </row>
    <row r="2344" spans="1:17" x14ac:dyDescent="0.35">
      <c r="A2344" s="1">
        <v>45833</v>
      </c>
      <c r="B2344" t="s">
        <v>36</v>
      </c>
      <c r="C2344" t="s">
        <v>37</v>
      </c>
      <c r="D2344" t="s">
        <v>38</v>
      </c>
      <c r="E2344" t="s">
        <v>33</v>
      </c>
      <c r="F2344">
        <v>307.5</v>
      </c>
      <c r="G2344">
        <v>122.9</v>
      </c>
      <c r="H2344">
        <v>93.72</v>
      </c>
      <c r="I2344">
        <v>96.05</v>
      </c>
      <c r="J2344">
        <v>72.55</v>
      </c>
      <c r="K2344" t="s">
        <v>28</v>
      </c>
      <c r="L2344">
        <v>7.1</v>
      </c>
      <c r="M2344">
        <v>4.9000000000000004</v>
      </c>
      <c r="N2344" t="s">
        <v>35</v>
      </c>
      <c r="O2344">
        <v>6</v>
      </c>
      <c r="P2344" t="s">
        <v>23</v>
      </c>
      <c r="Q2344">
        <v>58.1</v>
      </c>
    </row>
    <row r="2345" spans="1:17" x14ac:dyDescent="0.35">
      <c r="A2345" s="1">
        <v>45833</v>
      </c>
      <c r="B2345" t="s">
        <v>71</v>
      </c>
      <c r="C2345" t="s">
        <v>72</v>
      </c>
      <c r="D2345" t="s">
        <v>73</v>
      </c>
      <c r="E2345" t="s">
        <v>33</v>
      </c>
      <c r="F2345">
        <v>197.99</v>
      </c>
      <c r="G2345">
        <v>126.3</v>
      </c>
      <c r="H2345">
        <v>97.64</v>
      </c>
      <c r="I2345">
        <v>95.3</v>
      </c>
      <c r="J2345">
        <v>73.97</v>
      </c>
      <c r="K2345" t="s">
        <v>34</v>
      </c>
      <c r="L2345">
        <v>6.4</v>
      </c>
      <c r="M2345">
        <v>4.5</v>
      </c>
      <c r="N2345" t="s">
        <v>35</v>
      </c>
      <c r="O2345">
        <v>8</v>
      </c>
      <c r="P2345" t="s">
        <v>23</v>
      </c>
      <c r="Q2345">
        <v>58</v>
      </c>
    </row>
    <row r="2346" spans="1:17" x14ac:dyDescent="0.35">
      <c r="A2346" s="1">
        <v>45833</v>
      </c>
      <c r="B2346" t="s">
        <v>55</v>
      </c>
      <c r="C2346" t="s">
        <v>56</v>
      </c>
      <c r="D2346">
        <v>4</v>
      </c>
      <c r="E2346" t="s">
        <v>57</v>
      </c>
      <c r="F2346">
        <v>30</v>
      </c>
      <c r="G2346">
        <v>167.5</v>
      </c>
      <c r="H2346">
        <v>90.25</v>
      </c>
      <c r="I2346">
        <v>96.35</v>
      </c>
      <c r="J2346">
        <v>76.739999999999995</v>
      </c>
      <c r="K2346" t="s">
        <v>58</v>
      </c>
      <c r="L2346">
        <v>7.6</v>
      </c>
      <c r="N2346" t="s">
        <v>35</v>
      </c>
      <c r="O2346">
        <v>3</v>
      </c>
      <c r="P2346" t="s">
        <v>23</v>
      </c>
      <c r="Q2346">
        <v>71.900000000000006</v>
      </c>
    </row>
    <row r="2347" spans="1:17" x14ac:dyDescent="0.35">
      <c r="A2347" s="1">
        <v>45833</v>
      </c>
      <c r="B2347" t="s">
        <v>48</v>
      </c>
      <c r="C2347" t="s">
        <v>49</v>
      </c>
      <c r="D2347" t="s">
        <v>50</v>
      </c>
      <c r="E2347" t="s">
        <v>27</v>
      </c>
      <c r="F2347">
        <v>235.14</v>
      </c>
      <c r="G2347">
        <v>39.700000000000003</v>
      </c>
      <c r="H2347">
        <v>93.64</v>
      </c>
      <c r="I2347">
        <v>93.77</v>
      </c>
      <c r="J2347">
        <v>76.459999999999994</v>
      </c>
      <c r="K2347" t="s">
        <v>47</v>
      </c>
      <c r="L2347">
        <v>7.9</v>
      </c>
      <c r="M2347">
        <v>1.8</v>
      </c>
      <c r="N2347" t="s">
        <v>29</v>
      </c>
      <c r="O2347">
        <v>14</v>
      </c>
      <c r="P2347" t="s">
        <v>23</v>
      </c>
      <c r="Q2347">
        <v>60.1</v>
      </c>
    </row>
    <row r="2348" spans="1:17" x14ac:dyDescent="0.35">
      <c r="A2348" s="1">
        <v>45833</v>
      </c>
      <c r="B2348" t="s">
        <v>36</v>
      </c>
      <c r="C2348" t="s">
        <v>37</v>
      </c>
      <c r="D2348" t="s">
        <v>38</v>
      </c>
      <c r="E2348" t="s">
        <v>27</v>
      </c>
      <c r="F2348">
        <v>218.96</v>
      </c>
      <c r="G2348">
        <v>61.8</v>
      </c>
      <c r="H2348">
        <v>93.53</v>
      </c>
      <c r="I2348">
        <v>94.98</v>
      </c>
      <c r="J2348">
        <v>84.35</v>
      </c>
      <c r="K2348" t="s">
        <v>28</v>
      </c>
      <c r="L2348">
        <v>7.9</v>
      </c>
      <c r="M2348">
        <v>2.5</v>
      </c>
      <c r="N2348" t="s">
        <v>39</v>
      </c>
      <c r="O2348">
        <v>11</v>
      </c>
      <c r="P2348" t="s">
        <v>23</v>
      </c>
      <c r="Q2348">
        <v>61.5</v>
      </c>
    </row>
    <row r="2349" spans="1:17" x14ac:dyDescent="0.35">
      <c r="A2349" s="1">
        <v>45833</v>
      </c>
      <c r="B2349" t="s">
        <v>91</v>
      </c>
      <c r="C2349" t="s">
        <v>67</v>
      </c>
      <c r="D2349" t="s">
        <v>92</v>
      </c>
      <c r="E2349" t="s">
        <v>27</v>
      </c>
      <c r="F2349">
        <v>140.77000000000001</v>
      </c>
      <c r="G2349">
        <v>41.3</v>
      </c>
      <c r="H2349">
        <v>97.22</v>
      </c>
      <c r="I2349">
        <v>96.12</v>
      </c>
      <c r="J2349">
        <v>75.28</v>
      </c>
      <c r="K2349" t="s">
        <v>28</v>
      </c>
      <c r="L2349">
        <v>7.5</v>
      </c>
      <c r="M2349">
        <v>2.8</v>
      </c>
      <c r="N2349" t="s">
        <v>29</v>
      </c>
      <c r="O2349">
        <v>11</v>
      </c>
      <c r="P2349" t="s">
        <v>43</v>
      </c>
      <c r="Q2349">
        <v>59.6</v>
      </c>
    </row>
    <row r="2350" spans="1:17" x14ac:dyDescent="0.35">
      <c r="A2350" s="1">
        <v>45833</v>
      </c>
      <c r="B2350" t="s">
        <v>86</v>
      </c>
      <c r="C2350" t="s">
        <v>25</v>
      </c>
      <c r="D2350" t="s">
        <v>87</v>
      </c>
      <c r="E2350" t="s">
        <v>27</v>
      </c>
      <c r="F2350">
        <v>214.6</v>
      </c>
      <c r="G2350">
        <v>41.1</v>
      </c>
      <c r="H2350">
        <v>92.88</v>
      </c>
      <c r="I2350">
        <v>97.64</v>
      </c>
      <c r="J2350">
        <v>77.260000000000005</v>
      </c>
      <c r="K2350" t="s">
        <v>28</v>
      </c>
      <c r="L2350">
        <v>7.6</v>
      </c>
      <c r="M2350">
        <v>4.5999999999999996</v>
      </c>
      <c r="N2350" t="s">
        <v>39</v>
      </c>
      <c r="O2350">
        <v>9</v>
      </c>
      <c r="P2350" t="s">
        <v>30</v>
      </c>
      <c r="Q2350">
        <v>58.4</v>
      </c>
    </row>
    <row r="2351" spans="1:17" x14ac:dyDescent="0.35">
      <c r="A2351" s="1">
        <v>45833</v>
      </c>
      <c r="B2351" t="s">
        <v>59</v>
      </c>
      <c r="C2351" t="s">
        <v>60</v>
      </c>
      <c r="D2351" t="s">
        <v>61</v>
      </c>
      <c r="E2351" t="s">
        <v>62</v>
      </c>
      <c r="F2351">
        <v>539.25</v>
      </c>
      <c r="G2351">
        <v>172</v>
      </c>
      <c r="H2351">
        <v>88.77</v>
      </c>
      <c r="I2351">
        <v>94.39</v>
      </c>
      <c r="J2351">
        <v>86.88</v>
      </c>
      <c r="K2351" t="s">
        <v>34</v>
      </c>
      <c r="L2351">
        <v>8.3000000000000007</v>
      </c>
      <c r="N2351" t="s">
        <v>35</v>
      </c>
      <c r="O2351">
        <v>5</v>
      </c>
      <c r="P2351" t="s">
        <v>43</v>
      </c>
      <c r="Q2351">
        <v>74.599999999999994</v>
      </c>
    </row>
    <row r="2352" spans="1:17" x14ac:dyDescent="0.35">
      <c r="A2352" s="1">
        <v>45833</v>
      </c>
      <c r="B2352" t="s">
        <v>59</v>
      </c>
      <c r="C2352" t="s">
        <v>60</v>
      </c>
      <c r="D2352" t="s">
        <v>61</v>
      </c>
      <c r="E2352" t="s">
        <v>62</v>
      </c>
      <c r="F2352">
        <v>377.3</v>
      </c>
      <c r="G2352">
        <v>183.4</v>
      </c>
      <c r="H2352">
        <v>90.79</v>
      </c>
      <c r="I2352">
        <v>93.66</v>
      </c>
      <c r="J2352">
        <v>90.62</v>
      </c>
      <c r="K2352" t="s">
        <v>34</v>
      </c>
      <c r="L2352">
        <v>7.3</v>
      </c>
      <c r="N2352" t="s">
        <v>35</v>
      </c>
      <c r="O2352">
        <v>3</v>
      </c>
      <c r="P2352" t="s">
        <v>43</v>
      </c>
      <c r="Q2352">
        <v>73.599999999999994</v>
      </c>
    </row>
    <row r="2353" spans="1:17" x14ac:dyDescent="0.35">
      <c r="A2353" s="1">
        <v>45833</v>
      </c>
      <c r="B2353" t="s">
        <v>86</v>
      </c>
      <c r="C2353" t="s">
        <v>25</v>
      </c>
      <c r="D2353" t="s">
        <v>87</v>
      </c>
      <c r="E2353" t="s">
        <v>27</v>
      </c>
      <c r="F2353">
        <v>303.05</v>
      </c>
      <c r="G2353">
        <v>70.8</v>
      </c>
      <c r="H2353">
        <v>96.16</v>
      </c>
      <c r="I2353">
        <v>96.37</v>
      </c>
      <c r="J2353">
        <v>80.37</v>
      </c>
      <c r="K2353" t="s">
        <v>34</v>
      </c>
      <c r="L2353">
        <v>7.3</v>
      </c>
      <c r="M2353">
        <v>1.7</v>
      </c>
      <c r="N2353" t="s">
        <v>39</v>
      </c>
      <c r="O2353">
        <v>11</v>
      </c>
      <c r="P2353" t="s">
        <v>30</v>
      </c>
      <c r="Q2353">
        <v>61.3</v>
      </c>
    </row>
    <row r="2354" spans="1:17" x14ac:dyDescent="0.35">
      <c r="A2354" s="1">
        <v>45833</v>
      </c>
      <c r="B2354" t="s">
        <v>55</v>
      </c>
      <c r="C2354" t="s">
        <v>56</v>
      </c>
      <c r="D2354">
        <v>4</v>
      </c>
      <c r="E2354" t="s">
        <v>57</v>
      </c>
      <c r="F2354">
        <v>30</v>
      </c>
      <c r="G2354">
        <v>129.1</v>
      </c>
      <c r="H2354">
        <v>87.41</v>
      </c>
      <c r="I2354">
        <v>95.44</v>
      </c>
      <c r="J2354">
        <v>75.900000000000006</v>
      </c>
      <c r="K2354" t="s">
        <v>21</v>
      </c>
      <c r="L2354">
        <v>7.3</v>
      </c>
      <c r="N2354" t="s">
        <v>35</v>
      </c>
      <c r="O2354">
        <v>3</v>
      </c>
      <c r="P2354" t="s">
        <v>43</v>
      </c>
      <c r="Q2354">
        <v>69.400000000000006</v>
      </c>
    </row>
    <row r="2355" spans="1:17" x14ac:dyDescent="0.35">
      <c r="A2355" s="1">
        <v>45833</v>
      </c>
      <c r="B2355" t="s">
        <v>69</v>
      </c>
      <c r="C2355" t="s">
        <v>18</v>
      </c>
      <c r="D2355" t="s">
        <v>70</v>
      </c>
      <c r="E2355" t="s">
        <v>20</v>
      </c>
      <c r="F2355">
        <v>175.4</v>
      </c>
      <c r="G2355">
        <v>173.1</v>
      </c>
      <c r="H2355">
        <v>91.69</v>
      </c>
      <c r="I2355">
        <v>93.41</v>
      </c>
      <c r="J2355">
        <v>72.78</v>
      </c>
      <c r="K2355" t="s">
        <v>21</v>
      </c>
      <c r="L2355">
        <v>7.9</v>
      </c>
      <c r="N2355" t="s">
        <v>22</v>
      </c>
      <c r="O2355">
        <v>10</v>
      </c>
      <c r="P2355" t="s">
        <v>23</v>
      </c>
      <c r="Q2355">
        <v>71.400000000000006</v>
      </c>
    </row>
    <row r="2356" spans="1:17" x14ac:dyDescent="0.35">
      <c r="A2356" s="1">
        <v>45833</v>
      </c>
      <c r="B2356" t="s">
        <v>24</v>
      </c>
      <c r="C2356" t="s">
        <v>25</v>
      </c>
      <c r="D2356" t="s">
        <v>26</v>
      </c>
      <c r="E2356" t="s">
        <v>27</v>
      </c>
      <c r="F2356">
        <v>537.04999999999995</v>
      </c>
      <c r="G2356">
        <v>36.5</v>
      </c>
      <c r="H2356">
        <v>95.67</v>
      </c>
      <c r="I2356">
        <v>97.08</v>
      </c>
      <c r="J2356">
        <v>79.55</v>
      </c>
      <c r="K2356" t="s">
        <v>34</v>
      </c>
      <c r="L2356">
        <v>8.4</v>
      </c>
      <c r="M2356">
        <v>4.9000000000000004</v>
      </c>
      <c r="N2356" t="s">
        <v>29</v>
      </c>
      <c r="O2356">
        <v>10</v>
      </c>
      <c r="P2356" t="s">
        <v>30</v>
      </c>
      <c r="Q2356">
        <v>60.2</v>
      </c>
    </row>
    <row r="2357" spans="1:17" x14ac:dyDescent="0.35">
      <c r="A2357" s="1">
        <v>45833</v>
      </c>
      <c r="B2357" t="s">
        <v>93</v>
      </c>
      <c r="C2357" t="s">
        <v>37</v>
      </c>
      <c r="D2357" t="s">
        <v>94</v>
      </c>
      <c r="E2357" t="s">
        <v>27</v>
      </c>
      <c r="F2357">
        <v>412.96</v>
      </c>
      <c r="G2357">
        <v>25.7</v>
      </c>
      <c r="H2357">
        <v>96.4</v>
      </c>
      <c r="I2357">
        <v>94.73</v>
      </c>
      <c r="J2357">
        <v>84.18</v>
      </c>
      <c r="K2357" t="s">
        <v>34</v>
      </c>
      <c r="L2357">
        <v>8.3000000000000007</v>
      </c>
      <c r="M2357">
        <v>3.2</v>
      </c>
      <c r="N2357" t="s">
        <v>29</v>
      </c>
      <c r="O2357">
        <v>14</v>
      </c>
      <c r="P2357" t="s">
        <v>23</v>
      </c>
      <c r="Q2357">
        <v>61.4</v>
      </c>
    </row>
    <row r="2358" spans="1:17" x14ac:dyDescent="0.35">
      <c r="A2358" s="1">
        <v>45833</v>
      </c>
      <c r="B2358" t="s">
        <v>69</v>
      </c>
      <c r="C2358" t="s">
        <v>18</v>
      </c>
      <c r="D2358" t="s">
        <v>70</v>
      </c>
      <c r="E2358" t="s">
        <v>20</v>
      </c>
      <c r="F2358">
        <v>199.4</v>
      </c>
      <c r="G2358">
        <v>111</v>
      </c>
      <c r="H2358">
        <v>90.81</v>
      </c>
      <c r="I2358">
        <v>96.78</v>
      </c>
      <c r="J2358">
        <v>78.55</v>
      </c>
      <c r="K2358" t="s">
        <v>63</v>
      </c>
      <c r="L2358">
        <v>6.9</v>
      </c>
      <c r="N2358" t="s">
        <v>35</v>
      </c>
      <c r="O2358">
        <v>9</v>
      </c>
      <c r="P2358" t="s">
        <v>23</v>
      </c>
      <c r="Q2358">
        <v>69.7</v>
      </c>
    </row>
    <row r="2359" spans="1:17" x14ac:dyDescent="0.35">
      <c r="A2359" s="1">
        <v>45833</v>
      </c>
      <c r="B2359" t="s">
        <v>76</v>
      </c>
      <c r="C2359" t="s">
        <v>45</v>
      </c>
      <c r="D2359" t="s">
        <v>77</v>
      </c>
      <c r="E2359" t="s">
        <v>27</v>
      </c>
      <c r="F2359">
        <v>917.5</v>
      </c>
      <c r="G2359">
        <v>612.79999999999995</v>
      </c>
      <c r="H2359">
        <v>97.67</v>
      </c>
      <c r="I2359">
        <v>99.32</v>
      </c>
      <c r="J2359">
        <v>77.38</v>
      </c>
      <c r="K2359" t="s">
        <v>47</v>
      </c>
      <c r="L2359">
        <v>8.4</v>
      </c>
      <c r="M2359">
        <v>3.4</v>
      </c>
      <c r="N2359" t="s">
        <v>39</v>
      </c>
      <c r="O2359">
        <v>11</v>
      </c>
      <c r="P2359" t="s">
        <v>23</v>
      </c>
      <c r="Q2359">
        <v>64.099999999999994</v>
      </c>
    </row>
    <row r="2360" spans="1:17" x14ac:dyDescent="0.35">
      <c r="A2360" s="1">
        <v>45833</v>
      </c>
      <c r="B2360" t="s">
        <v>59</v>
      </c>
      <c r="C2360" t="s">
        <v>60</v>
      </c>
      <c r="D2360" t="s">
        <v>61</v>
      </c>
      <c r="E2360" t="s">
        <v>62</v>
      </c>
      <c r="F2360">
        <v>528.5</v>
      </c>
      <c r="G2360">
        <v>185.2</v>
      </c>
      <c r="H2360">
        <v>91.43</v>
      </c>
      <c r="I2360">
        <v>93.48</v>
      </c>
      <c r="J2360">
        <v>91.22</v>
      </c>
      <c r="K2360" t="s">
        <v>34</v>
      </c>
      <c r="L2360">
        <v>8.4</v>
      </c>
      <c r="N2360" t="s">
        <v>35</v>
      </c>
      <c r="O2360">
        <v>4</v>
      </c>
      <c r="P2360" t="s">
        <v>23</v>
      </c>
      <c r="Q2360">
        <v>76</v>
      </c>
    </row>
    <row r="2361" spans="1:17" x14ac:dyDescent="0.35">
      <c r="A2361" s="1">
        <v>45833</v>
      </c>
      <c r="B2361" t="s">
        <v>31</v>
      </c>
      <c r="C2361" t="s">
        <v>18</v>
      </c>
      <c r="D2361" t="s">
        <v>32</v>
      </c>
      <c r="E2361" t="s">
        <v>33</v>
      </c>
      <c r="F2361">
        <v>130.12</v>
      </c>
      <c r="G2361">
        <v>149.69999999999999</v>
      </c>
      <c r="H2361">
        <v>95.12</v>
      </c>
      <c r="I2361">
        <v>93.47</v>
      </c>
      <c r="J2361">
        <v>77.23</v>
      </c>
      <c r="K2361" t="s">
        <v>34</v>
      </c>
      <c r="L2361">
        <v>7.3</v>
      </c>
      <c r="M2361">
        <v>2.2000000000000002</v>
      </c>
      <c r="N2361" t="s">
        <v>22</v>
      </c>
      <c r="O2361">
        <v>7</v>
      </c>
      <c r="P2361" t="s">
        <v>23</v>
      </c>
      <c r="Q2361">
        <v>61.3</v>
      </c>
    </row>
    <row r="2362" spans="1:17" x14ac:dyDescent="0.35">
      <c r="A2362" s="1">
        <v>45833</v>
      </c>
      <c r="B2362" t="s">
        <v>84</v>
      </c>
      <c r="C2362" t="s">
        <v>18</v>
      </c>
      <c r="D2362" t="s">
        <v>85</v>
      </c>
      <c r="E2362" t="s">
        <v>33</v>
      </c>
      <c r="F2362">
        <v>287.77999999999997</v>
      </c>
      <c r="G2362">
        <v>102.8</v>
      </c>
      <c r="H2362">
        <v>97.5</v>
      </c>
      <c r="I2362">
        <v>94.51</v>
      </c>
      <c r="J2362">
        <v>72.239999999999995</v>
      </c>
      <c r="K2362" t="s">
        <v>47</v>
      </c>
      <c r="L2362">
        <v>8.3000000000000007</v>
      </c>
      <c r="M2362">
        <v>3</v>
      </c>
      <c r="N2362" t="s">
        <v>35</v>
      </c>
      <c r="O2362">
        <v>8</v>
      </c>
      <c r="P2362" t="s">
        <v>23</v>
      </c>
      <c r="Q2362">
        <v>61.2</v>
      </c>
    </row>
    <row r="2363" spans="1:17" x14ac:dyDescent="0.35">
      <c r="A2363" s="1">
        <v>45833</v>
      </c>
      <c r="B2363" t="s">
        <v>93</v>
      </c>
      <c r="C2363" t="s">
        <v>37</v>
      </c>
      <c r="D2363" t="s">
        <v>94</v>
      </c>
      <c r="E2363" t="s">
        <v>27</v>
      </c>
      <c r="F2363">
        <v>330.56</v>
      </c>
      <c r="G2363">
        <v>62.7</v>
      </c>
      <c r="H2363">
        <v>92.36</v>
      </c>
      <c r="I2363">
        <v>96.25</v>
      </c>
      <c r="J2363">
        <v>83.28</v>
      </c>
      <c r="K2363" t="s">
        <v>28</v>
      </c>
      <c r="L2363">
        <v>8.1999999999999993</v>
      </c>
      <c r="M2363">
        <v>2.8</v>
      </c>
      <c r="N2363" t="s">
        <v>39</v>
      </c>
      <c r="O2363">
        <v>15</v>
      </c>
      <c r="P2363" t="s">
        <v>23</v>
      </c>
      <c r="Q2363">
        <v>61.7</v>
      </c>
    </row>
    <row r="2364" spans="1:17" x14ac:dyDescent="0.35">
      <c r="A2364" s="1">
        <v>45833</v>
      </c>
      <c r="B2364" t="s">
        <v>80</v>
      </c>
      <c r="C2364" t="s">
        <v>45</v>
      </c>
      <c r="D2364" t="s">
        <v>81</v>
      </c>
      <c r="E2364" t="s">
        <v>27</v>
      </c>
      <c r="F2364">
        <v>620.75</v>
      </c>
      <c r="G2364">
        <v>640.29999999999995</v>
      </c>
      <c r="H2364">
        <v>97.98</v>
      </c>
      <c r="I2364">
        <v>98.67</v>
      </c>
      <c r="J2364">
        <v>79.290000000000006</v>
      </c>
      <c r="K2364" t="s">
        <v>47</v>
      </c>
      <c r="L2364">
        <v>8</v>
      </c>
      <c r="M2364">
        <v>3.8</v>
      </c>
      <c r="N2364" t="s">
        <v>29</v>
      </c>
      <c r="O2364">
        <v>11</v>
      </c>
      <c r="P2364" t="s">
        <v>23</v>
      </c>
      <c r="Q2364">
        <v>63.5</v>
      </c>
    </row>
    <row r="2365" spans="1:17" x14ac:dyDescent="0.35">
      <c r="A2365" s="1">
        <v>45833</v>
      </c>
      <c r="B2365" t="s">
        <v>31</v>
      </c>
      <c r="C2365" t="s">
        <v>18</v>
      </c>
      <c r="D2365" t="s">
        <v>32</v>
      </c>
      <c r="E2365" t="s">
        <v>27</v>
      </c>
      <c r="F2365">
        <v>135.08000000000001</v>
      </c>
      <c r="G2365">
        <v>33</v>
      </c>
      <c r="H2365">
        <v>96.67</v>
      </c>
      <c r="I2365">
        <v>96.16</v>
      </c>
      <c r="J2365">
        <v>81.5</v>
      </c>
      <c r="K2365" t="s">
        <v>34</v>
      </c>
      <c r="L2365">
        <v>7</v>
      </c>
      <c r="M2365">
        <v>3.5</v>
      </c>
      <c r="N2365" t="s">
        <v>39</v>
      </c>
      <c r="O2365">
        <v>8</v>
      </c>
      <c r="P2365" t="s">
        <v>23</v>
      </c>
      <c r="Q2365">
        <v>59</v>
      </c>
    </row>
    <row r="2366" spans="1:17" x14ac:dyDescent="0.35">
      <c r="A2366" s="1">
        <v>45833</v>
      </c>
      <c r="B2366" t="s">
        <v>95</v>
      </c>
      <c r="C2366" t="s">
        <v>49</v>
      </c>
      <c r="D2366" t="s">
        <v>96</v>
      </c>
      <c r="E2366" t="s">
        <v>27</v>
      </c>
      <c r="F2366">
        <v>291.95999999999998</v>
      </c>
      <c r="G2366">
        <v>22.9</v>
      </c>
      <c r="H2366">
        <v>92.02</v>
      </c>
      <c r="I2366">
        <v>93.07</v>
      </c>
      <c r="J2366">
        <v>76.180000000000007</v>
      </c>
      <c r="K2366" t="s">
        <v>34</v>
      </c>
      <c r="L2366">
        <v>8.4</v>
      </c>
      <c r="M2366">
        <v>3</v>
      </c>
      <c r="N2366" t="s">
        <v>39</v>
      </c>
      <c r="O2366">
        <v>10</v>
      </c>
      <c r="P2366" t="s">
        <v>23</v>
      </c>
      <c r="Q2366">
        <v>59.3</v>
      </c>
    </row>
    <row r="2367" spans="1:17" x14ac:dyDescent="0.35">
      <c r="A2367" s="1">
        <v>45833</v>
      </c>
      <c r="B2367" t="s">
        <v>101</v>
      </c>
      <c r="C2367" t="s">
        <v>45</v>
      </c>
      <c r="D2367" t="s">
        <v>102</v>
      </c>
      <c r="E2367" t="s">
        <v>33</v>
      </c>
      <c r="F2367">
        <v>882.32</v>
      </c>
      <c r="G2367">
        <v>2118.1</v>
      </c>
      <c r="H2367">
        <v>92.32</v>
      </c>
      <c r="I2367">
        <v>99.13</v>
      </c>
      <c r="J2367">
        <v>75.87</v>
      </c>
      <c r="K2367" t="s">
        <v>88</v>
      </c>
      <c r="L2367">
        <v>8.9</v>
      </c>
      <c r="M2367">
        <v>3.4</v>
      </c>
      <c r="N2367" t="s">
        <v>22</v>
      </c>
      <c r="O2367">
        <v>10</v>
      </c>
      <c r="P2367" t="s">
        <v>23</v>
      </c>
      <c r="Q2367">
        <v>63.8</v>
      </c>
    </row>
    <row r="2368" spans="1:17" x14ac:dyDescent="0.35">
      <c r="A2368" s="1">
        <v>45833</v>
      </c>
      <c r="B2368" t="s">
        <v>84</v>
      </c>
      <c r="C2368" t="s">
        <v>18</v>
      </c>
      <c r="D2368" t="s">
        <v>85</v>
      </c>
      <c r="E2368" t="s">
        <v>27</v>
      </c>
      <c r="F2368">
        <v>287.93</v>
      </c>
      <c r="G2368">
        <v>19.600000000000001</v>
      </c>
      <c r="H2368">
        <v>97.57</v>
      </c>
      <c r="I2368">
        <v>95.91</v>
      </c>
      <c r="J2368">
        <v>78.319999999999993</v>
      </c>
      <c r="K2368" t="s">
        <v>47</v>
      </c>
      <c r="L2368">
        <v>8.4</v>
      </c>
      <c r="M2368">
        <v>3.5</v>
      </c>
      <c r="N2368" t="s">
        <v>39</v>
      </c>
      <c r="O2368">
        <v>14</v>
      </c>
      <c r="P2368" t="s">
        <v>23</v>
      </c>
      <c r="Q2368">
        <v>60.7</v>
      </c>
    </row>
    <row r="2369" spans="1:17" x14ac:dyDescent="0.35">
      <c r="A2369" s="1">
        <v>45833</v>
      </c>
      <c r="B2369" t="s">
        <v>48</v>
      </c>
      <c r="C2369" t="s">
        <v>49</v>
      </c>
      <c r="D2369" t="s">
        <v>50</v>
      </c>
      <c r="E2369" t="s">
        <v>27</v>
      </c>
      <c r="F2369">
        <v>398.05</v>
      </c>
      <c r="G2369">
        <v>35.299999999999997</v>
      </c>
      <c r="H2369">
        <v>95.16</v>
      </c>
      <c r="I2369">
        <v>95.3</v>
      </c>
      <c r="J2369">
        <v>80.319999999999993</v>
      </c>
      <c r="K2369" t="s">
        <v>34</v>
      </c>
      <c r="L2369">
        <v>8.1</v>
      </c>
      <c r="M2369">
        <v>3.8</v>
      </c>
      <c r="N2369" t="s">
        <v>29</v>
      </c>
      <c r="O2369">
        <v>10</v>
      </c>
      <c r="P2369" t="s">
        <v>23</v>
      </c>
      <c r="Q2369">
        <v>60.1</v>
      </c>
    </row>
    <row r="2370" spans="1:17" x14ac:dyDescent="0.35">
      <c r="A2370" s="1">
        <v>45833</v>
      </c>
      <c r="B2370" t="s">
        <v>86</v>
      </c>
      <c r="C2370" t="s">
        <v>25</v>
      </c>
      <c r="D2370" t="s">
        <v>87</v>
      </c>
      <c r="E2370" t="s">
        <v>27</v>
      </c>
      <c r="F2370">
        <v>644.1</v>
      </c>
      <c r="G2370">
        <v>40.1</v>
      </c>
      <c r="H2370">
        <v>95.21</v>
      </c>
      <c r="I2370">
        <v>97.55</v>
      </c>
      <c r="J2370">
        <v>76.7</v>
      </c>
      <c r="K2370" t="s">
        <v>34</v>
      </c>
      <c r="L2370">
        <v>8.6</v>
      </c>
      <c r="M2370">
        <v>2</v>
      </c>
      <c r="N2370" t="s">
        <v>29</v>
      </c>
      <c r="O2370">
        <v>11</v>
      </c>
      <c r="P2370" t="s">
        <v>30</v>
      </c>
      <c r="Q2370">
        <v>62</v>
      </c>
    </row>
    <row r="2371" spans="1:17" x14ac:dyDescent="0.35">
      <c r="A2371" s="1">
        <v>45833</v>
      </c>
      <c r="B2371" t="s">
        <v>86</v>
      </c>
      <c r="C2371" t="s">
        <v>25</v>
      </c>
      <c r="D2371" t="s">
        <v>87</v>
      </c>
      <c r="E2371" t="s">
        <v>27</v>
      </c>
      <c r="F2371">
        <v>582.28</v>
      </c>
      <c r="G2371">
        <v>29.3</v>
      </c>
      <c r="H2371">
        <v>95.5</v>
      </c>
      <c r="I2371">
        <v>96.02</v>
      </c>
      <c r="J2371">
        <v>82.02</v>
      </c>
      <c r="K2371" t="s">
        <v>28</v>
      </c>
      <c r="L2371">
        <v>9.3000000000000007</v>
      </c>
      <c r="M2371">
        <v>3.3</v>
      </c>
      <c r="N2371" t="s">
        <v>39</v>
      </c>
      <c r="O2371">
        <v>14</v>
      </c>
      <c r="P2371" t="s">
        <v>30</v>
      </c>
      <c r="Q2371">
        <v>62.8</v>
      </c>
    </row>
    <row r="2372" spans="1:17" x14ac:dyDescent="0.35">
      <c r="A2372" s="1">
        <v>45833</v>
      </c>
      <c r="B2372" t="s">
        <v>69</v>
      </c>
      <c r="C2372" t="s">
        <v>18</v>
      </c>
      <c r="D2372" t="s">
        <v>70</v>
      </c>
      <c r="E2372" t="s">
        <v>20</v>
      </c>
      <c r="F2372">
        <v>156.47999999999999</v>
      </c>
      <c r="G2372">
        <v>108.4</v>
      </c>
      <c r="H2372">
        <v>89.27</v>
      </c>
      <c r="I2372">
        <v>94.34</v>
      </c>
      <c r="J2372">
        <v>75</v>
      </c>
      <c r="K2372" t="s">
        <v>21</v>
      </c>
      <c r="L2372">
        <v>6.8</v>
      </c>
      <c r="N2372" t="s">
        <v>35</v>
      </c>
      <c r="O2372">
        <v>8</v>
      </c>
      <c r="P2372" t="s">
        <v>23</v>
      </c>
      <c r="Q2372">
        <v>67.900000000000006</v>
      </c>
    </row>
    <row r="2373" spans="1:17" x14ac:dyDescent="0.35">
      <c r="A2373" s="1">
        <v>45833</v>
      </c>
      <c r="B2373" t="s">
        <v>24</v>
      </c>
      <c r="C2373" t="s">
        <v>25</v>
      </c>
      <c r="D2373" t="s">
        <v>26</v>
      </c>
      <c r="E2373" t="s">
        <v>27</v>
      </c>
      <c r="F2373">
        <v>282.45</v>
      </c>
      <c r="G2373">
        <v>64.599999999999994</v>
      </c>
      <c r="H2373">
        <v>96.69</v>
      </c>
      <c r="I2373">
        <v>98.34</v>
      </c>
      <c r="J2373">
        <v>79.44</v>
      </c>
      <c r="K2373" t="s">
        <v>28</v>
      </c>
      <c r="L2373">
        <v>7.3</v>
      </c>
      <c r="M2373">
        <v>2.5</v>
      </c>
      <c r="N2373" t="s">
        <v>39</v>
      </c>
      <c r="O2373">
        <v>8</v>
      </c>
      <c r="P2373" t="s">
        <v>30</v>
      </c>
      <c r="Q2373">
        <v>60.9</v>
      </c>
    </row>
    <row r="2374" spans="1:17" x14ac:dyDescent="0.35">
      <c r="A2374" s="1">
        <v>45833</v>
      </c>
      <c r="B2374" t="s">
        <v>64</v>
      </c>
      <c r="C2374" t="s">
        <v>25</v>
      </c>
      <c r="D2374" t="s">
        <v>65</v>
      </c>
      <c r="E2374" t="s">
        <v>27</v>
      </c>
      <c r="F2374">
        <v>724.99</v>
      </c>
      <c r="G2374">
        <v>42.6</v>
      </c>
      <c r="H2374">
        <v>95.46</v>
      </c>
      <c r="I2374">
        <v>97.09</v>
      </c>
      <c r="J2374">
        <v>78.989999999999995</v>
      </c>
      <c r="K2374" t="s">
        <v>47</v>
      </c>
      <c r="L2374">
        <v>8.4</v>
      </c>
      <c r="M2374">
        <v>2.8</v>
      </c>
      <c r="N2374" t="s">
        <v>29</v>
      </c>
      <c r="O2374">
        <v>14</v>
      </c>
      <c r="P2374" t="s">
        <v>30</v>
      </c>
      <c r="Q2374">
        <v>61.6</v>
      </c>
    </row>
    <row r="2375" spans="1:17" x14ac:dyDescent="0.35">
      <c r="A2375" s="1">
        <v>45833</v>
      </c>
      <c r="B2375" t="s">
        <v>99</v>
      </c>
      <c r="C2375" t="s">
        <v>72</v>
      </c>
      <c r="D2375" t="s">
        <v>100</v>
      </c>
      <c r="E2375" t="s">
        <v>33</v>
      </c>
      <c r="F2375">
        <v>198.06</v>
      </c>
      <c r="G2375">
        <v>102.4</v>
      </c>
      <c r="H2375">
        <v>93.96</v>
      </c>
      <c r="I2375">
        <v>96.17</v>
      </c>
      <c r="J2375">
        <v>75.64</v>
      </c>
      <c r="K2375" t="s">
        <v>34</v>
      </c>
      <c r="L2375">
        <v>6.6</v>
      </c>
      <c r="M2375">
        <v>3.2</v>
      </c>
      <c r="N2375" t="s">
        <v>35</v>
      </c>
      <c r="O2375">
        <v>5</v>
      </c>
      <c r="P2375" t="s">
        <v>43</v>
      </c>
      <c r="Q2375">
        <v>58.5</v>
      </c>
    </row>
  </sheetData>
  <mergeCells count="1">
    <mergeCell ref="S105:W106"/>
  </mergeCells>
  <conditionalFormatting pivot="1" sqref="T3:T31">
    <cfRule type="top10" dxfId="13" priority="7" rank="5"/>
  </conditionalFormatting>
  <conditionalFormatting sqref="V92">
    <cfRule type="top10" dxfId="12" priority="4" bottom="1" rank="2"/>
  </conditionalFormatting>
  <conditionalFormatting sqref="S89:U89 S90:S95">
    <cfRule type="top10" dxfId="11" priority="3" bottom="1" rank="2"/>
  </conditionalFormatting>
  <conditionalFormatting pivot="1" sqref="T90:T95">
    <cfRule type="top10" dxfId="10" priority="2" bottom="1" rank="2"/>
  </conditionalFormatting>
  <conditionalFormatting sqref="X126:X131">
    <cfRule type="top10" dxfId="9" priority="1" rank="1"/>
  </conditionalFormatting>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 xmlns:x15="http://schemas.microsoft.com/office/spreadsheetml/2010/11/main" uri="{7E03D99C-DC04-49d9-9315-930204A7B6E9}">
      <x15:timelineRefs>
        <x15:timelineRef r:id="rId11"/>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81993-1571-459D-B5DF-EED56A571808}">
  <dimension ref="A1"/>
  <sheetViews>
    <sheetView showGridLines="0" showRowColHeaders="0" tabSelected="1" zoomScale="55" zoomScaleNormal="55" workbookViewId="0">
      <selection activeCell="AF28" sqref="AF2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Smart Devices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turkar</dc:creator>
  <cp:lastModifiedBy>sakshi turkar</cp:lastModifiedBy>
  <dcterms:created xsi:type="dcterms:W3CDTF">2026-03-07T12:31:47Z</dcterms:created>
  <dcterms:modified xsi:type="dcterms:W3CDTF">2026-03-09T12:08:25Z</dcterms:modified>
</cp:coreProperties>
</file>